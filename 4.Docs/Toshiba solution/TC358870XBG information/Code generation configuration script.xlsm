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725" yWindow="645" windowWidth="14430" windowHeight="2625" tabRatio="719" activeTab="2"/>
  </bookViews>
  <sheets>
    <sheet name="Revison" sheetId="76" r:id="rId1"/>
    <sheet name="HowToUse" sheetId="75" r:id="rId2"/>
    <sheet name="Main_Parameters" sheetId="118" r:id="rId3"/>
    <sheet name="Source_Startup" sheetId="116" r:id="rId4"/>
    <sheet name="EDID" sheetId="119" r:id="rId5"/>
    <sheet name="Source_CabCnct" sheetId="124" r:id="rId6"/>
    <sheet name="Source_ColorBar" sheetId="122" r:id="rId7"/>
    <sheet name="Source_HDMITimChk" sheetId="120" r:id="rId8"/>
    <sheet name="Code" sheetId="17" r:id="rId9"/>
  </sheets>
  <calcPr calcId="145621"/>
</workbook>
</file>

<file path=xl/calcChain.xml><?xml version="1.0" encoding="utf-8"?>
<calcChain xmlns="http://schemas.openxmlformats.org/spreadsheetml/2006/main">
  <c r="I31" i="120" l="1"/>
  <c r="H31" i="120"/>
  <c r="D150" i="118" l="1"/>
  <c r="D126" i="118"/>
  <c r="D192" i="118"/>
  <c r="R121" i="118" l="1"/>
  <c r="K10" i="118"/>
  <c r="L143" i="119" l="1"/>
  <c r="L142" i="119"/>
  <c r="L141" i="119"/>
  <c r="L140" i="119"/>
  <c r="L139" i="119"/>
  <c r="L138" i="119"/>
  <c r="L137" i="119"/>
  <c r="M143" i="119"/>
  <c r="M142" i="119"/>
  <c r="M141" i="119"/>
  <c r="M140" i="119"/>
  <c r="M139" i="119"/>
  <c r="M137" i="119"/>
  <c r="M138" i="119"/>
  <c r="N228" i="119" l="1"/>
  <c r="N227" i="119"/>
  <c r="N210" i="119"/>
  <c r="N209" i="119"/>
  <c r="N192" i="119"/>
  <c r="N191" i="119"/>
  <c r="N174" i="119"/>
  <c r="N173" i="119"/>
  <c r="N92" i="119"/>
  <c r="N91" i="119"/>
  <c r="N74" i="119"/>
  <c r="N73" i="119"/>
  <c r="K20" i="118"/>
  <c r="J10" i="118"/>
  <c r="J20" i="118" s="1"/>
  <c r="I10" i="118"/>
  <c r="I20" i="118" s="1"/>
  <c r="H10" i="118"/>
  <c r="H20" i="118" s="1"/>
  <c r="G10" i="118"/>
  <c r="G20" i="118" s="1"/>
  <c r="F10" i="118"/>
  <c r="F20" i="118" s="1"/>
  <c r="E10" i="118"/>
  <c r="E20" i="118" s="1"/>
  <c r="D10" i="118"/>
  <c r="D20" i="118" s="1"/>
  <c r="C10" i="118"/>
  <c r="C20" i="118" s="1"/>
  <c r="AZ395" i="122"/>
  <c r="U395" i="122"/>
  <c r="BC395" i="122" s="1"/>
  <c r="S395" i="122"/>
  <c r="BB395" i="122" s="1"/>
  <c r="AZ394" i="122"/>
  <c r="U394" i="122"/>
  <c r="BC394" i="122" s="1"/>
  <c r="S394" i="122"/>
  <c r="BB394" i="122" s="1"/>
  <c r="B380" i="122"/>
  <c r="B378" i="122"/>
  <c r="AZ117" i="122"/>
  <c r="U117" i="122"/>
  <c r="BC117" i="122" s="1"/>
  <c r="S117" i="122"/>
  <c r="BB117" i="122" s="1"/>
  <c r="AZ116" i="122"/>
  <c r="U116" i="122"/>
  <c r="BC116" i="122" s="1"/>
  <c r="S116" i="122"/>
  <c r="BB116" i="122" s="1"/>
  <c r="BD62" i="122"/>
  <c r="BB62" i="122"/>
  <c r="AZ62" i="122"/>
  <c r="AX62" i="122"/>
  <c r="AV62" i="122"/>
  <c r="BD61" i="122"/>
  <c r="BB61" i="122"/>
  <c r="AZ61" i="122"/>
  <c r="AX61" i="122"/>
  <c r="AV61" i="122"/>
  <c r="BD50" i="122"/>
  <c r="AZ50" i="122"/>
  <c r="AV50" i="122"/>
  <c r="AR50" i="122"/>
  <c r="AN50" i="122"/>
  <c r="BD49" i="122"/>
  <c r="AV49" i="122"/>
  <c r="AU49" i="122"/>
  <c r="BA48" i="122"/>
  <c r="AZ48" i="122"/>
  <c r="AX48" i="122"/>
  <c r="AW48" i="122"/>
  <c r="AV48" i="122"/>
  <c r="AU48" i="122"/>
  <c r="AT48" i="122"/>
  <c r="AS48" i="122"/>
  <c r="AR48" i="122"/>
  <c r="AQ48" i="122"/>
  <c r="BD47" i="122"/>
  <c r="BC47" i="122"/>
  <c r="BB47" i="122"/>
  <c r="BA47" i="122"/>
  <c r="AZ47" i="122"/>
  <c r="AX47" i="122"/>
  <c r="AV47" i="122"/>
  <c r="AU47" i="122"/>
  <c r="BC46" i="122"/>
  <c r="BA46" i="122"/>
  <c r="L45" i="122"/>
  <c r="E45" i="122"/>
  <c r="BD44" i="122"/>
  <c r="BC44" i="122"/>
  <c r="BB44" i="122"/>
  <c r="BA44" i="122"/>
  <c r="BD43" i="122"/>
  <c r="BC43" i="122"/>
  <c r="BB43" i="122"/>
  <c r="BA43" i="122"/>
  <c r="AZ43" i="122"/>
  <c r="BD39" i="122"/>
  <c r="BC39" i="122"/>
  <c r="L37" i="122"/>
  <c r="E37" i="122"/>
  <c r="BD36" i="122"/>
  <c r="BB36" i="122"/>
  <c r="AZ36" i="122"/>
  <c r="L35" i="122"/>
  <c r="E35" i="122"/>
  <c r="BD34" i="122"/>
  <c r="BC34" i="122"/>
  <c r="BB34" i="122"/>
  <c r="BA34" i="122"/>
  <c r="AX33" i="122"/>
  <c r="AV33" i="122"/>
  <c r="AU33" i="122"/>
  <c r="AT33" i="122"/>
  <c r="W33" i="122"/>
  <c r="BD33" i="122" s="1"/>
  <c r="U33" i="122"/>
  <c r="AY33" i="122" s="1"/>
  <c r="L32" i="122"/>
  <c r="E32" i="122"/>
  <c r="L31" i="122"/>
  <c r="E31" i="122"/>
  <c r="L30" i="122"/>
  <c r="E30" i="122"/>
  <c r="L29" i="122"/>
  <c r="E29" i="122"/>
  <c r="L28" i="122"/>
  <c r="E28" i="122"/>
  <c r="L27" i="122"/>
  <c r="E27" i="122"/>
  <c r="L26" i="122"/>
  <c r="E26" i="122"/>
  <c r="L25" i="122"/>
  <c r="E25" i="122"/>
  <c r="BD24" i="122"/>
  <c r="BC24" i="122"/>
  <c r="BA24" i="122"/>
  <c r="R24" i="122"/>
  <c r="BD23" i="122"/>
  <c r="AV23" i="122"/>
  <c r="AU23" i="122"/>
  <c r="AT23" i="122"/>
  <c r="AP23" i="122"/>
  <c r="AN23" i="122"/>
  <c r="AM23" i="122"/>
  <c r="AL23" i="122"/>
  <c r="AK23" i="122"/>
  <c r="AJ23" i="122"/>
  <c r="AI23" i="122"/>
  <c r="AH23" i="122"/>
  <c r="L22" i="122"/>
  <c r="E22" i="122"/>
  <c r="BD15" i="122"/>
  <c r="AV15" i="122"/>
  <c r="AT15" i="122"/>
  <c r="BD113" i="122"/>
  <c r="BB113" i="122"/>
  <c r="AZ113" i="122"/>
  <c r="AX113" i="122"/>
  <c r="AV113" i="122"/>
  <c r="BD112" i="122"/>
  <c r="BB112" i="122"/>
  <c r="AZ112" i="122"/>
  <c r="AX112" i="122"/>
  <c r="AV112" i="122"/>
  <c r="BD101" i="122"/>
  <c r="AZ101" i="122"/>
  <c r="AV101" i="122"/>
  <c r="AR101" i="122"/>
  <c r="AN101" i="122"/>
  <c r="BD100" i="122"/>
  <c r="AV100" i="122"/>
  <c r="AU100" i="122"/>
  <c r="BA99" i="122"/>
  <c r="AZ99" i="122"/>
  <c r="AX99" i="122"/>
  <c r="AW99" i="122"/>
  <c r="AV99" i="122"/>
  <c r="AU99" i="122"/>
  <c r="AT99" i="122"/>
  <c r="AS99" i="122"/>
  <c r="AR99" i="122"/>
  <c r="AQ99" i="122"/>
  <c r="BD98" i="122"/>
  <c r="BC98" i="122"/>
  <c r="BB98" i="122"/>
  <c r="BA98" i="122"/>
  <c r="AZ98" i="122"/>
  <c r="AX98" i="122"/>
  <c r="AV98" i="122"/>
  <c r="AU98" i="122"/>
  <c r="BC97" i="122"/>
  <c r="BA97" i="122"/>
  <c r="L96" i="122"/>
  <c r="E96" i="122"/>
  <c r="BD95" i="122"/>
  <c r="BC95" i="122"/>
  <c r="BB95" i="122"/>
  <c r="BA95" i="122"/>
  <c r="BD94" i="122"/>
  <c r="BC94" i="122"/>
  <c r="BB94" i="122"/>
  <c r="BA94" i="122"/>
  <c r="AZ94" i="122"/>
  <c r="BD90" i="122"/>
  <c r="BC90" i="122"/>
  <c r="L88" i="122"/>
  <c r="E88" i="122"/>
  <c r="BD87" i="122"/>
  <c r="BB87" i="122"/>
  <c r="AZ87" i="122"/>
  <c r="L86" i="122"/>
  <c r="E86" i="122"/>
  <c r="BD85" i="122"/>
  <c r="BC85" i="122"/>
  <c r="BB85" i="122"/>
  <c r="BA85" i="122"/>
  <c r="AX84" i="122"/>
  <c r="AV84" i="122"/>
  <c r="AU84" i="122"/>
  <c r="AT84" i="122"/>
  <c r="W84" i="122"/>
  <c r="BD84" i="122" s="1"/>
  <c r="U84" i="122"/>
  <c r="AY84" i="122" s="1"/>
  <c r="L83" i="122"/>
  <c r="E83" i="122"/>
  <c r="L82" i="122"/>
  <c r="E82" i="122"/>
  <c r="L81" i="122"/>
  <c r="E81" i="122"/>
  <c r="L80" i="122"/>
  <c r="E80" i="122"/>
  <c r="L79" i="122"/>
  <c r="E79" i="122"/>
  <c r="L78" i="122"/>
  <c r="E78" i="122"/>
  <c r="L77" i="122"/>
  <c r="E77" i="122"/>
  <c r="L76" i="122"/>
  <c r="E76" i="122"/>
  <c r="BD75" i="122"/>
  <c r="BC75" i="122"/>
  <c r="BA75" i="122"/>
  <c r="R75" i="122"/>
  <c r="BD74" i="122"/>
  <c r="AV74" i="122"/>
  <c r="AU74" i="122"/>
  <c r="AT74" i="122"/>
  <c r="AP74" i="122"/>
  <c r="AN74" i="122"/>
  <c r="AM74" i="122"/>
  <c r="AL74" i="122"/>
  <c r="AK74" i="122"/>
  <c r="AJ74" i="122"/>
  <c r="AI74" i="122"/>
  <c r="AH74" i="122"/>
  <c r="L73" i="122"/>
  <c r="E73" i="122"/>
  <c r="BD66" i="122"/>
  <c r="AV66" i="122"/>
  <c r="AT66" i="122"/>
  <c r="E10" i="122"/>
  <c r="AZ694" i="116"/>
  <c r="U694" i="116"/>
  <c r="BC694" i="116" s="1"/>
  <c r="S694" i="116"/>
  <c r="BB694" i="116" s="1"/>
  <c r="AZ693" i="116"/>
  <c r="U693" i="116"/>
  <c r="BC693" i="116" s="1"/>
  <c r="S693" i="116"/>
  <c r="BB693" i="116" s="1"/>
  <c r="D131" i="118" l="1"/>
  <c r="C131" i="118" s="1"/>
  <c r="E89" i="122" s="1"/>
  <c r="D155" i="118"/>
  <c r="C155" i="118" s="1"/>
  <c r="E38" i="122" s="1"/>
  <c r="E693" i="116"/>
  <c r="D154" i="118"/>
  <c r="D130" i="118"/>
  <c r="E90" i="122"/>
  <c r="E97" i="122"/>
  <c r="E36" i="122"/>
  <c r="E75" i="122"/>
  <c r="E15" i="122"/>
  <c r="E61" i="122"/>
  <c r="E395" i="122"/>
  <c r="E74" i="122"/>
  <c r="E95" i="122"/>
  <c r="E99" i="122"/>
  <c r="E113" i="122"/>
  <c r="E33" i="122"/>
  <c r="E43" i="122"/>
  <c r="E46" i="122"/>
  <c r="E116" i="122"/>
  <c r="E117" i="122"/>
  <c r="E66" i="122"/>
  <c r="E85" i="122"/>
  <c r="E98" i="122"/>
  <c r="E44" i="122"/>
  <c r="E47" i="122"/>
  <c r="E87" i="122"/>
  <c r="E101" i="122"/>
  <c r="E23" i="122"/>
  <c r="E34" i="122"/>
  <c r="E48" i="122"/>
  <c r="E50" i="122"/>
  <c r="E94" i="122"/>
  <c r="E100" i="122"/>
  <c r="E112" i="122"/>
  <c r="E24" i="122"/>
  <c r="E39" i="122"/>
  <c r="E49" i="122"/>
  <c r="E62" i="122"/>
  <c r="E394" i="122"/>
  <c r="E84" i="122"/>
  <c r="E694" i="116"/>
  <c r="BD73" i="116" l="1"/>
  <c r="AV73" i="116"/>
  <c r="AU73" i="116"/>
  <c r="AT73" i="116"/>
  <c r="AP73" i="116"/>
  <c r="AN73" i="116"/>
  <c r="AM73" i="116"/>
  <c r="AL73" i="116"/>
  <c r="AK73" i="116"/>
  <c r="AJ73" i="116"/>
  <c r="AI73" i="116"/>
  <c r="AH73" i="116"/>
  <c r="AH22" i="116"/>
  <c r="AI22" i="116"/>
  <c r="AJ22" i="116"/>
  <c r="AK22" i="116"/>
  <c r="AL22" i="116"/>
  <c r="AM22" i="116"/>
  <c r="AN22" i="116"/>
  <c r="AP22" i="116"/>
  <c r="AT22" i="116"/>
  <c r="AU22" i="116"/>
  <c r="AV22" i="116"/>
  <c r="B685" i="116" l="1"/>
  <c r="B684" i="116"/>
  <c r="Q62" i="118" l="1"/>
  <c r="P62" i="118"/>
  <c r="P63" i="118" s="1"/>
  <c r="E62" i="118"/>
  <c r="D62" i="118"/>
  <c r="D63" i="118" s="1"/>
  <c r="D158" i="118" l="1"/>
  <c r="D134" i="118"/>
  <c r="H25" i="120" l="1"/>
  <c r="H15" i="120"/>
  <c r="H23" i="120"/>
  <c r="H27" i="120"/>
  <c r="H19" i="120"/>
  <c r="G10" i="120"/>
  <c r="E10" i="120" s="1"/>
  <c r="G8" i="120"/>
  <c r="E8" i="120" s="1"/>
  <c r="G9" i="120"/>
  <c r="E9" i="120" s="1"/>
  <c r="G7" i="120"/>
  <c r="E7" i="120" s="1"/>
  <c r="H17" i="120"/>
  <c r="H13" i="120"/>
  <c r="H29" i="120" l="1"/>
  <c r="H21" i="120"/>
  <c r="P64" i="118"/>
  <c r="Q59" i="118"/>
  <c r="P59" i="118"/>
  <c r="D59" i="118"/>
  <c r="D64" i="118"/>
  <c r="E59" i="118"/>
  <c r="D166" i="118"/>
  <c r="C166" i="118" s="1"/>
  <c r="E57" i="122" s="1"/>
  <c r="D163" i="118"/>
  <c r="C163" i="118" s="1"/>
  <c r="E54" i="122" s="1"/>
  <c r="D162" i="118"/>
  <c r="C162" i="118" s="1"/>
  <c r="E53" i="122" s="1"/>
  <c r="D161" i="118"/>
  <c r="C161" i="118" s="1"/>
  <c r="E52" i="122" s="1"/>
  <c r="D142" i="118"/>
  <c r="C142" i="118" s="1"/>
  <c r="E108" i="122" s="1"/>
  <c r="D139" i="118"/>
  <c r="C139" i="118" s="1"/>
  <c r="D138" i="118"/>
  <c r="C138" i="118" s="1"/>
  <c r="E104" i="122" s="1"/>
  <c r="D137" i="118"/>
  <c r="C137" i="118" s="1"/>
  <c r="E103" i="122" s="1"/>
  <c r="C113" i="118"/>
  <c r="D145" i="118" s="1"/>
  <c r="C145" i="118" s="1"/>
  <c r="E111" i="122" s="1"/>
  <c r="E97" i="118"/>
  <c r="E93" i="118"/>
  <c r="M156" i="118"/>
  <c r="T156" i="118"/>
  <c r="M132" i="118"/>
  <c r="T132" i="118"/>
  <c r="B382" i="116"/>
  <c r="B381" i="116"/>
  <c r="B378" i="116"/>
  <c r="BC96" i="116"/>
  <c r="BA96" i="116"/>
  <c r="BA45" i="116"/>
  <c r="BC45" i="116"/>
  <c r="BD86" i="116"/>
  <c r="BB86" i="116"/>
  <c r="AZ86" i="116"/>
  <c r="BD74" i="116"/>
  <c r="BC74" i="116"/>
  <c r="BA74" i="116"/>
  <c r="R74" i="116"/>
  <c r="AZ35" i="116"/>
  <c r="BB35" i="116"/>
  <c r="BD35" i="116"/>
  <c r="BD112" i="116"/>
  <c r="BB112" i="116"/>
  <c r="AZ112" i="116"/>
  <c r="AX112" i="116"/>
  <c r="AV112" i="116"/>
  <c r="BD100" i="116"/>
  <c r="AZ100" i="116"/>
  <c r="AV100" i="116"/>
  <c r="AR100" i="116"/>
  <c r="AN100" i="116"/>
  <c r="AV61" i="116"/>
  <c r="AX61" i="116"/>
  <c r="AZ61" i="116"/>
  <c r="BB61" i="116"/>
  <c r="BD61" i="116"/>
  <c r="AN49" i="116"/>
  <c r="AR49" i="116"/>
  <c r="AV49" i="116"/>
  <c r="AZ49" i="116"/>
  <c r="BD49" i="116"/>
  <c r="BA23" i="116"/>
  <c r="BC23" i="116"/>
  <c r="BD23" i="116"/>
  <c r="R23" i="116"/>
  <c r="AZ116" i="116"/>
  <c r="U116" i="116"/>
  <c r="BC116" i="116" s="1"/>
  <c r="S116" i="116"/>
  <c r="BB116" i="116" s="1"/>
  <c r="AZ115" i="116"/>
  <c r="S115" i="116"/>
  <c r="BB115" i="116" s="1"/>
  <c r="U115" i="116"/>
  <c r="BC115" i="116" s="1"/>
  <c r="T121" i="118"/>
  <c r="E29" i="118"/>
  <c r="C192" i="118" s="1"/>
  <c r="E382" i="122" s="1"/>
  <c r="E47" i="118"/>
  <c r="G47" i="118"/>
  <c r="G43" i="118"/>
  <c r="D183" i="118"/>
  <c r="D182" i="118"/>
  <c r="D176" i="118"/>
  <c r="U10" i="118"/>
  <c r="U9" i="118"/>
  <c r="U8" i="118"/>
  <c r="U7" i="118"/>
  <c r="U6" i="118"/>
  <c r="U4" i="118"/>
  <c r="U3" i="118"/>
  <c r="E142" i="119"/>
  <c r="E545" i="116" s="1"/>
  <c r="E140" i="119"/>
  <c r="E228" i="119"/>
  <c r="G228" i="119" s="1"/>
  <c r="E227" i="119"/>
  <c r="E210" i="119"/>
  <c r="E209" i="119"/>
  <c r="E612" i="116" s="1"/>
  <c r="E192" i="119"/>
  <c r="E191" i="119"/>
  <c r="G191" i="119" s="1"/>
  <c r="E174" i="119"/>
  <c r="E173" i="119"/>
  <c r="G173" i="119" s="1"/>
  <c r="E92" i="119"/>
  <c r="G92" i="119" s="1"/>
  <c r="E91" i="119"/>
  <c r="E74" i="119"/>
  <c r="E73" i="119"/>
  <c r="G73" i="119" s="1"/>
  <c r="L226" i="119"/>
  <c r="K226" i="119" s="1"/>
  <c r="L225" i="119"/>
  <c r="K225" i="119" s="1"/>
  <c r="L208" i="119"/>
  <c r="K208" i="119" s="1"/>
  <c r="L207" i="119"/>
  <c r="K207" i="119" s="1"/>
  <c r="L190" i="119"/>
  <c r="K190" i="119" s="1"/>
  <c r="L189" i="119"/>
  <c r="K189" i="119" s="1"/>
  <c r="L172" i="119"/>
  <c r="K172" i="119" s="1"/>
  <c r="L171" i="119"/>
  <c r="K171" i="119" s="1"/>
  <c r="L90" i="119"/>
  <c r="K90" i="119" s="1"/>
  <c r="L89" i="119"/>
  <c r="K89" i="119" s="1"/>
  <c r="L72" i="119"/>
  <c r="K72" i="119" s="1"/>
  <c r="L71" i="119"/>
  <c r="K71" i="119" s="1"/>
  <c r="N25" i="118"/>
  <c r="C150" i="118" s="1"/>
  <c r="N24" i="118"/>
  <c r="N23" i="118"/>
  <c r="T120" i="118"/>
  <c r="D120" i="118"/>
  <c r="C120" i="118" s="1"/>
  <c r="R120" i="118"/>
  <c r="BD401" i="116"/>
  <c r="BC401" i="116"/>
  <c r="BB401" i="116"/>
  <c r="BA401" i="116"/>
  <c r="AZ401" i="116"/>
  <c r="AY401" i="116"/>
  <c r="AW401" i="116"/>
  <c r="AV401" i="116"/>
  <c r="AU401" i="116"/>
  <c r="AT401" i="116"/>
  <c r="AS401" i="116"/>
  <c r="AF395" i="116"/>
  <c r="AE395" i="116"/>
  <c r="AD395" i="116"/>
  <c r="AC395" i="116"/>
  <c r="AB395" i="116"/>
  <c r="AA395" i="116"/>
  <c r="Z395" i="116"/>
  <c r="Y395" i="116"/>
  <c r="R118" i="118"/>
  <c r="D118" i="118"/>
  <c r="C118" i="118" s="1"/>
  <c r="E8" i="122" s="1"/>
  <c r="F119" i="118"/>
  <c r="H119" i="118"/>
  <c r="J119" i="118"/>
  <c r="K119" i="118"/>
  <c r="L119" i="118"/>
  <c r="Q119" i="118"/>
  <c r="R119" i="118"/>
  <c r="B667" i="116"/>
  <c r="B666" i="116"/>
  <c r="B665" i="116"/>
  <c r="B664" i="116"/>
  <c r="B686" i="116"/>
  <c r="B683" i="116"/>
  <c r="B681" i="116"/>
  <c r="B682" i="116"/>
  <c r="B680" i="116"/>
  <c r="B679" i="116"/>
  <c r="B678" i="116"/>
  <c r="B677" i="116"/>
  <c r="J43" i="118"/>
  <c r="I43" i="118"/>
  <c r="M21" i="118"/>
  <c r="L88" i="119" s="1"/>
  <c r="K88" i="119" s="1"/>
  <c r="C183" i="118"/>
  <c r="E382" i="116" s="1"/>
  <c r="C179" i="118"/>
  <c r="E379" i="122" s="1"/>
  <c r="C172" i="118"/>
  <c r="E376" i="122" s="1"/>
  <c r="C176" i="118"/>
  <c r="E378" i="122" s="1"/>
  <c r="AX671" i="116"/>
  <c r="AZ671" i="116"/>
  <c r="W671" i="116"/>
  <c r="BD671" i="116" s="1"/>
  <c r="E670" i="116"/>
  <c r="B52" i="118"/>
  <c r="B51" i="118"/>
  <c r="B50" i="118"/>
  <c r="B49" i="118"/>
  <c r="B48" i="118"/>
  <c r="B47" i="118"/>
  <c r="B46" i="118"/>
  <c r="D121" i="118"/>
  <c r="C121" i="118" s="1"/>
  <c r="AS402" i="116"/>
  <c r="AT402" i="116"/>
  <c r="AU402" i="116"/>
  <c r="AV402" i="116"/>
  <c r="AW402" i="116"/>
  <c r="AY402" i="116"/>
  <c r="AZ402" i="116"/>
  <c r="BA402" i="116"/>
  <c r="BB402" i="116"/>
  <c r="BD402" i="116"/>
  <c r="BC402" i="116"/>
  <c r="O119" i="118"/>
  <c r="E405" i="116"/>
  <c r="BD686" i="116"/>
  <c r="E686" i="116" s="1"/>
  <c r="E685" i="116"/>
  <c r="E684" i="116"/>
  <c r="E393" i="116"/>
  <c r="E392" i="116"/>
  <c r="E391" i="116"/>
  <c r="E390" i="116"/>
  <c r="E389" i="116"/>
  <c r="BD387" i="116"/>
  <c r="E387" i="116" s="1"/>
  <c r="AZ386" i="116"/>
  <c r="BD386" i="116"/>
  <c r="BD385" i="116"/>
  <c r="E385" i="116" s="1"/>
  <c r="BD384" i="116"/>
  <c r="E384" i="116" s="1"/>
  <c r="BD111" i="116"/>
  <c r="BB111" i="116"/>
  <c r="AZ111" i="116"/>
  <c r="AX111" i="116"/>
  <c r="AV111" i="116"/>
  <c r="BD99" i="116"/>
  <c r="AV99" i="116"/>
  <c r="AU99" i="116"/>
  <c r="BA98" i="116"/>
  <c r="AZ98" i="116"/>
  <c r="AX98" i="116"/>
  <c r="AW98" i="116"/>
  <c r="AV98" i="116"/>
  <c r="AU98" i="116"/>
  <c r="AT98" i="116"/>
  <c r="AS98" i="116"/>
  <c r="AR98" i="116"/>
  <c r="AQ98" i="116"/>
  <c r="BD97" i="116"/>
  <c r="BC97" i="116"/>
  <c r="BB97" i="116"/>
  <c r="BA97" i="116"/>
  <c r="AZ97" i="116"/>
  <c r="AX97" i="116"/>
  <c r="AV97" i="116"/>
  <c r="AU97" i="116"/>
  <c r="L95" i="116"/>
  <c r="E95" i="116"/>
  <c r="BD94" i="116"/>
  <c r="BC94" i="116"/>
  <c r="BB94" i="116"/>
  <c r="BA94" i="116"/>
  <c r="BD93" i="116"/>
  <c r="BC93" i="116"/>
  <c r="BB93" i="116"/>
  <c r="BA93" i="116"/>
  <c r="AZ93" i="116"/>
  <c r="BD89" i="116"/>
  <c r="BC89" i="116"/>
  <c r="L87" i="116"/>
  <c r="E87" i="116"/>
  <c r="L85" i="116"/>
  <c r="E85" i="116"/>
  <c r="BD84" i="116"/>
  <c r="BC84" i="116"/>
  <c r="BB84" i="116"/>
  <c r="BA84" i="116"/>
  <c r="AX83" i="116"/>
  <c r="AV83" i="116"/>
  <c r="AU83" i="116"/>
  <c r="AT83" i="116"/>
  <c r="W83" i="116"/>
  <c r="BD83" i="116" s="1"/>
  <c r="U83" i="116"/>
  <c r="AY83" i="116" s="1"/>
  <c r="L82" i="116"/>
  <c r="E82" i="116"/>
  <c r="L81" i="116"/>
  <c r="E81" i="116"/>
  <c r="L80" i="116"/>
  <c r="E80" i="116"/>
  <c r="L79" i="116"/>
  <c r="E79" i="116"/>
  <c r="L78" i="116"/>
  <c r="E78" i="116"/>
  <c r="L77" i="116"/>
  <c r="E77" i="116"/>
  <c r="L76" i="116"/>
  <c r="E76" i="116"/>
  <c r="L75" i="116"/>
  <c r="E75" i="116"/>
  <c r="L72" i="116"/>
  <c r="E72" i="116"/>
  <c r="BD65" i="116"/>
  <c r="AV65" i="116"/>
  <c r="AT65" i="116"/>
  <c r="E36" i="116"/>
  <c r="AV60" i="116"/>
  <c r="AX60" i="116"/>
  <c r="AZ60" i="116"/>
  <c r="BB60" i="116"/>
  <c r="BD60" i="116"/>
  <c r="D144" i="118"/>
  <c r="C144" i="118"/>
  <c r="E110" i="122" s="1"/>
  <c r="AU48" i="116"/>
  <c r="AV48" i="116"/>
  <c r="BD48" i="116"/>
  <c r="AQ47" i="116"/>
  <c r="AR47" i="116"/>
  <c r="AS47" i="116"/>
  <c r="AT47" i="116"/>
  <c r="AU47" i="116"/>
  <c r="AV47" i="116"/>
  <c r="AW47" i="116"/>
  <c r="AX47" i="116"/>
  <c r="AZ47" i="116"/>
  <c r="BA47" i="116"/>
  <c r="AU46" i="116"/>
  <c r="AV46" i="116"/>
  <c r="AX46" i="116"/>
  <c r="AZ46" i="116"/>
  <c r="BA46" i="116"/>
  <c r="BB46" i="116"/>
  <c r="BC46" i="116"/>
  <c r="BD46" i="116"/>
  <c r="E44" i="116"/>
  <c r="L44" i="116"/>
  <c r="BD43" i="116"/>
  <c r="BC43" i="116"/>
  <c r="BB43" i="116"/>
  <c r="BA43" i="116"/>
  <c r="AZ42" i="116"/>
  <c r="BA42" i="116"/>
  <c r="BB42" i="116"/>
  <c r="BC42" i="116"/>
  <c r="BD42" i="116"/>
  <c r="BC38" i="116"/>
  <c r="BD38" i="116"/>
  <c r="E38" i="116" s="1"/>
  <c r="L36" i="116"/>
  <c r="E34" i="116"/>
  <c r="L34" i="116"/>
  <c r="BA33" i="116"/>
  <c r="BB33" i="116"/>
  <c r="BC33" i="116"/>
  <c r="BD33" i="116"/>
  <c r="AT32" i="116"/>
  <c r="AU32" i="116"/>
  <c r="AV32" i="116"/>
  <c r="AX32" i="116"/>
  <c r="U32" i="116"/>
  <c r="AY32" i="116" s="1"/>
  <c r="W32" i="116"/>
  <c r="BD32" i="116" s="1"/>
  <c r="E31" i="116"/>
  <c r="E30" i="116"/>
  <c r="E29" i="116"/>
  <c r="E28" i="116"/>
  <c r="E27" i="116"/>
  <c r="E26" i="116"/>
  <c r="L31" i="116"/>
  <c r="L30" i="116"/>
  <c r="L29" i="116"/>
  <c r="L28" i="116"/>
  <c r="L27" i="116"/>
  <c r="L26" i="116"/>
  <c r="E25" i="116"/>
  <c r="L25" i="116"/>
  <c r="E24" i="116"/>
  <c r="L24" i="116"/>
  <c r="BD22" i="116"/>
  <c r="L21" i="116"/>
  <c r="E21" i="116"/>
  <c r="AV14" i="116"/>
  <c r="AT14" i="116"/>
  <c r="BD14" i="116"/>
  <c r="D165" i="118"/>
  <c r="C165" i="118" s="1"/>
  <c r="E56" i="122" s="1"/>
  <c r="D164" i="118"/>
  <c r="C164" i="118" s="1"/>
  <c r="E55" i="122" s="1"/>
  <c r="D160" i="118"/>
  <c r="C160" i="118"/>
  <c r="E51" i="122" s="1"/>
  <c r="D152" i="118"/>
  <c r="C152" i="118" s="1"/>
  <c r="E21" i="122" s="1"/>
  <c r="D141" i="118"/>
  <c r="C141" i="118"/>
  <c r="E107" i="122" s="1"/>
  <c r="D140" i="118"/>
  <c r="C140" i="118"/>
  <c r="E106" i="122" s="1"/>
  <c r="D136" i="118"/>
  <c r="C136" i="118" s="1"/>
  <c r="E102" i="122" s="1"/>
  <c r="D128" i="118"/>
  <c r="C128" i="118" s="1"/>
  <c r="E72" i="122" s="1"/>
  <c r="E78" i="118"/>
  <c r="Q78" i="118"/>
  <c r="D151" i="118"/>
  <c r="C151" i="118"/>
  <c r="E20" i="122" s="1"/>
  <c r="C182" i="118"/>
  <c r="E380" i="122" s="1"/>
  <c r="P80" i="118"/>
  <c r="L78" i="118"/>
  <c r="D168" i="118"/>
  <c r="C168" i="118"/>
  <c r="E59" i="122" s="1"/>
  <c r="C43" i="118"/>
  <c r="D43" i="118"/>
  <c r="I73" i="118"/>
  <c r="E73" i="118"/>
  <c r="O83" i="118"/>
  <c r="U83" i="118"/>
  <c r="Q83" i="118"/>
  <c r="O72" i="118"/>
  <c r="U72" i="118"/>
  <c r="Q72" i="118"/>
  <c r="D127" i="118"/>
  <c r="C127" i="118"/>
  <c r="E71" i="122" s="1"/>
  <c r="K211" i="119"/>
  <c r="K193" i="119"/>
  <c r="K175" i="119"/>
  <c r="K157" i="119"/>
  <c r="K75" i="119"/>
  <c r="K57" i="119"/>
  <c r="E407" i="116"/>
  <c r="G407" i="116" s="1"/>
  <c r="E10" i="116"/>
  <c r="Y396" i="116"/>
  <c r="Z396" i="116"/>
  <c r="AA396" i="116"/>
  <c r="AB396" i="116"/>
  <c r="AC396" i="116"/>
  <c r="AD396" i="116"/>
  <c r="AE396" i="116"/>
  <c r="AF396" i="116"/>
  <c r="Y397" i="116"/>
  <c r="Z397" i="116"/>
  <c r="AA397" i="116"/>
  <c r="AB397" i="116"/>
  <c r="AC397" i="116"/>
  <c r="AD397" i="116"/>
  <c r="AE397" i="116"/>
  <c r="AF397" i="116"/>
  <c r="Y398" i="116"/>
  <c r="Z398" i="116"/>
  <c r="AB398" i="116"/>
  <c r="AC398" i="116"/>
  <c r="AD398" i="116"/>
  <c r="AE398" i="116"/>
  <c r="AF398" i="116"/>
  <c r="Y399" i="116"/>
  <c r="Z399" i="116"/>
  <c r="AA399" i="116"/>
  <c r="AB399" i="116"/>
  <c r="AC399" i="116"/>
  <c r="AD399" i="116"/>
  <c r="AE399" i="116"/>
  <c r="AF399" i="116"/>
  <c r="AD674" i="116"/>
  <c r="AF674" i="116"/>
  <c r="AB675" i="116"/>
  <c r="AF675" i="116"/>
  <c r="AF404" i="116"/>
  <c r="E404" i="116"/>
  <c r="V405" i="116"/>
  <c r="AF405" i="116"/>
  <c r="E408" i="116"/>
  <c r="G408" i="116" s="1"/>
  <c r="E409" i="116"/>
  <c r="G409" i="116" s="1"/>
  <c r="E410" i="116"/>
  <c r="G410" i="116" s="1"/>
  <c r="E411" i="116"/>
  <c r="G411" i="116" s="1"/>
  <c r="E412" i="116"/>
  <c r="G412" i="116" s="1"/>
  <c r="E413" i="116"/>
  <c r="G413" i="116" s="1"/>
  <c r="E414" i="116"/>
  <c r="G414" i="116" s="1"/>
  <c r="E415" i="116"/>
  <c r="G415" i="116" s="1"/>
  <c r="E416" i="116"/>
  <c r="E425" i="116"/>
  <c r="E426" i="116"/>
  <c r="E427" i="116"/>
  <c r="E428" i="116"/>
  <c r="E429" i="116"/>
  <c r="E430" i="116"/>
  <c r="E431" i="116"/>
  <c r="E432" i="116"/>
  <c r="E433" i="116"/>
  <c r="E434" i="116"/>
  <c r="E435" i="116"/>
  <c r="E436" i="116"/>
  <c r="E437" i="116"/>
  <c r="E438" i="116"/>
  <c r="E439" i="116"/>
  <c r="E440" i="116"/>
  <c r="E441" i="116"/>
  <c r="E442" i="116"/>
  <c r="E443" i="116"/>
  <c r="E444" i="116"/>
  <c r="E445" i="116"/>
  <c r="E446" i="116"/>
  <c r="E447" i="116"/>
  <c r="E448" i="116"/>
  <c r="E449" i="116"/>
  <c r="E450" i="116"/>
  <c r="E451" i="116"/>
  <c r="E452" i="116"/>
  <c r="E453" i="116"/>
  <c r="E454" i="116"/>
  <c r="E455" i="116"/>
  <c r="E456" i="116"/>
  <c r="E457" i="116"/>
  <c r="E458" i="116"/>
  <c r="E459" i="116"/>
  <c r="E460" i="116"/>
  <c r="E497" i="116"/>
  <c r="E498" i="116"/>
  <c r="E499" i="116"/>
  <c r="E500" i="116"/>
  <c r="E501" i="116"/>
  <c r="E515" i="116"/>
  <c r="E516" i="116"/>
  <c r="E517" i="116"/>
  <c r="E518" i="116"/>
  <c r="E519" i="116"/>
  <c r="E520" i="116"/>
  <c r="E521" i="116"/>
  <c r="E522" i="116"/>
  <c r="E523" i="116"/>
  <c r="E524" i="116"/>
  <c r="E525" i="116"/>
  <c r="E526" i="116"/>
  <c r="E527" i="116"/>
  <c r="E528" i="116"/>
  <c r="E529" i="116"/>
  <c r="E530" i="116"/>
  <c r="E531" i="116"/>
  <c r="E532" i="116"/>
  <c r="E535" i="116"/>
  <c r="E536" i="116"/>
  <c r="E537" i="116"/>
  <c r="E538" i="116"/>
  <c r="E539" i="116"/>
  <c r="E547" i="116"/>
  <c r="E548" i="116"/>
  <c r="E549" i="116"/>
  <c r="E550" i="116"/>
  <c r="E551" i="116"/>
  <c r="E552" i="116"/>
  <c r="E553" i="116"/>
  <c r="E555" i="116"/>
  <c r="E556" i="116"/>
  <c r="E557" i="116"/>
  <c r="E558" i="116"/>
  <c r="E559" i="116"/>
  <c r="E560" i="116"/>
  <c r="E633" i="116"/>
  <c r="E634" i="116"/>
  <c r="E635" i="116"/>
  <c r="E636" i="116"/>
  <c r="E637" i="116"/>
  <c r="E638" i="116"/>
  <c r="E639" i="116"/>
  <c r="E640" i="116"/>
  <c r="E641" i="116"/>
  <c r="E642" i="116"/>
  <c r="E643" i="116"/>
  <c r="E644" i="116"/>
  <c r="E645" i="116"/>
  <c r="E646" i="116"/>
  <c r="E647" i="116"/>
  <c r="E648" i="116"/>
  <c r="E649" i="116"/>
  <c r="E650" i="116"/>
  <c r="E651" i="116"/>
  <c r="E652" i="116"/>
  <c r="E653" i="116"/>
  <c r="E654" i="116"/>
  <c r="E655" i="116"/>
  <c r="E656" i="116"/>
  <c r="E657" i="116"/>
  <c r="E658" i="116"/>
  <c r="E659" i="116"/>
  <c r="E660" i="116"/>
  <c r="E661" i="116"/>
  <c r="AA665" i="116"/>
  <c r="AB665" i="116"/>
  <c r="AD665" i="116"/>
  <c r="AB677" i="116"/>
  <c r="AF677" i="116"/>
  <c r="Y678" i="116"/>
  <c r="Z678" i="116"/>
  <c r="AA678" i="116"/>
  <c r="AB678" i="116"/>
  <c r="AC678" i="116"/>
  <c r="AD678" i="116"/>
  <c r="AE678" i="116"/>
  <c r="AF678" i="116"/>
  <c r="AD679" i="116"/>
  <c r="AE679" i="116"/>
  <c r="AF679" i="116"/>
  <c r="AC680" i="116"/>
  <c r="AD680" i="116"/>
  <c r="V681" i="116"/>
  <c r="AF681" i="116"/>
  <c r="E681" i="116" s="1"/>
  <c r="Y682" i="116"/>
  <c r="Z682" i="116"/>
  <c r="AA682" i="116"/>
  <c r="AB682" i="116"/>
  <c r="AC682" i="116"/>
  <c r="AD682" i="116"/>
  <c r="AE682" i="116"/>
  <c r="AF682" i="116"/>
  <c r="AB683" i="116"/>
  <c r="AF683" i="116"/>
  <c r="G4" i="119"/>
  <c r="G5" i="119"/>
  <c r="G6" i="119"/>
  <c r="G7" i="119"/>
  <c r="G8" i="119"/>
  <c r="G9" i="119"/>
  <c r="G10" i="119"/>
  <c r="G11" i="119"/>
  <c r="G12" i="119"/>
  <c r="G13" i="119"/>
  <c r="E14" i="119"/>
  <c r="E417" i="116"/>
  <c r="K14" i="119"/>
  <c r="E15" i="119"/>
  <c r="E418" i="116" s="1"/>
  <c r="K15" i="119"/>
  <c r="E16" i="119"/>
  <c r="E419" i="116"/>
  <c r="K16" i="119"/>
  <c r="E17" i="119"/>
  <c r="G17" i="119" s="1"/>
  <c r="K17" i="119"/>
  <c r="E18" i="119"/>
  <c r="E421" i="116"/>
  <c r="G18" i="119"/>
  <c r="K18" i="119"/>
  <c r="E19" i="119"/>
  <c r="E422" i="116"/>
  <c r="G19" i="119"/>
  <c r="K19" i="119"/>
  <c r="E20" i="119"/>
  <c r="G20" i="119" s="1"/>
  <c r="E423" i="116"/>
  <c r="K20" i="119"/>
  <c r="E21" i="119"/>
  <c r="G21" i="119"/>
  <c r="K21" i="119"/>
  <c r="G22" i="119"/>
  <c r="G23" i="119"/>
  <c r="G24" i="119"/>
  <c r="G25" i="119"/>
  <c r="G26" i="119"/>
  <c r="G27" i="119"/>
  <c r="G28" i="119"/>
  <c r="G29" i="119"/>
  <c r="G30" i="119"/>
  <c r="G31" i="119"/>
  <c r="G32" i="119"/>
  <c r="G33" i="119"/>
  <c r="G34" i="119"/>
  <c r="G35" i="119"/>
  <c r="G36" i="119"/>
  <c r="G37" i="119"/>
  <c r="G38" i="119"/>
  <c r="G39" i="119"/>
  <c r="G40" i="119"/>
  <c r="G41" i="119"/>
  <c r="G42" i="119"/>
  <c r="G43" i="119"/>
  <c r="G44" i="119"/>
  <c r="G45" i="119"/>
  <c r="G46" i="119"/>
  <c r="G47" i="119"/>
  <c r="G48" i="119"/>
  <c r="G49" i="119"/>
  <c r="G50" i="119"/>
  <c r="G51" i="119"/>
  <c r="G52" i="119"/>
  <c r="G53" i="119"/>
  <c r="G54" i="119"/>
  <c r="G55" i="119"/>
  <c r="G56" i="119"/>
  <c r="G57" i="119"/>
  <c r="G94" i="119"/>
  <c r="G95" i="119"/>
  <c r="G96" i="119"/>
  <c r="G97" i="119"/>
  <c r="G98" i="119"/>
  <c r="E99" i="119"/>
  <c r="G99" i="119"/>
  <c r="K99" i="119"/>
  <c r="E100" i="119"/>
  <c r="G100" i="119" s="1"/>
  <c r="K100" i="119"/>
  <c r="E101" i="119"/>
  <c r="G101" i="119" s="1"/>
  <c r="K101" i="119"/>
  <c r="E102" i="119"/>
  <c r="E505" i="116" s="1"/>
  <c r="K102" i="119"/>
  <c r="E103" i="119"/>
  <c r="E506" i="116"/>
  <c r="K103" i="119"/>
  <c r="E104" i="119"/>
  <c r="E507" i="116" s="1"/>
  <c r="G104" i="119"/>
  <c r="K104" i="119"/>
  <c r="E105" i="119"/>
  <c r="E508" i="116" s="1"/>
  <c r="K105" i="119"/>
  <c r="E106" i="119"/>
  <c r="E509" i="116"/>
  <c r="K106" i="119"/>
  <c r="E107" i="119"/>
  <c r="G107" i="119" s="1"/>
  <c r="K107" i="119"/>
  <c r="E108" i="119"/>
  <c r="G108" i="119" s="1"/>
  <c r="K108" i="119"/>
  <c r="E109" i="119"/>
  <c r="E512" i="116"/>
  <c r="K109" i="119"/>
  <c r="E110" i="119"/>
  <c r="G110" i="119" s="1"/>
  <c r="K110" i="119"/>
  <c r="E111" i="119"/>
  <c r="E514" i="116"/>
  <c r="G111" i="119"/>
  <c r="K111" i="119"/>
  <c r="G112" i="119"/>
  <c r="G113" i="119"/>
  <c r="G114" i="119"/>
  <c r="G115" i="119"/>
  <c r="G116" i="119"/>
  <c r="G117" i="119"/>
  <c r="G118" i="119"/>
  <c r="G119" i="119"/>
  <c r="G120" i="119"/>
  <c r="G121" i="119"/>
  <c r="G122" i="119"/>
  <c r="G123" i="119"/>
  <c r="G124" i="119"/>
  <c r="G125" i="119"/>
  <c r="G126" i="119"/>
  <c r="G127" i="119"/>
  <c r="G128" i="119"/>
  <c r="G129" i="119"/>
  <c r="E130" i="119"/>
  <c r="G130" i="119" s="1"/>
  <c r="G132" i="119"/>
  <c r="G133" i="119"/>
  <c r="G134" i="119"/>
  <c r="G135" i="119"/>
  <c r="G136" i="119"/>
  <c r="E139" i="119"/>
  <c r="G139" i="119" s="1"/>
  <c r="G144" i="119"/>
  <c r="G145" i="119"/>
  <c r="G146" i="119"/>
  <c r="G147" i="119"/>
  <c r="G148" i="119"/>
  <c r="G149" i="119"/>
  <c r="G150" i="119"/>
  <c r="E151" i="119"/>
  <c r="E554" i="116" s="1"/>
  <c r="G152" i="119"/>
  <c r="G153" i="119"/>
  <c r="G154" i="119"/>
  <c r="G155" i="119"/>
  <c r="G156" i="119"/>
  <c r="G157" i="119"/>
  <c r="G230" i="119"/>
  <c r="G231" i="119"/>
  <c r="G232" i="119"/>
  <c r="G233" i="119"/>
  <c r="G234" i="119"/>
  <c r="G235" i="119"/>
  <c r="G236" i="119"/>
  <c r="G237" i="119"/>
  <c r="G238" i="119"/>
  <c r="G239" i="119"/>
  <c r="G240" i="119"/>
  <c r="G241" i="119"/>
  <c r="G242" i="119"/>
  <c r="G243" i="119"/>
  <c r="G244" i="119"/>
  <c r="G245" i="119"/>
  <c r="G246" i="119"/>
  <c r="G247" i="119"/>
  <c r="G248" i="119"/>
  <c r="G249" i="119"/>
  <c r="G250" i="119"/>
  <c r="G251" i="119"/>
  <c r="G252" i="119"/>
  <c r="G253" i="119"/>
  <c r="G254" i="119"/>
  <c r="G255" i="119"/>
  <c r="G256" i="119"/>
  <c r="G257" i="119"/>
  <c r="G258" i="119"/>
  <c r="L77" i="119"/>
  <c r="O76" i="119" s="1"/>
  <c r="L216" i="119"/>
  <c r="L214" i="119"/>
  <c r="O214" i="119" s="1"/>
  <c r="L163" i="119"/>
  <c r="O166" i="119" s="1"/>
  <c r="H22" i="118"/>
  <c r="L220" i="119"/>
  <c r="L205" i="119"/>
  <c r="O207" i="119" s="1"/>
  <c r="L85" i="119"/>
  <c r="I72" i="118"/>
  <c r="E72" i="118"/>
  <c r="J76" i="118"/>
  <c r="V76" i="118"/>
  <c r="K77" i="118"/>
  <c r="W77" i="118"/>
  <c r="D79" i="118"/>
  <c r="P79" i="118"/>
  <c r="I83" i="118"/>
  <c r="E83" i="118"/>
  <c r="E95" i="118"/>
  <c r="E105" i="118"/>
  <c r="G102" i="119"/>
  <c r="E424" i="116"/>
  <c r="D169" i="118"/>
  <c r="C169" i="118" s="1"/>
  <c r="E60" i="122" s="1"/>
  <c r="E109" i="116"/>
  <c r="E74" i="118"/>
  <c r="U73" i="118"/>
  <c r="Q73" i="118"/>
  <c r="B53" i="118"/>
  <c r="C189" i="118"/>
  <c r="E672" i="116"/>
  <c r="C186" i="118"/>
  <c r="E669" i="116"/>
  <c r="D175" i="118"/>
  <c r="C175" i="118"/>
  <c r="E377" i="122" s="1"/>
  <c r="E513" i="116"/>
  <c r="G106" i="119"/>
  <c r="G109" i="119"/>
  <c r="E420" i="116"/>
  <c r="G103" i="119"/>
  <c r="E502" i="116"/>
  <c r="G14" i="119"/>
  <c r="G16" i="119"/>
  <c r="C173" i="118"/>
  <c r="E376" i="116"/>
  <c r="C180" i="118"/>
  <c r="E380" i="116"/>
  <c r="E73" i="116"/>
  <c r="Q74" i="118"/>
  <c r="V75" i="118"/>
  <c r="J75" i="118"/>
  <c r="I77" i="118"/>
  <c r="C77" i="118" s="1"/>
  <c r="B672" i="116"/>
  <c r="B670" i="116"/>
  <c r="B669" i="116"/>
  <c r="G46" i="118"/>
  <c r="E43" i="118"/>
  <c r="E46" i="118"/>
  <c r="E379" i="116" l="1"/>
  <c r="E375" i="116"/>
  <c r="E58" i="116"/>
  <c r="E533" i="116"/>
  <c r="C126" i="118"/>
  <c r="E65" i="116"/>
  <c r="E386" i="116"/>
  <c r="O113" i="118"/>
  <c r="E691" i="116"/>
  <c r="E11" i="122"/>
  <c r="E11" i="116"/>
  <c r="N214" i="119"/>
  <c r="E214" i="119" s="1"/>
  <c r="N207" i="119"/>
  <c r="E207" i="119" s="1"/>
  <c r="N166" i="119"/>
  <c r="E166" i="119" s="1"/>
  <c r="N76" i="119"/>
  <c r="E76" i="119" s="1"/>
  <c r="E105" i="122"/>
  <c r="L159" i="119"/>
  <c r="L177" i="119"/>
  <c r="O177" i="119" s="1"/>
  <c r="B380" i="116"/>
  <c r="B376" i="116"/>
  <c r="L70" i="119"/>
  <c r="K70" i="119" s="1"/>
  <c r="K73" i="119" s="1"/>
  <c r="O75" i="119" s="1"/>
  <c r="L170" i="119"/>
  <c r="K170" i="119" s="1"/>
  <c r="K173" i="119" s="1"/>
  <c r="O175" i="119" s="1"/>
  <c r="L206" i="119"/>
  <c r="K206" i="119" s="1"/>
  <c r="K209" i="119" s="1"/>
  <c r="O211" i="119" s="1"/>
  <c r="L188" i="119"/>
  <c r="K188" i="119" s="1"/>
  <c r="K191" i="119" s="1"/>
  <c r="O193" i="119" s="1"/>
  <c r="L224" i="119"/>
  <c r="K224" i="119" s="1"/>
  <c r="K227" i="119" s="1"/>
  <c r="O229" i="119" s="1"/>
  <c r="E399" i="116"/>
  <c r="E677" i="116"/>
  <c r="E23" i="116"/>
  <c r="E45" i="116"/>
  <c r="E89" i="116"/>
  <c r="E33" i="116"/>
  <c r="E47" i="116"/>
  <c r="E395" i="116"/>
  <c r="E100" i="116"/>
  <c r="E683" i="116"/>
  <c r="E680" i="116"/>
  <c r="E665" i="116"/>
  <c r="E674" i="116"/>
  <c r="E675" i="116"/>
  <c r="E14" i="116"/>
  <c r="E60" i="116"/>
  <c r="E84" i="116"/>
  <c r="E94" i="116"/>
  <c r="E97" i="116"/>
  <c r="E99" i="116"/>
  <c r="E49" i="116"/>
  <c r="E401" i="116"/>
  <c r="E106" i="116"/>
  <c r="E378" i="116"/>
  <c r="E51" i="116"/>
  <c r="E102" i="116"/>
  <c r="E50" i="116"/>
  <c r="E54" i="116"/>
  <c r="E71" i="116"/>
  <c r="E104" i="116"/>
  <c r="E8" i="116"/>
  <c r="E52" i="116"/>
  <c r="E103" i="116"/>
  <c r="E19" i="116"/>
  <c r="E381" i="116"/>
  <c r="E105" i="116"/>
  <c r="E377" i="116"/>
  <c r="E110" i="116"/>
  <c r="E59" i="116"/>
  <c r="E70" i="116"/>
  <c r="E20" i="116"/>
  <c r="E53" i="116"/>
  <c r="E55" i="116"/>
  <c r="E101" i="116"/>
  <c r="E56" i="116"/>
  <c r="E107" i="116"/>
  <c r="Q105" i="118"/>
  <c r="Q97" i="118"/>
  <c r="Q95" i="118"/>
  <c r="Q93" i="118"/>
  <c r="E510" i="116"/>
  <c r="E504" i="116"/>
  <c r="E503" i="116"/>
  <c r="E137" i="119"/>
  <c r="G137" i="119" s="1"/>
  <c r="E143" i="119"/>
  <c r="E546" i="116" s="1"/>
  <c r="G151" i="119"/>
  <c r="G15" i="119"/>
  <c r="E511" i="116"/>
  <c r="E138" i="119"/>
  <c r="E541" i="116" s="1"/>
  <c r="E141" i="119"/>
  <c r="G141" i="119" s="1"/>
  <c r="G105" i="119"/>
  <c r="L161" i="119"/>
  <c r="K161" i="119" s="1"/>
  <c r="D132" i="118"/>
  <c r="C132" i="118" s="1"/>
  <c r="E91" i="122" s="1"/>
  <c r="D156" i="118"/>
  <c r="C156" i="118" s="1"/>
  <c r="E40" i="122" s="1"/>
  <c r="E678" i="116"/>
  <c r="E679" i="116"/>
  <c r="E398" i="116"/>
  <c r="E396" i="116"/>
  <c r="E43" i="116"/>
  <c r="E93" i="116"/>
  <c r="E98" i="116"/>
  <c r="E111" i="116"/>
  <c r="E671" i="116"/>
  <c r="E96" i="116"/>
  <c r="E397" i="116"/>
  <c r="E22" i="116"/>
  <c r="E48" i="116"/>
  <c r="E83" i="116"/>
  <c r="E115" i="116"/>
  <c r="E61" i="116"/>
  <c r="E112" i="116"/>
  <c r="E46" i="116"/>
  <c r="E682" i="116"/>
  <c r="E32" i="116"/>
  <c r="E42" i="116"/>
  <c r="E402" i="116"/>
  <c r="E35" i="116"/>
  <c r="E74" i="116"/>
  <c r="E86" i="116"/>
  <c r="E116" i="116"/>
  <c r="L179" i="119"/>
  <c r="K179" i="119" s="1"/>
  <c r="L79" i="119"/>
  <c r="O85" i="119" s="1"/>
  <c r="U77" i="118"/>
  <c r="O77" i="118" s="1"/>
  <c r="O82" i="118" s="1"/>
  <c r="C82" i="118"/>
  <c r="I109" i="118" s="1"/>
  <c r="E77" i="118"/>
  <c r="K95" i="118"/>
  <c r="W95" i="118" s="1"/>
  <c r="C62" i="118"/>
  <c r="J101" i="118"/>
  <c r="V101" i="118" s="1"/>
  <c r="I76" i="118"/>
  <c r="K99" i="118"/>
  <c r="W99" i="118" s="1"/>
  <c r="K107" i="118"/>
  <c r="W107" i="118" s="1"/>
  <c r="J99" i="118"/>
  <c r="V99" i="118" s="1"/>
  <c r="J93" i="118"/>
  <c r="J107" i="118"/>
  <c r="V107" i="118" s="1"/>
  <c r="J105" i="118"/>
  <c r="V105" i="118" s="1"/>
  <c r="I113" i="118"/>
  <c r="U113" i="118" s="1"/>
  <c r="L65" i="119"/>
  <c r="K65" i="119" s="1"/>
  <c r="L160" i="119"/>
  <c r="O160" i="119" s="1"/>
  <c r="D199" i="118"/>
  <c r="C199" i="118" s="1"/>
  <c r="L167" i="119"/>
  <c r="K167" i="119" s="1"/>
  <c r="L63" i="119"/>
  <c r="O66" i="119" s="1"/>
  <c r="L221" i="119"/>
  <c r="K221" i="119" s="1"/>
  <c r="L80" i="119"/>
  <c r="H47" i="118"/>
  <c r="S119" i="118" s="1"/>
  <c r="L204" i="119"/>
  <c r="O206" i="119" s="1"/>
  <c r="L66" i="119"/>
  <c r="I22" i="118"/>
  <c r="L69" i="119"/>
  <c r="O71" i="119" s="1"/>
  <c r="L184" i="119"/>
  <c r="L67" i="119"/>
  <c r="K67" i="119" s="1"/>
  <c r="C194" i="118"/>
  <c r="L182" i="119"/>
  <c r="O181" i="119" s="1"/>
  <c r="L164" i="119"/>
  <c r="O163" i="119" s="1"/>
  <c r="E22" i="118"/>
  <c r="L183" i="119"/>
  <c r="K183" i="119" s="1"/>
  <c r="L218" i="119"/>
  <c r="O217" i="119" s="1"/>
  <c r="L82" i="119"/>
  <c r="O81" i="119" s="1"/>
  <c r="L180" i="119"/>
  <c r="L62" i="119"/>
  <c r="L181" i="119"/>
  <c r="O184" i="119" s="1"/>
  <c r="L201" i="119"/>
  <c r="K201" i="119" s="1"/>
  <c r="L86" i="119"/>
  <c r="O88" i="119" s="1"/>
  <c r="L219" i="119"/>
  <c r="J22" i="118"/>
  <c r="C198" i="118"/>
  <c r="L162" i="119"/>
  <c r="F47" i="118"/>
  <c r="D174" i="118" s="1"/>
  <c r="C174" i="118" s="1"/>
  <c r="L60" i="119"/>
  <c r="O60" i="119" s="1"/>
  <c r="D122" i="118"/>
  <c r="C122" i="118" s="1"/>
  <c r="L68" i="119"/>
  <c r="O70" i="119" s="1"/>
  <c r="L178" i="119"/>
  <c r="D200" i="118"/>
  <c r="C200" i="118" s="1"/>
  <c r="L84" i="119"/>
  <c r="L203" i="119"/>
  <c r="K203" i="119" s="1"/>
  <c r="L185" i="119"/>
  <c r="K185" i="119" s="1"/>
  <c r="L168" i="119"/>
  <c r="O170" i="119" s="1"/>
  <c r="C197" i="118"/>
  <c r="L196" i="119"/>
  <c r="O196" i="119" s="1"/>
  <c r="L222" i="119"/>
  <c r="O224" i="119" s="1"/>
  <c r="F22" i="118"/>
  <c r="L78" i="119"/>
  <c r="O78" i="119" s="1"/>
  <c r="M20" i="118"/>
  <c r="L186" i="119"/>
  <c r="O188" i="119" s="1"/>
  <c r="N20" i="118"/>
  <c r="D23" i="118"/>
  <c r="L213" i="119"/>
  <c r="O212" i="119" s="1"/>
  <c r="G23" i="118"/>
  <c r="E23" i="118"/>
  <c r="L166" i="119"/>
  <c r="L59" i="119"/>
  <c r="O58" i="119" s="1"/>
  <c r="N58" i="119" s="1"/>
  <c r="L87" i="119"/>
  <c r="O89" i="119" s="1"/>
  <c r="L197" i="119"/>
  <c r="O203" i="119" s="1"/>
  <c r="L61" i="119"/>
  <c r="K61" i="119" s="1"/>
  <c r="L64" i="119"/>
  <c r="O63" i="119" s="1"/>
  <c r="L200" i="119"/>
  <c r="O199" i="119" s="1"/>
  <c r="L169" i="119"/>
  <c r="O171" i="119" s="1"/>
  <c r="F23" i="118"/>
  <c r="L202" i="119"/>
  <c r="L217" i="119"/>
  <c r="O220" i="119" s="1"/>
  <c r="L199" i="119"/>
  <c r="O202" i="119" s="1"/>
  <c r="C193" i="118"/>
  <c r="D22" i="118"/>
  <c r="L83" i="119"/>
  <c r="O86" i="119" s="1"/>
  <c r="L215" i="119"/>
  <c r="O221" i="119" s="1"/>
  <c r="D195" i="118"/>
  <c r="C195" i="118" s="1"/>
  <c r="D196" i="118"/>
  <c r="C196" i="118" s="1"/>
  <c r="L165" i="119"/>
  <c r="L187" i="119"/>
  <c r="O189" i="119" s="1"/>
  <c r="L223" i="119"/>
  <c r="L198" i="119"/>
  <c r="L195" i="119"/>
  <c r="O194" i="119" s="1"/>
  <c r="L81" i="119"/>
  <c r="O84" i="119" s="1"/>
  <c r="K85" i="119"/>
  <c r="G142" i="119"/>
  <c r="K214" i="119"/>
  <c r="E631" i="116"/>
  <c r="E630" i="116"/>
  <c r="G227" i="119"/>
  <c r="G209" i="119"/>
  <c r="G210" i="119"/>
  <c r="E613" i="116"/>
  <c r="K205" i="119"/>
  <c r="E594" i="116"/>
  <c r="E543" i="116"/>
  <c r="G140" i="119"/>
  <c r="E595" i="116"/>
  <c r="G192" i="119"/>
  <c r="E542" i="116"/>
  <c r="G174" i="119"/>
  <c r="E577" i="116"/>
  <c r="E576" i="116"/>
  <c r="K163" i="119"/>
  <c r="E495" i="116"/>
  <c r="O77" i="119"/>
  <c r="G91" i="119"/>
  <c r="E494" i="116"/>
  <c r="K91" i="119"/>
  <c r="O93" i="119" s="1"/>
  <c r="K77" i="119"/>
  <c r="G74" i="119"/>
  <c r="E477" i="116"/>
  <c r="E476" i="116"/>
  <c r="Q63" i="118" l="1"/>
  <c r="Q64" i="118" s="1"/>
  <c r="I95" i="118"/>
  <c r="U95" i="118" s="1"/>
  <c r="G214" i="119"/>
  <c r="E617" i="116"/>
  <c r="N224" i="119"/>
  <c r="E224" i="119" s="1"/>
  <c r="N221" i="119"/>
  <c r="E221" i="119" s="1"/>
  <c r="N217" i="119"/>
  <c r="E217" i="119" s="1"/>
  <c r="N229" i="119"/>
  <c r="E229" i="119" s="1"/>
  <c r="N220" i="119"/>
  <c r="E220" i="119" s="1"/>
  <c r="N212" i="119"/>
  <c r="E212" i="119" s="1"/>
  <c r="E610" i="116"/>
  <c r="G207" i="119"/>
  <c r="N203" i="119"/>
  <c r="E203" i="119" s="1"/>
  <c r="E606" i="116" s="1"/>
  <c r="N199" i="119"/>
  <c r="E199" i="119" s="1"/>
  <c r="N196" i="119"/>
  <c r="E196" i="119" s="1"/>
  <c r="E599" i="116" s="1"/>
  <c r="N206" i="119"/>
  <c r="E206" i="119" s="1"/>
  <c r="N202" i="119"/>
  <c r="E202" i="119" s="1"/>
  <c r="E605" i="116" s="1"/>
  <c r="N194" i="119"/>
  <c r="E194" i="119" s="1"/>
  <c r="N211" i="119"/>
  <c r="E211" i="119" s="1"/>
  <c r="G211" i="119" s="1"/>
  <c r="N177" i="119"/>
  <c r="E177" i="119" s="1"/>
  <c r="N189" i="119"/>
  <c r="E189" i="119" s="1"/>
  <c r="N184" i="119"/>
  <c r="E184" i="119" s="1"/>
  <c r="N188" i="119"/>
  <c r="E188" i="119" s="1"/>
  <c r="G188" i="119" s="1"/>
  <c r="N193" i="119"/>
  <c r="E193" i="119" s="1"/>
  <c r="N181" i="119"/>
  <c r="E181" i="119" s="1"/>
  <c r="G166" i="119"/>
  <c r="E569" i="116"/>
  <c r="N163" i="119"/>
  <c r="E163" i="119" s="1"/>
  <c r="N175" i="119"/>
  <c r="E175" i="119" s="1"/>
  <c r="N170" i="119"/>
  <c r="E170" i="119" s="1"/>
  <c r="O158" i="119"/>
  <c r="N158" i="119" s="1"/>
  <c r="E158" i="119" s="1"/>
  <c r="K159" i="119"/>
  <c r="N160" i="119"/>
  <c r="E160" i="119" s="1"/>
  <c r="N171" i="119"/>
  <c r="E171" i="119" s="1"/>
  <c r="E574" i="116" s="1"/>
  <c r="G76" i="119"/>
  <c r="E479" i="116"/>
  <c r="N93" i="119"/>
  <c r="E93" i="119" s="1"/>
  <c r="G93" i="119" s="1"/>
  <c r="N78" i="119"/>
  <c r="E78" i="119" s="1"/>
  <c r="N85" i="119"/>
  <c r="E85" i="119" s="1"/>
  <c r="G85" i="119" s="1"/>
  <c r="N77" i="119"/>
  <c r="E77" i="119" s="1"/>
  <c r="N86" i="119"/>
  <c r="E86" i="119" s="1"/>
  <c r="G86" i="119" s="1"/>
  <c r="N89" i="119"/>
  <c r="E89" i="119" s="1"/>
  <c r="N88" i="119"/>
  <c r="E88" i="119" s="1"/>
  <c r="G88" i="119" s="1"/>
  <c r="N81" i="119"/>
  <c r="E81" i="119" s="1"/>
  <c r="N84" i="119"/>
  <c r="E84" i="119" s="1"/>
  <c r="G84" i="119" s="1"/>
  <c r="N66" i="119"/>
  <c r="E66" i="119" s="1"/>
  <c r="N60" i="119"/>
  <c r="E60" i="119" s="1"/>
  <c r="N71" i="119"/>
  <c r="E71" i="119" s="1"/>
  <c r="N75" i="119"/>
  <c r="E75" i="119" s="1"/>
  <c r="N63" i="119"/>
  <c r="E63" i="119" s="1"/>
  <c r="N70" i="119"/>
  <c r="E70" i="119" s="1"/>
  <c r="C130" i="118"/>
  <c r="E37" i="116" s="1"/>
  <c r="G143" i="119"/>
  <c r="E544" i="116"/>
  <c r="G138" i="119"/>
  <c r="O159" i="119"/>
  <c r="K177" i="119"/>
  <c r="O176" i="119"/>
  <c r="E58" i="119"/>
  <c r="E386" i="122"/>
  <c r="E383" i="122"/>
  <c r="E387" i="122"/>
  <c r="E388" i="122"/>
  <c r="E384" i="122"/>
  <c r="E389" i="122"/>
  <c r="E385" i="122"/>
  <c r="E390" i="122"/>
  <c r="K63" i="119"/>
  <c r="I111" i="118"/>
  <c r="U111" i="118" s="1"/>
  <c r="I101" i="118"/>
  <c r="E101" i="118" s="1"/>
  <c r="I93" i="118"/>
  <c r="U93" i="118" s="1"/>
  <c r="I87" i="118"/>
  <c r="I103" i="118" s="1"/>
  <c r="I105" i="118"/>
  <c r="U105" i="118" s="1"/>
  <c r="I97" i="118"/>
  <c r="U97" i="118" s="1"/>
  <c r="I82" i="118"/>
  <c r="I91" i="118"/>
  <c r="U91" i="118" s="1"/>
  <c r="Q91" i="118" s="1"/>
  <c r="I110" i="118"/>
  <c r="U110" i="118" s="1"/>
  <c r="I89" i="118"/>
  <c r="U89" i="118" s="1"/>
  <c r="Q89" i="118" s="1"/>
  <c r="E63" i="118"/>
  <c r="E64" i="118" s="1"/>
  <c r="C23" i="118"/>
  <c r="E90" i="116"/>
  <c r="E39" i="116"/>
  <c r="K162" i="119"/>
  <c r="O167" i="119"/>
  <c r="E540" i="116"/>
  <c r="O185" i="119"/>
  <c r="O20" i="118"/>
  <c r="K79" i="119"/>
  <c r="O68" i="119"/>
  <c r="V93" i="118"/>
  <c r="O62" i="118"/>
  <c r="Q77" i="118"/>
  <c r="U76" i="118"/>
  <c r="K76" i="118"/>
  <c r="W76" i="118" s="1"/>
  <c r="I99" i="118"/>
  <c r="U99" i="118" s="1"/>
  <c r="Q99" i="118" s="1"/>
  <c r="I107" i="118"/>
  <c r="E82" i="118"/>
  <c r="I85" i="118"/>
  <c r="J111" i="118"/>
  <c r="U109" i="118"/>
  <c r="E109" i="118"/>
  <c r="Q82" i="118"/>
  <c r="C154" i="118"/>
  <c r="U82" i="118"/>
  <c r="O162" i="119"/>
  <c r="O64" i="119"/>
  <c r="K66" i="119"/>
  <c r="K78" i="119"/>
  <c r="K160" i="119"/>
  <c r="O218" i="119"/>
  <c r="O168" i="119"/>
  <c r="K219" i="119"/>
  <c r="O226" i="119"/>
  <c r="O59" i="119"/>
  <c r="K182" i="119"/>
  <c r="K168" i="119"/>
  <c r="K60" i="119"/>
  <c r="O87" i="119"/>
  <c r="O208" i="119"/>
  <c r="K220" i="119"/>
  <c r="O65" i="119"/>
  <c r="O183" i="119"/>
  <c r="O205" i="119"/>
  <c r="K169" i="119"/>
  <c r="O222" i="119"/>
  <c r="R62" i="118"/>
  <c r="K180" i="119"/>
  <c r="O197" i="119"/>
  <c r="K69" i="119"/>
  <c r="O172" i="119"/>
  <c r="O190" i="119"/>
  <c r="O186" i="119"/>
  <c r="K197" i="119"/>
  <c r="K184" i="119"/>
  <c r="D181" i="118"/>
  <c r="C181" i="118" s="1"/>
  <c r="O61" i="119"/>
  <c r="K165" i="119"/>
  <c r="O187" i="119"/>
  <c r="K204" i="119"/>
  <c r="K222" i="119"/>
  <c r="O164" i="119"/>
  <c r="K202" i="119"/>
  <c r="O82" i="119"/>
  <c r="K86" i="119"/>
  <c r="O161" i="119"/>
  <c r="K218" i="119"/>
  <c r="O200" i="119"/>
  <c r="K82" i="119"/>
  <c r="K198" i="119"/>
  <c r="O204" i="119"/>
  <c r="K164" i="119"/>
  <c r="K196" i="119"/>
  <c r="K68" i="119"/>
  <c r="O62" i="119"/>
  <c r="O72" i="119"/>
  <c r="K80" i="119"/>
  <c r="O180" i="119"/>
  <c r="O198" i="119"/>
  <c r="O219" i="119"/>
  <c r="K64" i="119"/>
  <c r="O165" i="119"/>
  <c r="O179" i="119"/>
  <c r="K181" i="119"/>
  <c r="O178" i="119"/>
  <c r="K178" i="119"/>
  <c r="K81" i="119"/>
  <c r="K83" i="119"/>
  <c r="K84" i="119"/>
  <c r="O83" i="119"/>
  <c r="O182" i="119"/>
  <c r="K200" i="119"/>
  <c r="O213" i="119"/>
  <c r="K216" i="119"/>
  <c r="O223" i="119"/>
  <c r="O215" i="119"/>
  <c r="K187" i="119"/>
  <c r="F62" i="118"/>
  <c r="J70" i="118" s="1"/>
  <c r="T119" i="118"/>
  <c r="D119" i="118" s="1"/>
  <c r="C119" i="118" s="1"/>
  <c r="E392" i="122" s="1"/>
  <c r="O69" i="119"/>
  <c r="O80" i="119"/>
  <c r="K217" i="119"/>
  <c r="O79" i="119"/>
  <c r="O169" i="119"/>
  <c r="K186" i="119"/>
  <c r="K59" i="119"/>
  <c r="O195" i="119"/>
  <c r="T62" i="118"/>
  <c r="K195" i="119"/>
  <c r="H62" i="118"/>
  <c r="C134" i="118"/>
  <c r="E93" i="122" s="1"/>
  <c r="D133" i="118"/>
  <c r="C133" i="118" s="1"/>
  <c r="E92" i="122" s="1"/>
  <c r="O67" i="119"/>
  <c r="O201" i="119"/>
  <c r="K213" i="119"/>
  <c r="K62" i="119"/>
  <c r="O225" i="119"/>
  <c r="K223" i="119"/>
  <c r="K215" i="119"/>
  <c r="O90" i="119"/>
  <c r="K87" i="119"/>
  <c r="O216" i="119"/>
  <c r="K166" i="119"/>
  <c r="K199" i="119"/>
  <c r="U87" i="118" l="1"/>
  <c r="Q87" i="118" s="1"/>
  <c r="G160" i="119"/>
  <c r="E563" i="116"/>
  <c r="E615" i="116"/>
  <c r="G212" i="119"/>
  <c r="G221" i="119"/>
  <c r="E624" i="116"/>
  <c r="G220" i="119"/>
  <c r="E623" i="116"/>
  <c r="E627" i="116"/>
  <c r="G224" i="119"/>
  <c r="G229" i="119"/>
  <c r="E632" i="116"/>
  <c r="E620" i="116"/>
  <c r="G217" i="119"/>
  <c r="N216" i="119"/>
  <c r="E216" i="119" s="1"/>
  <c r="N213" i="119"/>
  <c r="E213" i="119" s="1"/>
  <c r="N222" i="119"/>
  <c r="E222" i="119" s="1"/>
  <c r="N215" i="119"/>
  <c r="E215" i="119" s="1"/>
  <c r="G215" i="119" s="1"/>
  <c r="N219" i="119"/>
  <c r="E219" i="119" s="1"/>
  <c r="N226" i="119"/>
  <c r="E226" i="119" s="1"/>
  <c r="N223" i="119"/>
  <c r="E223" i="119" s="1"/>
  <c r="N218" i="119"/>
  <c r="E218" i="119" s="1"/>
  <c r="G218" i="119" s="1"/>
  <c r="N225" i="119"/>
  <c r="E225" i="119" s="1"/>
  <c r="G194" i="119"/>
  <c r="E597" i="116"/>
  <c r="G199" i="119"/>
  <c r="E602" i="116"/>
  <c r="E609" i="116"/>
  <c r="G206" i="119"/>
  <c r="N208" i="119"/>
  <c r="E208" i="119" s="1"/>
  <c r="N204" i="119"/>
  <c r="E204" i="119" s="1"/>
  <c r="N201" i="119"/>
  <c r="E201" i="119" s="1"/>
  <c r="N205" i="119"/>
  <c r="E205" i="119" s="1"/>
  <c r="N195" i="119"/>
  <c r="E195" i="119" s="1"/>
  <c r="N198" i="119"/>
  <c r="E198" i="119" s="1"/>
  <c r="N200" i="119"/>
  <c r="E200" i="119" s="1"/>
  <c r="N197" i="119"/>
  <c r="E197" i="119" s="1"/>
  <c r="G202" i="119"/>
  <c r="E614" i="116"/>
  <c r="G196" i="119"/>
  <c r="G203" i="119"/>
  <c r="G189" i="119"/>
  <c r="E592" i="116"/>
  <c r="E584" i="116"/>
  <c r="G181" i="119"/>
  <c r="G193" i="119"/>
  <c r="E596" i="116"/>
  <c r="G184" i="119"/>
  <c r="E587" i="116"/>
  <c r="G177" i="119"/>
  <c r="E580" i="116"/>
  <c r="N190" i="119"/>
  <c r="E190" i="119" s="1"/>
  <c r="G190" i="119" s="1"/>
  <c r="N185" i="119"/>
  <c r="E185" i="119" s="1"/>
  <c r="N176" i="119"/>
  <c r="E176" i="119" s="1"/>
  <c r="N180" i="119"/>
  <c r="E180" i="119" s="1"/>
  <c r="N186" i="119"/>
  <c r="E186" i="119" s="1"/>
  <c r="E589" i="116" s="1"/>
  <c r="E591" i="116"/>
  <c r="N178" i="119"/>
  <c r="E178" i="119" s="1"/>
  <c r="N183" i="119"/>
  <c r="E183" i="119" s="1"/>
  <c r="N187" i="119"/>
  <c r="E187" i="119" s="1"/>
  <c r="N182" i="119"/>
  <c r="E182" i="119" s="1"/>
  <c r="N179" i="119"/>
  <c r="E179" i="119" s="1"/>
  <c r="G163" i="119"/>
  <c r="E566" i="116"/>
  <c r="E578" i="116"/>
  <c r="G175" i="119"/>
  <c r="E561" i="116"/>
  <c r="G158" i="119"/>
  <c r="G170" i="119"/>
  <c r="E573" i="116"/>
  <c r="N169" i="119"/>
  <c r="E169" i="119" s="1"/>
  <c r="N161" i="119"/>
  <c r="E161" i="119" s="1"/>
  <c r="E564" i="116" s="1"/>
  <c r="N164" i="119"/>
  <c r="E164" i="119" s="1"/>
  <c r="N165" i="119"/>
  <c r="E165" i="119" s="1"/>
  <c r="E568" i="116" s="1"/>
  <c r="N168" i="119"/>
  <c r="E168" i="119" s="1"/>
  <c r="N167" i="119"/>
  <c r="E167" i="119" s="1"/>
  <c r="G167" i="119" s="1"/>
  <c r="N159" i="119"/>
  <c r="E159" i="119" s="1"/>
  <c r="N172" i="119"/>
  <c r="E172" i="119" s="1"/>
  <c r="E575" i="116" s="1"/>
  <c r="G171" i="119"/>
  <c r="N162" i="119"/>
  <c r="E162" i="119" s="1"/>
  <c r="G81" i="119"/>
  <c r="E484" i="116"/>
  <c r="E481" i="116"/>
  <c r="G78" i="119"/>
  <c r="E480" i="116"/>
  <c r="G77" i="119"/>
  <c r="E492" i="116"/>
  <c r="G89" i="119"/>
  <c r="N79" i="119"/>
  <c r="E79" i="119" s="1"/>
  <c r="N80" i="119"/>
  <c r="E80" i="119" s="1"/>
  <c r="N87" i="119"/>
  <c r="E87" i="119" s="1"/>
  <c r="N82" i="119"/>
  <c r="E82" i="119" s="1"/>
  <c r="E485" i="116" s="1"/>
  <c r="E489" i="116"/>
  <c r="N90" i="119"/>
  <c r="E90" i="119" s="1"/>
  <c r="E487" i="116"/>
  <c r="E496" i="116"/>
  <c r="N83" i="119"/>
  <c r="E83" i="119" s="1"/>
  <c r="E491" i="116"/>
  <c r="E488" i="116"/>
  <c r="E463" i="116"/>
  <c r="G60" i="119"/>
  <c r="G75" i="119"/>
  <c r="E478" i="116"/>
  <c r="E474" i="116"/>
  <c r="G71" i="119"/>
  <c r="G70" i="119"/>
  <c r="E473" i="116"/>
  <c r="E466" i="116"/>
  <c r="G63" i="119"/>
  <c r="E469" i="116"/>
  <c r="G66" i="119"/>
  <c r="N67" i="119"/>
  <c r="E67" i="119" s="1"/>
  <c r="N72" i="119"/>
  <c r="E72" i="119" s="1"/>
  <c r="N65" i="119"/>
  <c r="E65" i="119" s="1"/>
  <c r="N59" i="119"/>
  <c r="E59" i="119" s="1"/>
  <c r="N64" i="119"/>
  <c r="E64" i="119" s="1"/>
  <c r="N61" i="119"/>
  <c r="E61" i="119" s="1"/>
  <c r="N68" i="119"/>
  <c r="E68" i="119" s="1"/>
  <c r="N69" i="119"/>
  <c r="E69" i="119" s="1"/>
  <c r="N62" i="119"/>
  <c r="E62" i="119" s="1"/>
  <c r="E87" i="118"/>
  <c r="E86" i="118"/>
  <c r="U101" i="118"/>
  <c r="Q101" i="118" s="1"/>
  <c r="E461" i="116"/>
  <c r="G58" i="119"/>
  <c r="K111" i="118"/>
  <c r="W111" i="118" s="1"/>
  <c r="K113" i="118"/>
  <c r="W113" i="118" s="1"/>
  <c r="E91" i="118"/>
  <c r="J113" i="118"/>
  <c r="V113" i="118" s="1"/>
  <c r="E89" i="118"/>
  <c r="U107" i="118"/>
  <c r="B114" i="118"/>
  <c r="B115" i="118"/>
  <c r="E40" i="116"/>
  <c r="E88" i="116"/>
  <c r="E690" i="116"/>
  <c r="E41" i="116"/>
  <c r="G62" i="118"/>
  <c r="G64" i="118" s="1"/>
  <c r="S62" i="118"/>
  <c r="S64" i="118" s="1"/>
  <c r="U62" i="118"/>
  <c r="C158" i="118"/>
  <c r="E42" i="122" s="1"/>
  <c r="D157" i="118"/>
  <c r="C157" i="118" s="1"/>
  <c r="E41" i="122" s="1"/>
  <c r="E107" i="118"/>
  <c r="D148" i="118"/>
  <c r="C148" i="118" s="1"/>
  <c r="E17" i="122" s="1"/>
  <c r="E99" i="118"/>
  <c r="U85" i="118"/>
  <c r="Q85" i="118" s="1"/>
  <c r="E85" i="118"/>
  <c r="D124" i="118"/>
  <c r="C124" i="118" s="1"/>
  <c r="E68" i="122" s="1"/>
  <c r="Q109" i="118"/>
  <c r="Q86" i="118"/>
  <c r="V111" i="118"/>
  <c r="E103" i="118"/>
  <c r="U103" i="118"/>
  <c r="Q103" i="118" s="1"/>
  <c r="I62" i="118"/>
  <c r="E579" i="116" l="1"/>
  <c r="G176" i="119"/>
  <c r="E629" i="116"/>
  <c r="G226" i="119"/>
  <c r="E616" i="116"/>
  <c r="G213" i="119"/>
  <c r="G219" i="119"/>
  <c r="E622" i="116"/>
  <c r="G223" i="119"/>
  <c r="E626" i="116"/>
  <c r="E628" i="116"/>
  <c r="G225" i="119"/>
  <c r="G222" i="119"/>
  <c r="E625" i="116"/>
  <c r="E619" i="116"/>
  <c r="G216" i="119"/>
  <c r="E621" i="116"/>
  <c r="E618" i="116"/>
  <c r="E608" i="116"/>
  <c r="G205" i="119"/>
  <c r="E601" i="116"/>
  <c r="G198" i="119"/>
  <c r="E607" i="116"/>
  <c r="G204" i="119"/>
  <c r="G195" i="119"/>
  <c r="E598" i="116"/>
  <c r="E611" i="116"/>
  <c r="G208" i="119"/>
  <c r="G197" i="119"/>
  <c r="E600" i="116"/>
  <c r="E603" i="116"/>
  <c r="G200" i="119"/>
  <c r="E604" i="116"/>
  <c r="G201" i="119"/>
  <c r="G182" i="119"/>
  <c r="E585" i="116"/>
  <c r="G187" i="119"/>
  <c r="E590" i="116"/>
  <c r="E588" i="116"/>
  <c r="G185" i="119"/>
  <c r="G179" i="119"/>
  <c r="E582" i="116"/>
  <c r="E581" i="116"/>
  <c r="G178" i="119"/>
  <c r="G180" i="119"/>
  <c r="E583" i="116"/>
  <c r="G183" i="119"/>
  <c r="E586" i="116"/>
  <c r="G186" i="119"/>
  <c r="E593" i="116"/>
  <c r="G161" i="119"/>
  <c r="G168" i="119"/>
  <c r="E571" i="116"/>
  <c r="E565" i="116"/>
  <c r="G162" i="119"/>
  <c r="G159" i="119"/>
  <c r="E562" i="116"/>
  <c r="E567" i="116"/>
  <c r="G164" i="119"/>
  <c r="E572" i="116"/>
  <c r="G169" i="119"/>
  <c r="E570" i="116"/>
  <c r="G165" i="119"/>
  <c r="G172" i="119"/>
  <c r="G80" i="119"/>
  <c r="E483" i="116"/>
  <c r="E493" i="116"/>
  <c r="G90" i="119"/>
  <c r="E490" i="116"/>
  <c r="G87" i="119"/>
  <c r="G83" i="119"/>
  <c r="E486" i="116"/>
  <c r="E482" i="116"/>
  <c r="G79" i="119"/>
  <c r="G82" i="119"/>
  <c r="E464" i="116"/>
  <c r="G61" i="119"/>
  <c r="G72" i="119"/>
  <c r="E475" i="116"/>
  <c r="G62" i="119"/>
  <c r="E465" i="116"/>
  <c r="G64" i="119"/>
  <c r="E467" i="116"/>
  <c r="E470" i="116"/>
  <c r="G67" i="119"/>
  <c r="E472" i="116"/>
  <c r="G69" i="119"/>
  <c r="G59" i="119"/>
  <c r="E462" i="116"/>
  <c r="G68" i="119"/>
  <c r="E471" i="116"/>
  <c r="E468" i="116"/>
  <c r="G65" i="119"/>
  <c r="Q111" i="118"/>
  <c r="K80" i="118"/>
  <c r="J80" i="118" s="1"/>
  <c r="K79" i="118"/>
  <c r="J79" i="118" s="1"/>
  <c r="E111" i="118"/>
  <c r="Q107" i="118"/>
  <c r="M114" i="118"/>
  <c r="W80" i="118" s="1"/>
  <c r="V80" i="118" s="1"/>
  <c r="M115" i="118"/>
  <c r="E16" i="116"/>
  <c r="E67" i="116"/>
  <c r="E92" i="116"/>
  <c r="E91" i="116"/>
  <c r="G63" i="118"/>
  <c r="B4" i="118" s="1"/>
  <c r="G259" i="119" l="1"/>
  <c r="E259" i="119" s="1"/>
  <c r="E662" i="116" s="1"/>
  <c r="G131" i="119"/>
  <c r="E131" i="119" s="1"/>
  <c r="E534" i="116" s="1"/>
  <c r="W79" i="118"/>
  <c r="V79" i="118" s="1"/>
  <c r="S63" i="118"/>
  <c r="B5" i="118" s="1"/>
</calcChain>
</file>

<file path=xl/comments1.xml><?xml version="1.0" encoding="utf-8"?>
<comments xmlns="http://schemas.openxmlformats.org/spreadsheetml/2006/main">
  <authors>
    <author>MOST</author>
  </authors>
  <commentList>
    <comment ref="M4" authorId="0">
      <text>
        <r>
          <rPr>
            <sz val="9"/>
            <color indexed="81"/>
            <rFont val="Arial"/>
            <family val="2"/>
          </rPr>
          <t xml:space="preserve">0x0002&lt;bit7&gt;
0x0004&lt;bit14&gt;
0x0004&lt;bit4:3&gt;
</t>
        </r>
      </text>
    </comment>
    <comment ref="N4" authorId="0">
      <text>
        <r>
          <rPr>
            <sz val="9"/>
            <color indexed="81"/>
            <rFont val="Arial"/>
            <family val="2"/>
          </rPr>
          <t>0x0004&lt;bit9&gt;</t>
        </r>
        <r>
          <rPr>
            <sz val="9"/>
            <color indexed="81"/>
            <rFont val="ＭＳ Ｐゴシック"/>
            <family val="3"/>
            <charset val="128"/>
          </rPr>
          <t xml:space="preserve">
</t>
        </r>
      </text>
    </comment>
    <comment ref="O4" authorId="0">
      <text>
        <r>
          <rPr>
            <sz val="9"/>
            <color indexed="81"/>
            <rFont val="Arial"/>
            <family val="2"/>
          </rPr>
          <t>0x0004&lt;bit11:10&gt;</t>
        </r>
        <r>
          <rPr>
            <sz val="9"/>
            <color indexed="81"/>
            <rFont val="ＭＳ Ｐゴシック"/>
            <family val="3"/>
            <charset val="128"/>
          </rPr>
          <t xml:space="preserve">
</t>
        </r>
      </text>
    </comment>
    <comment ref="N6" authorId="0">
      <text>
        <r>
          <rPr>
            <sz val="9"/>
            <color indexed="81"/>
            <rFont val="Arial"/>
            <family val="2"/>
          </rPr>
          <t>0x0004&lt;bit8&gt;</t>
        </r>
        <r>
          <rPr>
            <sz val="9"/>
            <color indexed="81"/>
            <rFont val="ＭＳ Ｐゴシック"/>
            <family val="3"/>
            <charset val="128"/>
          </rPr>
          <t xml:space="preserve">
</t>
        </r>
      </text>
    </comment>
    <comment ref="O6" authorId="0">
      <text>
        <r>
          <rPr>
            <sz val="9"/>
            <color indexed="81"/>
            <rFont val="Arial"/>
            <family val="2"/>
          </rPr>
          <t>0x0004&lt;bit12&gt;</t>
        </r>
        <r>
          <rPr>
            <sz val="9"/>
            <color indexed="81"/>
            <rFont val="ＭＳ Ｐゴシック"/>
            <family val="3"/>
            <charset val="128"/>
          </rPr>
          <t xml:space="preserve">
</t>
        </r>
      </text>
    </comment>
    <comment ref="O8" authorId="0">
      <text>
        <r>
          <rPr>
            <sz val="9"/>
            <color indexed="81"/>
            <rFont val="Arial"/>
            <family val="2"/>
          </rPr>
          <t>0x0004&lt;bit2&gt;</t>
        </r>
        <r>
          <rPr>
            <sz val="9"/>
            <color indexed="81"/>
            <rFont val="ＭＳ Ｐゴシック"/>
            <family val="3"/>
            <charset val="128"/>
          </rPr>
          <t xml:space="preserve">
</t>
        </r>
      </text>
    </comment>
    <comment ref="C29" authorId="0">
      <text>
        <r>
          <rPr>
            <sz val="9"/>
            <color indexed="81"/>
            <rFont val="Arial"/>
            <family val="2"/>
          </rPr>
          <t>0x7000&lt;bit0&gt;</t>
        </r>
      </text>
    </comment>
    <comment ref="D29" authorId="0">
      <text>
        <r>
          <rPr>
            <sz val="9"/>
            <color indexed="81"/>
            <rFont val="Arial"/>
            <family val="2"/>
          </rPr>
          <t xml:space="preserve">0x7000&lt;bit2:1&gt;
</t>
        </r>
      </text>
    </comment>
    <comment ref="F40" authorId="0">
      <text>
        <r>
          <rPr>
            <sz val="9"/>
            <color indexed="81"/>
            <rFont val="Arial"/>
            <family val="2"/>
          </rPr>
          <t>0x05000&lt;bit8&gt;</t>
        </r>
        <r>
          <rPr>
            <sz val="9"/>
            <color indexed="81"/>
            <rFont val="ＭＳ Ｐゴシック"/>
            <family val="3"/>
            <charset val="128"/>
          </rPr>
          <t xml:space="preserve">
</t>
        </r>
      </text>
    </comment>
    <comment ref="H40" authorId="0">
      <text>
        <r>
          <rPr>
            <sz val="9"/>
            <color indexed="81"/>
            <rFont val="Arial"/>
            <family val="2"/>
          </rPr>
          <t>0x5080&lt;bit8&gt;</t>
        </r>
        <r>
          <rPr>
            <sz val="9"/>
            <color indexed="81"/>
            <rFont val="ＭＳ Ｐゴシック"/>
            <family val="3"/>
            <charset val="128"/>
          </rPr>
          <t xml:space="preserve">
</t>
        </r>
      </text>
    </comment>
    <comment ref="C42" authorId="0">
      <text>
        <r>
          <rPr>
            <sz val="9"/>
            <color indexed="81"/>
            <rFont val="Arial"/>
            <family val="2"/>
          </rPr>
          <t>0x500C&lt;bit15&gt;
0x5000&lt;bit8&gt;</t>
        </r>
        <r>
          <rPr>
            <sz val="9"/>
            <color indexed="81"/>
            <rFont val="ＭＳ Ｐゴシック"/>
            <family val="3"/>
            <charset val="128"/>
          </rPr>
          <t xml:space="preserve">
</t>
        </r>
      </text>
    </comment>
    <comment ref="D42" authorId="0">
      <text>
        <r>
          <rPr>
            <sz val="9"/>
            <color indexed="81"/>
            <rFont val="Arial"/>
            <family val="2"/>
          </rPr>
          <t>0x500C&lt;bit14&gt;</t>
        </r>
        <r>
          <rPr>
            <sz val="9"/>
            <color indexed="81"/>
            <rFont val="ＭＳ Ｐゴシック"/>
            <family val="3"/>
            <charset val="128"/>
          </rPr>
          <t xml:space="preserve">
</t>
        </r>
      </text>
    </comment>
    <comment ref="E42" authorId="0">
      <text>
        <r>
          <rPr>
            <sz val="9"/>
            <color indexed="81"/>
            <rFont val="Arial"/>
            <family val="2"/>
          </rPr>
          <t>0x500C&lt;bit11:0&gt;</t>
        </r>
        <r>
          <rPr>
            <sz val="9"/>
            <color indexed="81"/>
            <rFont val="ＭＳ Ｐゴシック"/>
            <family val="3"/>
            <charset val="128"/>
          </rPr>
          <t xml:space="preserve">
</t>
        </r>
      </text>
    </comment>
    <comment ref="F42" authorId="0">
      <text>
        <r>
          <rPr>
            <sz val="9"/>
            <color indexed="81"/>
            <rFont val="Arial"/>
            <family val="2"/>
          </rPr>
          <t>0x500A&lt;bit5:0&gt;</t>
        </r>
        <r>
          <rPr>
            <sz val="9"/>
            <color indexed="81"/>
            <rFont val="ＭＳ Ｐゴシック"/>
            <family val="3"/>
            <charset val="128"/>
          </rPr>
          <t xml:space="preserve">
</t>
        </r>
      </text>
    </comment>
    <comment ref="G42" authorId="0">
      <text>
        <r>
          <rPr>
            <sz val="9"/>
            <color indexed="81"/>
            <rFont val="Arial"/>
            <family val="2"/>
          </rPr>
          <t>0x508C&lt;bit11:0&gt;</t>
        </r>
        <r>
          <rPr>
            <sz val="9"/>
            <color indexed="81"/>
            <rFont val="ＭＳ Ｐゴシック"/>
            <family val="3"/>
            <charset val="128"/>
          </rPr>
          <t xml:space="preserve">
</t>
        </r>
      </text>
    </comment>
    <comment ref="H42" authorId="0">
      <text>
        <r>
          <rPr>
            <sz val="9"/>
            <color indexed="81"/>
            <rFont val="Arial"/>
            <family val="2"/>
          </rPr>
          <t>0x508A&lt;bit5:0&gt;</t>
        </r>
        <r>
          <rPr>
            <sz val="9"/>
            <color indexed="81"/>
            <rFont val="ＭＳ Ｐゴシック"/>
            <family val="3"/>
            <charset val="128"/>
          </rPr>
          <t xml:space="preserve">
</t>
        </r>
      </text>
    </comment>
    <comment ref="C45" authorId="0">
      <text>
        <r>
          <rPr>
            <sz val="9"/>
            <color indexed="81"/>
            <rFont val="Arial"/>
            <family val="2"/>
          </rPr>
          <t>0x0006&lt;bit[1:0]&gt;</t>
        </r>
        <r>
          <rPr>
            <sz val="9"/>
            <color indexed="81"/>
            <rFont val="ＭＳ Ｐゴシック"/>
            <family val="3"/>
            <charset val="128"/>
          </rPr>
          <t xml:space="preserve">
</t>
        </r>
      </text>
    </comment>
    <comment ref="D45" authorId="0">
      <text>
        <r>
          <rPr>
            <sz val="9"/>
            <color indexed="81"/>
            <rFont val="Arial"/>
            <family val="2"/>
          </rPr>
          <t xml:space="preserve">0x017C&lt;bit0&gt;
0x037C&lt;bit0&gt;
</t>
        </r>
      </text>
    </comment>
    <comment ref="E45" authorId="0">
      <text>
        <r>
          <rPr>
            <sz val="9"/>
            <color indexed="81"/>
            <rFont val="Arial"/>
            <family val="2"/>
          </rPr>
          <t>0x500E&lt;bit11:0&gt;</t>
        </r>
        <r>
          <rPr>
            <sz val="9"/>
            <color indexed="81"/>
            <rFont val="ＭＳ Ｐゴシック"/>
            <family val="3"/>
            <charset val="128"/>
          </rPr>
          <t xml:space="preserve">
</t>
        </r>
      </text>
    </comment>
    <comment ref="F45" authorId="0">
      <text>
        <r>
          <rPr>
            <sz val="9"/>
            <color indexed="81"/>
            <rFont val="Arial"/>
            <family val="2"/>
          </rPr>
          <t>0x500C&lt;bit13:8&gt;</t>
        </r>
        <r>
          <rPr>
            <sz val="9"/>
            <color indexed="81"/>
            <rFont val="ＭＳ Ｐゴシック"/>
            <family val="3"/>
            <charset val="128"/>
          </rPr>
          <t xml:space="preserve">
</t>
        </r>
      </text>
    </comment>
    <comment ref="G45" authorId="0">
      <text>
        <r>
          <rPr>
            <sz val="9"/>
            <color indexed="81"/>
            <rFont val="Arial"/>
            <family val="2"/>
          </rPr>
          <t>0x508E&lt;bit11:0&gt;</t>
        </r>
        <r>
          <rPr>
            <sz val="9"/>
            <color indexed="81"/>
            <rFont val="ＭＳ Ｐゴシック"/>
            <family val="3"/>
            <charset val="128"/>
          </rPr>
          <t xml:space="preserve">
</t>
        </r>
      </text>
    </comment>
    <comment ref="H45" authorId="0">
      <text>
        <r>
          <rPr>
            <sz val="9"/>
            <color indexed="81"/>
            <rFont val="Arial"/>
            <family val="2"/>
          </rPr>
          <t>0x508A&lt;bit13:8&gt;</t>
        </r>
        <r>
          <rPr>
            <sz val="9"/>
            <color indexed="81"/>
            <rFont val="ＭＳ Ｐゴシック"/>
            <family val="3"/>
            <charset val="128"/>
          </rPr>
          <t xml:space="preserve">
</t>
        </r>
      </text>
    </comment>
    <comment ref="D47" authorId="0">
      <text>
        <r>
          <rPr>
            <sz val="9"/>
            <color indexed="81"/>
            <rFont val="Arial"/>
            <family val="2"/>
          </rPr>
          <t>0x0006&lt;bit2&gt;</t>
        </r>
        <r>
          <rPr>
            <sz val="9"/>
            <color indexed="81"/>
            <rFont val="ＭＳ Ｐゴシック"/>
            <family val="3"/>
            <charset val="128"/>
          </rPr>
          <t xml:space="preserve">
</t>
        </r>
      </text>
    </comment>
    <comment ref="D63" authorId="0">
      <text>
        <r>
          <rPr>
            <sz val="9"/>
            <color indexed="81"/>
            <rFont val="Arial"/>
            <family val="2"/>
          </rPr>
          <t>LP-&gt;HS transition time is  not included in this time</t>
        </r>
      </text>
    </comment>
    <comment ref="E63" authorId="0">
      <text>
        <r>
          <rPr>
            <sz val="9"/>
            <color indexed="81"/>
            <rFont val="Arial"/>
            <family val="2"/>
          </rPr>
          <t>LP-&gt;HS transition time is not included in this time</t>
        </r>
      </text>
    </comment>
    <comment ref="P63" authorId="0">
      <text>
        <r>
          <rPr>
            <sz val="9"/>
            <color indexed="81"/>
            <rFont val="Arial"/>
            <family val="2"/>
          </rPr>
          <t xml:space="preserve">LP-&gt;HS transition time is  not included in this time,
</t>
        </r>
      </text>
    </comment>
    <comment ref="Q63" authorId="0">
      <text>
        <r>
          <rPr>
            <sz val="9"/>
            <color indexed="81"/>
            <rFont val="Arial"/>
            <family val="2"/>
          </rPr>
          <t xml:space="preserve">LP-&gt;HS transition time is  not included in this time
</t>
        </r>
      </text>
    </comment>
  </commentList>
</comments>
</file>

<file path=xl/comments2.xml><?xml version="1.0" encoding="utf-8"?>
<comments xmlns="http://schemas.openxmlformats.org/spreadsheetml/2006/main">
  <authors>
    <author>MOST</author>
  </authors>
  <commentList>
    <comment ref="L22" authorId="0">
      <text>
        <r>
          <rPr>
            <sz val="9"/>
            <color indexed="81"/>
            <rFont val="Arial"/>
            <family val="2"/>
          </rPr>
          <t>bit22</t>
        </r>
      </text>
    </comment>
    <comment ref="M22" authorId="0">
      <text>
        <r>
          <rPr>
            <sz val="9"/>
            <color indexed="81"/>
            <rFont val="Arial"/>
            <family val="2"/>
          </rPr>
          <t>bit21</t>
        </r>
      </text>
    </comment>
    <comment ref="N22" authorId="0">
      <text>
        <r>
          <rPr>
            <sz val="9"/>
            <color indexed="81"/>
            <rFont val="Arial"/>
            <family val="2"/>
          </rPr>
          <t>bit20</t>
        </r>
      </text>
    </comment>
    <comment ref="O22" authorId="0">
      <text>
        <r>
          <rPr>
            <sz val="9"/>
            <color indexed="81"/>
            <rFont val="Arial"/>
            <family val="2"/>
          </rPr>
          <t>bit19</t>
        </r>
      </text>
    </comment>
    <comment ref="P22" authorId="0">
      <text>
        <r>
          <rPr>
            <sz val="9"/>
            <color indexed="81"/>
            <rFont val="Arial"/>
            <family val="2"/>
          </rPr>
          <t>bit18</t>
        </r>
      </text>
    </comment>
    <comment ref="Q22" authorId="0">
      <text>
        <r>
          <rPr>
            <sz val="9"/>
            <color indexed="81"/>
            <rFont val="Arial"/>
            <family val="2"/>
          </rPr>
          <t>bit17</t>
        </r>
      </text>
    </comment>
    <comment ref="R22" authorId="0">
      <text>
        <r>
          <rPr>
            <sz val="9"/>
            <color indexed="81"/>
            <rFont val="Arial"/>
            <family val="2"/>
          </rPr>
          <t>bit16</t>
        </r>
      </text>
    </comment>
    <comment ref="S22" authorId="0">
      <text>
        <r>
          <rPr>
            <sz val="9"/>
            <color indexed="81"/>
            <rFont val="Arial"/>
            <family val="2"/>
          </rPr>
          <t>bit14</t>
        </r>
      </text>
    </comment>
    <comment ref="T22" authorId="0">
      <text>
        <r>
          <rPr>
            <sz val="9"/>
            <color indexed="81"/>
            <rFont val="Arial"/>
            <family val="2"/>
          </rPr>
          <t>bit10</t>
        </r>
      </text>
    </comment>
    <comment ref="U22" authorId="0">
      <text>
        <r>
          <rPr>
            <sz val="9"/>
            <color indexed="81"/>
            <rFont val="Arial"/>
            <family val="2"/>
          </rPr>
          <t>bit9</t>
        </r>
      </text>
    </comment>
    <comment ref="V22" authorId="0">
      <text>
        <r>
          <rPr>
            <sz val="9"/>
            <color indexed="81"/>
            <rFont val="Arial"/>
            <family val="2"/>
          </rPr>
          <t>bit1</t>
        </r>
        <r>
          <rPr>
            <sz val="9"/>
            <color indexed="81"/>
            <rFont val="ＭＳ Ｐゴシック"/>
            <family val="3"/>
            <charset val="128"/>
          </rPr>
          <t xml:space="preserve">
</t>
        </r>
      </text>
    </comment>
    <comment ref="W22" authorId="0">
      <text>
        <r>
          <rPr>
            <sz val="9"/>
            <color indexed="81"/>
            <rFont val="Arial"/>
            <family val="2"/>
          </rPr>
          <t xml:space="preserve">bit0
</t>
        </r>
      </text>
    </comment>
    <comment ref="H47"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3" authorId="0">
      <text>
        <r>
          <rPr>
            <sz val="9"/>
            <color indexed="81"/>
            <rFont val="Arial"/>
            <family val="2"/>
          </rPr>
          <t>bit22</t>
        </r>
      </text>
    </comment>
    <comment ref="M73" authorId="0">
      <text>
        <r>
          <rPr>
            <sz val="9"/>
            <color indexed="81"/>
            <rFont val="Arial"/>
            <family val="2"/>
          </rPr>
          <t>bit21</t>
        </r>
      </text>
    </comment>
    <comment ref="N73" authorId="0">
      <text>
        <r>
          <rPr>
            <sz val="9"/>
            <color indexed="81"/>
            <rFont val="Arial"/>
            <family val="2"/>
          </rPr>
          <t>bit20</t>
        </r>
      </text>
    </comment>
    <comment ref="O73" authorId="0">
      <text>
        <r>
          <rPr>
            <sz val="9"/>
            <color indexed="81"/>
            <rFont val="Arial"/>
            <family val="2"/>
          </rPr>
          <t>bit19</t>
        </r>
      </text>
    </comment>
    <comment ref="P73" authorId="0">
      <text>
        <r>
          <rPr>
            <sz val="9"/>
            <color indexed="81"/>
            <rFont val="Arial"/>
            <family val="2"/>
          </rPr>
          <t>bit18</t>
        </r>
      </text>
    </comment>
    <comment ref="Q73" authorId="0">
      <text>
        <r>
          <rPr>
            <sz val="9"/>
            <color indexed="81"/>
            <rFont val="Arial"/>
            <family val="2"/>
          </rPr>
          <t>bit17</t>
        </r>
      </text>
    </comment>
    <comment ref="R73" authorId="0">
      <text>
        <r>
          <rPr>
            <sz val="9"/>
            <color indexed="81"/>
            <rFont val="Arial"/>
            <family val="2"/>
          </rPr>
          <t>bit16</t>
        </r>
      </text>
    </comment>
    <comment ref="S73" authorId="0">
      <text>
        <r>
          <rPr>
            <sz val="9"/>
            <color indexed="81"/>
            <rFont val="Arial"/>
            <family val="2"/>
          </rPr>
          <t>bit14</t>
        </r>
      </text>
    </comment>
    <comment ref="T73" authorId="0">
      <text>
        <r>
          <rPr>
            <sz val="9"/>
            <color indexed="81"/>
            <rFont val="Arial"/>
            <family val="2"/>
          </rPr>
          <t>bit10</t>
        </r>
      </text>
    </comment>
    <comment ref="U73" authorId="0">
      <text>
        <r>
          <rPr>
            <sz val="9"/>
            <color indexed="81"/>
            <rFont val="Arial"/>
            <family val="2"/>
          </rPr>
          <t>bit9</t>
        </r>
      </text>
    </comment>
    <comment ref="V73" authorId="0">
      <text>
        <r>
          <rPr>
            <sz val="9"/>
            <color indexed="81"/>
            <rFont val="Arial"/>
            <family val="2"/>
          </rPr>
          <t>bit1</t>
        </r>
        <r>
          <rPr>
            <sz val="9"/>
            <color indexed="81"/>
            <rFont val="ＭＳ Ｐゴシック"/>
            <family val="3"/>
            <charset val="128"/>
          </rPr>
          <t xml:space="preserve">
</t>
        </r>
      </text>
    </comment>
    <comment ref="W73" authorId="0">
      <text>
        <r>
          <rPr>
            <sz val="9"/>
            <color indexed="81"/>
            <rFont val="Arial"/>
            <family val="2"/>
          </rPr>
          <t xml:space="preserve">bit0
</t>
        </r>
      </text>
    </comment>
    <comment ref="H98"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comments3.xml><?xml version="1.0" encoding="utf-8"?>
<comments xmlns="http://schemas.openxmlformats.org/spreadsheetml/2006/main">
  <authors>
    <author>MOST</author>
  </authors>
  <commentList>
    <comment ref="L23" authorId="0">
      <text>
        <r>
          <rPr>
            <sz val="9"/>
            <color indexed="81"/>
            <rFont val="Arial"/>
            <family val="2"/>
          </rPr>
          <t>bit22</t>
        </r>
      </text>
    </comment>
    <comment ref="M23" authorId="0">
      <text>
        <r>
          <rPr>
            <sz val="9"/>
            <color indexed="81"/>
            <rFont val="Arial"/>
            <family val="2"/>
          </rPr>
          <t>bit21</t>
        </r>
      </text>
    </comment>
    <comment ref="N23" authorId="0">
      <text>
        <r>
          <rPr>
            <sz val="9"/>
            <color indexed="81"/>
            <rFont val="Arial"/>
            <family val="2"/>
          </rPr>
          <t>bit20</t>
        </r>
      </text>
    </comment>
    <comment ref="O23" authorId="0">
      <text>
        <r>
          <rPr>
            <sz val="9"/>
            <color indexed="81"/>
            <rFont val="Arial"/>
            <family val="2"/>
          </rPr>
          <t>bit19</t>
        </r>
      </text>
    </comment>
    <comment ref="P23" authorId="0">
      <text>
        <r>
          <rPr>
            <sz val="9"/>
            <color indexed="81"/>
            <rFont val="Arial"/>
            <family val="2"/>
          </rPr>
          <t>bit18</t>
        </r>
      </text>
    </comment>
    <comment ref="Q23" authorId="0">
      <text>
        <r>
          <rPr>
            <sz val="9"/>
            <color indexed="81"/>
            <rFont val="Arial"/>
            <family val="2"/>
          </rPr>
          <t>bit17</t>
        </r>
      </text>
    </comment>
    <comment ref="R23" authorId="0">
      <text>
        <r>
          <rPr>
            <sz val="9"/>
            <color indexed="81"/>
            <rFont val="Arial"/>
            <family val="2"/>
          </rPr>
          <t>bit16</t>
        </r>
      </text>
    </comment>
    <comment ref="S23" authorId="0">
      <text>
        <r>
          <rPr>
            <sz val="9"/>
            <color indexed="81"/>
            <rFont val="Arial"/>
            <family val="2"/>
          </rPr>
          <t>bit14</t>
        </r>
      </text>
    </comment>
    <comment ref="T23" authorId="0">
      <text>
        <r>
          <rPr>
            <sz val="9"/>
            <color indexed="81"/>
            <rFont val="Arial"/>
            <family val="2"/>
          </rPr>
          <t>bit10</t>
        </r>
      </text>
    </comment>
    <comment ref="U23" authorId="0">
      <text>
        <r>
          <rPr>
            <sz val="9"/>
            <color indexed="81"/>
            <rFont val="Arial"/>
            <family val="2"/>
          </rPr>
          <t>bit9</t>
        </r>
      </text>
    </comment>
    <comment ref="V23" authorId="0">
      <text>
        <r>
          <rPr>
            <sz val="9"/>
            <color indexed="81"/>
            <rFont val="Arial"/>
            <family val="2"/>
          </rPr>
          <t>bit1</t>
        </r>
        <r>
          <rPr>
            <sz val="9"/>
            <color indexed="81"/>
            <rFont val="ＭＳ Ｐゴシック"/>
            <family val="3"/>
            <charset val="128"/>
          </rPr>
          <t xml:space="preserve">
</t>
        </r>
      </text>
    </comment>
    <comment ref="W23" authorId="0">
      <text>
        <r>
          <rPr>
            <sz val="9"/>
            <color indexed="81"/>
            <rFont val="Arial"/>
            <family val="2"/>
          </rPr>
          <t xml:space="preserve">bit0
</t>
        </r>
      </text>
    </comment>
    <comment ref="H48"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 ref="L74" authorId="0">
      <text>
        <r>
          <rPr>
            <sz val="9"/>
            <color indexed="81"/>
            <rFont val="Arial"/>
            <family val="2"/>
          </rPr>
          <t>bit22</t>
        </r>
      </text>
    </comment>
    <comment ref="M74" authorId="0">
      <text>
        <r>
          <rPr>
            <sz val="9"/>
            <color indexed="81"/>
            <rFont val="Arial"/>
            <family val="2"/>
          </rPr>
          <t>bit21</t>
        </r>
      </text>
    </comment>
    <comment ref="N74" authorId="0">
      <text>
        <r>
          <rPr>
            <sz val="9"/>
            <color indexed="81"/>
            <rFont val="Arial"/>
            <family val="2"/>
          </rPr>
          <t>bit20</t>
        </r>
      </text>
    </comment>
    <comment ref="O74" authorId="0">
      <text>
        <r>
          <rPr>
            <sz val="9"/>
            <color indexed="81"/>
            <rFont val="Arial"/>
            <family val="2"/>
          </rPr>
          <t>bit19</t>
        </r>
      </text>
    </comment>
    <comment ref="P74" authorId="0">
      <text>
        <r>
          <rPr>
            <sz val="9"/>
            <color indexed="81"/>
            <rFont val="Arial"/>
            <family val="2"/>
          </rPr>
          <t>bit18</t>
        </r>
      </text>
    </comment>
    <comment ref="Q74" authorId="0">
      <text>
        <r>
          <rPr>
            <sz val="9"/>
            <color indexed="81"/>
            <rFont val="Arial"/>
            <family val="2"/>
          </rPr>
          <t>bit17</t>
        </r>
      </text>
    </comment>
    <comment ref="R74" authorId="0">
      <text>
        <r>
          <rPr>
            <sz val="9"/>
            <color indexed="81"/>
            <rFont val="Arial"/>
            <family val="2"/>
          </rPr>
          <t>bit16</t>
        </r>
      </text>
    </comment>
    <comment ref="S74" authorId="0">
      <text>
        <r>
          <rPr>
            <sz val="9"/>
            <color indexed="81"/>
            <rFont val="Arial"/>
            <family val="2"/>
          </rPr>
          <t>bit14</t>
        </r>
      </text>
    </comment>
    <comment ref="T74" authorId="0">
      <text>
        <r>
          <rPr>
            <sz val="9"/>
            <color indexed="81"/>
            <rFont val="Arial"/>
            <family val="2"/>
          </rPr>
          <t>bit10</t>
        </r>
      </text>
    </comment>
    <comment ref="U74" authorId="0">
      <text>
        <r>
          <rPr>
            <sz val="9"/>
            <color indexed="81"/>
            <rFont val="Arial"/>
            <family val="2"/>
          </rPr>
          <t>bit9</t>
        </r>
      </text>
    </comment>
    <comment ref="V74" authorId="0">
      <text>
        <r>
          <rPr>
            <sz val="9"/>
            <color indexed="81"/>
            <rFont val="Arial"/>
            <family val="2"/>
          </rPr>
          <t>bit1</t>
        </r>
        <r>
          <rPr>
            <sz val="9"/>
            <color indexed="81"/>
            <rFont val="ＭＳ Ｐゴシック"/>
            <family val="3"/>
            <charset val="128"/>
          </rPr>
          <t xml:space="preserve">
</t>
        </r>
      </text>
    </comment>
    <comment ref="W74" authorId="0">
      <text>
        <r>
          <rPr>
            <sz val="9"/>
            <color indexed="81"/>
            <rFont val="Arial"/>
            <family val="2"/>
          </rPr>
          <t xml:space="preserve">bit0
</t>
        </r>
      </text>
    </comment>
    <comment ref="H99" authorId="0">
      <text>
        <r>
          <rPr>
            <sz val="9"/>
            <color indexed="81"/>
            <rFont val="Arial"/>
            <family val="2"/>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r>
          <rPr>
            <sz val="9"/>
            <color indexed="81"/>
            <rFont val="ＭＳ Ｐゴシック"/>
            <family val="3"/>
            <charset val="128"/>
          </rPr>
          <t xml:space="preserve">
</t>
        </r>
      </text>
    </comment>
  </commentList>
</comments>
</file>

<file path=xl/sharedStrings.xml><?xml version="1.0" encoding="utf-8"?>
<sst xmlns="http://schemas.openxmlformats.org/spreadsheetml/2006/main" count="5714" uniqueCount="2147">
  <si>
    <t xml:space="preserve">Register Name </t>
  </si>
  <si>
    <t>Address</t>
  </si>
  <si>
    <t>Auto</t>
  </si>
  <si>
    <t>HowToUse</t>
    <phoneticPr fontId="7"/>
  </si>
  <si>
    <t>Tv01</t>
    <phoneticPr fontId="7"/>
  </si>
  <si>
    <t>Rev</t>
    <phoneticPr fontId="7"/>
  </si>
  <si>
    <t>v01</t>
    <phoneticPr fontId="7"/>
  </si>
  <si>
    <t>Note</t>
    <phoneticPr fontId="7"/>
  </si>
  <si>
    <t>Rev</t>
    <phoneticPr fontId="7"/>
  </si>
  <si>
    <t>Note</t>
    <phoneticPr fontId="7"/>
  </si>
  <si>
    <t>Code</t>
    <phoneticPr fontId="7"/>
  </si>
  <si>
    <t>1st Edition</t>
    <phoneticPr fontId="7"/>
  </si>
  <si>
    <t>Revison</t>
    <phoneticPr fontId="7"/>
  </si>
  <si>
    <t>CMD</t>
    <phoneticPr fontId="7"/>
  </si>
  <si>
    <t>Data</t>
    <phoneticPr fontId="7"/>
  </si>
  <si>
    <t>REM</t>
    <phoneticPr fontId="7"/>
  </si>
  <si>
    <t>END</t>
    <phoneticPr fontId="7"/>
  </si>
  <si>
    <t>TOSHIBA Confidential</t>
    <phoneticPr fontId="7"/>
  </si>
  <si>
    <t>Value</t>
    <phoneticPr fontId="7"/>
  </si>
  <si>
    <t>Sepc min</t>
    <phoneticPr fontId="7"/>
  </si>
  <si>
    <t>Spec max</t>
    <phoneticPr fontId="7"/>
  </si>
  <si>
    <t>MHz</t>
    <phoneticPr fontId="7"/>
  </si>
  <si>
    <t>REFCLK</t>
    <phoneticPr fontId="7"/>
  </si>
  <si>
    <t>MHz</t>
    <phoneticPr fontId="7"/>
  </si>
  <si>
    <t>REFCK(MHz)</t>
    <phoneticPr fontId="7"/>
  </si>
  <si>
    <t>Pre Divider value</t>
    <phoneticPr fontId="7"/>
  </si>
  <si>
    <t>1-16</t>
    <phoneticPr fontId="7"/>
  </si>
  <si>
    <t>PLL input clock(MHz)</t>
    <phoneticPr fontId="7"/>
  </si>
  <si>
    <t>Unit Clock</t>
    <phoneticPr fontId="7"/>
  </si>
  <si>
    <t>Multiply value of Unit Clock</t>
    <phoneticPr fontId="7"/>
  </si>
  <si>
    <t>1-511</t>
    <phoneticPr fontId="7"/>
  </si>
  <si>
    <t>FRS,PRD,FBD-&gt;</t>
    <phoneticPr fontId="7"/>
  </si>
  <si>
    <t>Mbps/lane</t>
    <phoneticPr fontId="7"/>
  </si>
  <si>
    <t>DSI speed (Mbps/lane)</t>
    <phoneticPr fontId="7"/>
  </si>
  <si>
    <t>lane</t>
    <phoneticPr fontId="7"/>
  </si>
  <si>
    <t>Add EOT</t>
    <phoneticPr fontId="7"/>
  </si>
  <si>
    <t>Enable</t>
  </si>
  <si>
    <t>Insertion of LP between PKT</t>
    <phoneticPr fontId="7"/>
  </si>
  <si>
    <t>Disable</t>
  </si>
  <si>
    <t>HS Byte Clock</t>
    <phoneticPr fontId="7"/>
  </si>
  <si>
    <t>SYSCLK Freq(MHz)</t>
    <phoneticPr fontId="7"/>
  </si>
  <si>
    <t>Line Init Control</t>
    <phoneticPr fontId="7"/>
  </si>
  <si>
    <t>0-65535</t>
    <phoneticPr fontId="7"/>
  </si>
  <si>
    <t>Line Init Control(us)</t>
    <phoneticPr fontId="7"/>
  </si>
  <si>
    <t>TLPTXTIMECNT</t>
    <phoneticPr fontId="7"/>
  </si>
  <si>
    <t>1-2047</t>
    <phoneticPr fontId="7"/>
  </si>
  <si>
    <t>TLPX(ns)</t>
    <phoneticPr fontId="7"/>
  </si>
  <si>
    <t>0-127</t>
    <phoneticPr fontId="7"/>
  </si>
  <si>
    <t>TCLK-PREPARE(ns)</t>
    <phoneticPr fontId="7"/>
  </si>
  <si>
    <t>TCLK-PREPARE+</t>
    <phoneticPr fontId="7"/>
  </si>
  <si>
    <t>0-255</t>
    <phoneticPr fontId="7"/>
  </si>
  <si>
    <t>TCLK-ZERO(ns)</t>
    <phoneticPr fontId="7"/>
  </si>
  <si>
    <t>TCLKTRAILCNT</t>
    <phoneticPr fontId="7"/>
  </si>
  <si>
    <t>TCLK-TRAIL(ns)</t>
    <phoneticPr fontId="7"/>
  </si>
  <si>
    <t>THS-PREPARE(ns)</t>
    <phoneticPr fontId="7"/>
  </si>
  <si>
    <t>THS-PREPARE+</t>
    <phoneticPr fontId="7"/>
  </si>
  <si>
    <t>THS-ZERO(ns)</t>
    <phoneticPr fontId="7"/>
  </si>
  <si>
    <t>TWAKEUPCNT</t>
    <phoneticPr fontId="7"/>
  </si>
  <si>
    <t>TWAKEUP(ms)</t>
    <phoneticPr fontId="7"/>
  </si>
  <si>
    <t>TCLKPOSTCNT</t>
    <phoneticPr fontId="7"/>
  </si>
  <si>
    <t>0-2047</t>
    <phoneticPr fontId="7"/>
  </si>
  <si>
    <t>TCLK-POST(ns)</t>
    <phoneticPr fontId="7"/>
  </si>
  <si>
    <t>THSTRAILCNT</t>
    <phoneticPr fontId="7"/>
  </si>
  <si>
    <t>0-15</t>
    <phoneticPr fontId="7"/>
  </si>
  <si>
    <t>THS-TRAIL(ns)</t>
    <phoneticPr fontId="7"/>
  </si>
  <si>
    <t>Address(Hex)</t>
    <phoneticPr fontId="7"/>
  </si>
  <si>
    <t>Data(Hex)</t>
    <phoneticPr fontId="7"/>
  </si>
  <si>
    <t>0214</t>
    <phoneticPr fontId="7"/>
  </si>
  <si>
    <t>021C</t>
    <phoneticPr fontId="7"/>
  </si>
  <si>
    <t>0224</t>
    <phoneticPr fontId="7"/>
  </si>
  <si>
    <t>Software Reset</t>
    <phoneticPr fontId="7"/>
  </si>
  <si>
    <t>0002</t>
    <phoneticPr fontId="7"/>
  </si>
  <si>
    <t>0000</t>
    <phoneticPr fontId="7"/>
  </si>
  <si>
    <t>WR16</t>
    <phoneticPr fontId="7"/>
  </si>
  <si>
    <t>SysCtl</t>
    <phoneticPr fontId="7"/>
  </si>
  <si>
    <t>WR32</t>
    <phoneticPr fontId="7"/>
  </si>
  <si>
    <t>0144</t>
    <phoneticPr fontId="7"/>
  </si>
  <si>
    <t>0148</t>
    <phoneticPr fontId="7"/>
  </si>
  <si>
    <t>014C</t>
    <phoneticPr fontId="7"/>
  </si>
  <si>
    <t>0150</t>
    <phoneticPr fontId="7"/>
  </si>
  <si>
    <t>LPTXTIMECNT</t>
    <phoneticPr fontId="7"/>
  </si>
  <si>
    <t>TCLK_HEADERCNT</t>
    <phoneticPr fontId="7"/>
  </si>
  <si>
    <t>TCLK_TRAILCNT</t>
    <phoneticPr fontId="7"/>
  </si>
  <si>
    <t>THS_HEADERCNT</t>
    <phoneticPr fontId="7"/>
  </si>
  <si>
    <t>TCLK_POSTCNT</t>
    <phoneticPr fontId="7"/>
  </si>
  <si>
    <t>THS_TRAILCNT</t>
    <phoneticPr fontId="7"/>
  </si>
  <si>
    <t>HSTXVREGCNT</t>
    <phoneticPr fontId="7"/>
  </si>
  <si>
    <t>HSTXVREGEN</t>
    <phoneticPr fontId="7"/>
  </si>
  <si>
    <t>WR8</t>
    <phoneticPr fontId="7"/>
  </si>
  <si>
    <t>SYS_INT</t>
    <phoneticPr fontId="7"/>
  </si>
  <si>
    <t>8502</t>
    <phoneticPr fontId="7"/>
  </si>
  <si>
    <t>SYS_INTM</t>
    <phoneticPr fontId="7"/>
  </si>
  <si>
    <t>8512</t>
    <phoneticPr fontId="7"/>
  </si>
  <si>
    <t>PACKET_INTM</t>
    <phoneticPr fontId="7"/>
  </si>
  <si>
    <t>AUDIO_IMNTM</t>
    <phoneticPr fontId="7"/>
  </si>
  <si>
    <t>ABUF_INTM</t>
    <phoneticPr fontId="7"/>
  </si>
  <si>
    <t>8514</t>
    <phoneticPr fontId="7"/>
  </si>
  <si>
    <t>8515</t>
    <phoneticPr fontId="7"/>
  </si>
  <si>
    <t>8516</t>
    <phoneticPr fontId="7"/>
  </si>
  <si>
    <t>8540</t>
    <phoneticPr fontId="7"/>
  </si>
  <si>
    <t>NCO_F0_MOD</t>
    <phoneticPr fontId="7"/>
  </si>
  <si>
    <t>HDMI PHY</t>
    <phoneticPr fontId="7"/>
  </si>
  <si>
    <t>HDMI SYSTEM</t>
    <phoneticPr fontId="7"/>
  </si>
  <si>
    <t>DDC_CTL</t>
  </si>
  <si>
    <t>HPD_CTL</t>
  </si>
  <si>
    <t>8543</t>
    <phoneticPr fontId="7"/>
  </si>
  <si>
    <t>8544</t>
    <phoneticPr fontId="7"/>
  </si>
  <si>
    <t>EDID</t>
    <phoneticPr fontId="7"/>
  </si>
  <si>
    <t>EDID_MODE</t>
  </si>
  <si>
    <t>EDID Data</t>
    <phoneticPr fontId="7"/>
  </si>
  <si>
    <t>HDCP Setting</t>
    <phoneticPr fontId="7"/>
  </si>
  <si>
    <t>85D1</t>
    <phoneticPr fontId="7"/>
  </si>
  <si>
    <t>8560</t>
    <phoneticPr fontId="7"/>
  </si>
  <si>
    <t>8563</t>
    <phoneticPr fontId="7"/>
  </si>
  <si>
    <t>8564</t>
    <phoneticPr fontId="7"/>
  </si>
  <si>
    <t>HDCP_MODE</t>
    <phoneticPr fontId="7"/>
  </si>
  <si>
    <t>HDMI Audio Setting</t>
    <phoneticPr fontId="7"/>
  </si>
  <si>
    <t>AUD_Auto_Mute</t>
  </si>
  <si>
    <t>Auto_CMD0</t>
  </si>
  <si>
    <t>Auto_CMD1</t>
  </si>
  <si>
    <t>Auto_CMD2</t>
  </si>
  <si>
    <t>BUFINIT_START</t>
  </si>
  <si>
    <t>FS_MUTE</t>
  </si>
  <si>
    <t>01</t>
  </si>
  <si>
    <t>SDO_MODE1</t>
  </si>
  <si>
    <t>01</t>
    <phoneticPr fontId="7"/>
  </si>
  <si>
    <t>INIT_END</t>
  </si>
  <si>
    <t>fps</t>
    <phoneticPr fontId="16"/>
  </si>
  <si>
    <t>Htotal</t>
    <phoneticPr fontId="16"/>
  </si>
  <si>
    <t>(us)</t>
    <phoneticPr fontId="16"/>
  </si>
  <si>
    <t>Vtotal</t>
    <phoneticPr fontId="16"/>
  </si>
  <si>
    <t>(ms)</t>
    <phoneticPr fontId="16"/>
  </si>
  <si>
    <t>Format</t>
    <phoneticPr fontId="16"/>
  </si>
  <si>
    <t>Multiply Vaue</t>
    <phoneticPr fontId="7"/>
  </si>
  <si>
    <t>H Active</t>
  </si>
  <si>
    <t>H Active</t>
    <phoneticPr fontId="16"/>
  </si>
  <si>
    <t>(us)</t>
    <phoneticPr fontId="16"/>
  </si>
  <si>
    <t>(ms)</t>
    <phoneticPr fontId="16"/>
  </si>
  <si>
    <t>Mbps/lane</t>
    <phoneticPr fontId="16"/>
  </si>
  <si>
    <t>V Blank</t>
    <phoneticPr fontId="16"/>
  </si>
  <si>
    <t>Timing</t>
    <phoneticPr fontId="16"/>
  </si>
  <si>
    <r>
      <t>TLPX</t>
    </r>
    <r>
      <rPr>
        <sz val="8"/>
        <rFont val="Arial"/>
        <family val="2"/>
      </rPr>
      <t>(Master)</t>
    </r>
    <r>
      <rPr>
        <sz val="11"/>
        <color indexed="8"/>
        <rFont val="Arial"/>
        <family val="2"/>
      </rPr>
      <t>/TLPX</t>
    </r>
    <r>
      <rPr>
        <sz val="8"/>
        <rFont val="Arial"/>
        <family val="2"/>
      </rPr>
      <t>(SLAVE)</t>
    </r>
    <phoneticPr fontId="7"/>
  </si>
  <si>
    <t>&lt;Error Message&gt;</t>
    <phoneticPr fontId="16"/>
  </si>
  <si>
    <t>Common Timing</t>
    <phoneticPr fontId="16"/>
  </si>
  <si>
    <t>Title</t>
    <phoneticPr fontId="7"/>
  </si>
  <si>
    <t>Comment</t>
    <phoneticPr fontId="7"/>
  </si>
  <si>
    <t>Initialization</t>
    <phoneticPr fontId="7"/>
  </si>
  <si>
    <t>00000001</t>
    <phoneticPr fontId="7"/>
  </si>
  <si>
    <t>0A</t>
    <phoneticPr fontId="7"/>
  </si>
  <si>
    <t>11</t>
  </si>
  <si>
    <t>0F</t>
  </si>
  <si>
    <t>00</t>
    <phoneticPr fontId="7"/>
  </si>
  <si>
    <t>8600</t>
  </si>
  <si>
    <t>8602</t>
  </si>
  <si>
    <t>8603</t>
  </si>
  <si>
    <t>8604</t>
  </si>
  <si>
    <t>8606</t>
  </si>
  <si>
    <t>8607</t>
  </si>
  <si>
    <t>8652</t>
  </si>
  <si>
    <t>854A</t>
  </si>
  <si>
    <t>0004</t>
  </si>
  <si>
    <t>WR16</t>
    <phoneticPr fontId="7"/>
  </si>
  <si>
    <t>8C00</t>
    <phoneticPr fontId="7"/>
  </si>
  <si>
    <t>EDID_RAM</t>
    <phoneticPr fontId="7"/>
  </si>
  <si>
    <t>[7]</t>
    <phoneticPr fontId="7"/>
  </si>
  <si>
    <t>[6]</t>
    <phoneticPr fontId="7"/>
  </si>
  <si>
    <t>[5]</t>
    <phoneticPr fontId="7"/>
  </si>
  <si>
    <t>[4]</t>
    <phoneticPr fontId="7"/>
  </si>
  <si>
    <t>[3]</t>
    <phoneticPr fontId="7"/>
  </si>
  <si>
    <t>[2]</t>
    <phoneticPr fontId="7"/>
  </si>
  <si>
    <t>[1]</t>
    <phoneticPr fontId="7"/>
  </si>
  <si>
    <t>[0]</t>
    <phoneticPr fontId="7"/>
  </si>
  <si>
    <t>8630</t>
    <phoneticPr fontId="7"/>
  </si>
  <si>
    <t>8670</t>
    <phoneticPr fontId="7"/>
  </si>
  <si>
    <t>8631</t>
    <phoneticPr fontId="7"/>
  </si>
  <si>
    <t>DDCACT[2]</t>
    <phoneticPr fontId="7"/>
  </si>
  <si>
    <t>DDC5V_MODE[1:0]</t>
    <phoneticPr fontId="7"/>
  </si>
  <si>
    <t>HotPlug</t>
  </si>
  <si>
    <t>100ms</t>
  </si>
  <si>
    <t>HPD_CTL0[4]</t>
    <phoneticPr fontId="7"/>
  </si>
  <si>
    <t>HPD_OUT0[0]</t>
    <phoneticPr fontId="7"/>
  </si>
  <si>
    <t>8C01</t>
    <phoneticPr fontId="7"/>
  </si>
  <si>
    <t>8C02</t>
    <phoneticPr fontId="7"/>
  </si>
  <si>
    <t>8C03</t>
    <phoneticPr fontId="7"/>
  </si>
  <si>
    <t>8C04</t>
    <phoneticPr fontId="7"/>
  </si>
  <si>
    <t>8C05</t>
    <phoneticPr fontId="7"/>
  </si>
  <si>
    <t>8C06</t>
    <phoneticPr fontId="7"/>
  </si>
  <si>
    <t>8C07</t>
    <phoneticPr fontId="7"/>
  </si>
  <si>
    <t>8C08</t>
    <phoneticPr fontId="7"/>
  </si>
  <si>
    <t>8C09</t>
    <phoneticPr fontId="7"/>
  </si>
  <si>
    <t>8C0A</t>
    <phoneticPr fontId="7"/>
  </si>
  <si>
    <t>8C0B</t>
    <phoneticPr fontId="7"/>
  </si>
  <si>
    <t>8C0C</t>
    <phoneticPr fontId="7"/>
  </si>
  <si>
    <t>8C0D</t>
    <phoneticPr fontId="7"/>
  </si>
  <si>
    <t>8C0E</t>
    <phoneticPr fontId="7"/>
  </si>
  <si>
    <t>8C0F</t>
    <phoneticPr fontId="7"/>
  </si>
  <si>
    <t>8C10</t>
  </si>
  <si>
    <t>8C11</t>
  </si>
  <si>
    <t>8C12</t>
  </si>
  <si>
    <t>8C13</t>
  </si>
  <si>
    <t>8C14</t>
  </si>
  <si>
    <t>8C15</t>
  </si>
  <si>
    <t>8C16</t>
  </si>
  <si>
    <t>8C17</t>
  </si>
  <si>
    <t>8C18</t>
  </si>
  <si>
    <t>8C19</t>
  </si>
  <si>
    <t>8C1A</t>
  </si>
  <si>
    <t>8C1B</t>
  </si>
  <si>
    <t>8C1C</t>
  </si>
  <si>
    <t>8C1D</t>
  </si>
  <si>
    <t>8C1E</t>
  </si>
  <si>
    <t>8C1F</t>
  </si>
  <si>
    <t>8C20</t>
  </si>
  <si>
    <t>8C21</t>
  </si>
  <si>
    <t>8C22</t>
  </si>
  <si>
    <t>8C23</t>
  </si>
  <si>
    <t>8C24</t>
  </si>
  <si>
    <t>8C25</t>
  </si>
  <si>
    <t>8C26</t>
  </si>
  <si>
    <t>8C27</t>
  </si>
  <si>
    <t>8C28</t>
  </si>
  <si>
    <t>8C29</t>
  </si>
  <si>
    <t>8C2A</t>
  </si>
  <si>
    <t>8C2B</t>
  </si>
  <si>
    <t>8C2C</t>
  </si>
  <si>
    <t>8C2D</t>
  </si>
  <si>
    <t>8C2E</t>
  </si>
  <si>
    <t>8C2F</t>
  </si>
  <si>
    <t>8C30</t>
  </si>
  <si>
    <t>8C31</t>
  </si>
  <si>
    <t>8C32</t>
  </si>
  <si>
    <t>8C33</t>
  </si>
  <si>
    <t>8C34</t>
  </si>
  <si>
    <t>8C35</t>
  </si>
  <si>
    <t>8C36</t>
  </si>
  <si>
    <t>8C37</t>
  </si>
  <si>
    <t>8C38</t>
  </si>
  <si>
    <t>8C39</t>
  </si>
  <si>
    <t>8C3A</t>
  </si>
  <si>
    <t>8C3B</t>
  </si>
  <si>
    <t>8C3C</t>
  </si>
  <si>
    <t>8C3D</t>
  </si>
  <si>
    <t>8C3E</t>
  </si>
  <si>
    <t>8C3F</t>
  </si>
  <si>
    <t>8C40</t>
  </si>
  <si>
    <t>8C41</t>
  </si>
  <si>
    <t>8C42</t>
  </si>
  <si>
    <t>8C43</t>
  </si>
  <si>
    <t>8C44</t>
  </si>
  <si>
    <t>8C45</t>
  </si>
  <si>
    <t>8C46</t>
  </si>
  <si>
    <t>8C47</t>
  </si>
  <si>
    <t>8C48</t>
  </si>
  <si>
    <t>8C49</t>
  </si>
  <si>
    <t>8C4A</t>
  </si>
  <si>
    <t>8C4B</t>
  </si>
  <si>
    <t>8C4C</t>
  </si>
  <si>
    <t>8C4D</t>
  </si>
  <si>
    <t>8C4E</t>
  </si>
  <si>
    <t>8C4F</t>
  </si>
  <si>
    <t>8C50</t>
  </si>
  <si>
    <t>8C51</t>
  </si>
  <si>
    <t>8C52</t>
  </si>
  <si>
    <t>8C53</t>
  </si>
  <si>
    <t>8C54</t>
  </si>
  <si>
    <t>8C55</t>
  </si>
  <si>
    <t>8C56</t>
  </si>
  <si>
    <t>8C57</t>
  </si>
  <si>
    <t>8C58</t>
  </si>
  <si>
    <t>8C59</t>
  </si>
  <si>
    <t>8C5A</t>
  </si>
  <si>
    <t>8C5B</t>
  </si>
  <si>
    <t>8C5C</t>
  </si>
  <si>
    <t>8C5D</t>
  </si>
  <si>
    <t>8C5E</t>
  </si>
  <si>
    <t>8C5F</t>
  </si>
  <si>
    <t>8C60</t>
  </si>
  <si>
    <t>8C61</t>
  </si>
  <si>
    <t>8C62</t>
  </si>
  <si>
    <t>8C63</t>
  </si>
  <si>
    <t>8C64</t>
  </si>
  <si>
    <t>8C65</t>
  </si>
  <si>
    <t>8C66</t>
  </si>
  <si>
    <t>8C67</t>
  </si>
  <si>
    <t>8C68</t>
  </si>
  <si>
    <t>8C69</t>
  </si>
  <si>
    <t>8C6A</t>
  </si>
  <si>
    <t>8C6B</t>
  </si>
  <si>
    <t>8C6C</t>
  </si>
  <si>
    <t>8C6D</t>
  </si>
  <si>
    <t>8C6E</t>
  </si>
  <si>
    <t>8C6F</t>
  </si>
  <si>
    <t>8C70</t>
  </si>
  <si>
    <t>8C71</t>
  </si>
  <si>
    <t>8C72</t>
  </si>
  <si>
    <t>8C73</t>
  </si>
  <si>
    <t>8C74</t>
  </si>
  <si>
    <t>8C75</t>
  </si>
  <si>
    <t>8C76</t>
  </si>
  <si>
    <t>8C77</t>
  </si>
  <si>
    <t>8C78</t>
  </si>
  <si>
    <t>8C79</t>
  </si>
  <si>
    <t>8C7A</t>
  </si>
  <si>
    <t>8C7B</t>
  </si>
  <si>
    <t>8C7C</t>
  </si>
  <si>
    <t>8C7D</t>
  </si>
  <si>
    <t>8C7E</t>
  </si>
  <si>
    <t>8C7F</t>
  </si>
  <si>
    <t>8C80</t>
  </si>
  <si>
    <t>8C81</t>
  </si>
  <si>
    <t>8C82</t>
  </si>
  <si>
    <t>8C83</t>
  </si>
  <si>
    <t>8C84</t>
  </si>
  <si>
    <t>8C85</t>
  </si>
  <si>
    <t>8C86</t>
  </si>
  <si>
    <t>8C87</t>
  </si>
  <si>
    <t>8C88</t>
  </si>
  <si>
    <t>8C89</t>
  </si>
  <si>
    <t>8C8A</t>
  </si>
  <si>
    <t>8C8B</t>
  </si>
  <si>
    <t>8C8C</t>
  </si>
  <si>
    <t>8C8D</t>
  </si>
  <si>
    <t>8C8E</t>
  </si>
  <si>
    <t>8C8F</t>
  </si>
  <si>
    <t>8C90</t>
  </si>
  <si>
    <t>8C91</t>
  </si>
  <si>
    <t>8C92</t>
  </si>
  <si>
    <t>8C93</t>
  </si>
  <si>
    <t>8C94</t>
  </si>
  <si>
    <t>8C95</t>
  </si>
  <si>
    <t>8C96</t>
  </si>
  <si>
    <t>8C97</t>
  </si>
  <si>
    <t>8C98</t>
  </si>
  <si>
    <t>8C99</t>
  </si>
  <si>
    <t>8C9A</t>
  </si>
  <si>
    <t>8C9B</t>
  </si>
  <si>
    <t>8C9C</t>
  </si>
  <si>
    <t>8C9D</t>
  </si>
  <si>
    <t>8C9E</t>
  </si>
  <si>
    <t>8C9F</t>
  </si>
  <si>
    <t>8CA0</t>
  </si>
  <si>
    <t>8CA1</t>
  </si>
  <si>
    <t>8CA2</t>
  </si>
  <si>
    <t>8CA3</t>
  </si>
  <si>
    <t>8CA4</t>
  </si>
  <si>
    <t>8CA5</t>
  </si>
  <si>
    <t>8CA6</t>
  </si>
  <si>
    <t>8CA7</t>
  </si>
  <si>
    <t>8CA8</t>
  </si>
  <si>
    <t>8CA9</t>
  </si>
  <si>
    <t>8CAA</t>
  </si>
  <si>
    <t>8CAB</t>
  </si>
  <si>
    <t>8CAC</t>
  </si>
  <si>
    <t>8CAD</t>
  </si>
  <si>
    <t>8CAE</t>
  </si>
  <si>
    <t>8CAF</t>
  </si>
  <si>
    <t>8CB0</t>
  </si>
  <si>
    <t>8CB1</t>
  </si>
  <si>
    <t>8CB2</t>
  </si>
  <si>
    <t>8CB3</t>
  </si>
  <si>
    <t>8CB4</t>
  </si>
  <si>
    <t>8CB5</t>
  </si>
  <si>
    <t>8CB6</t>
  </si>
  <si>
    <t>8CB7</t>
  </si>
  <si>
    <t>8CB8</t>
  </si>
  <si>
    <t>8CB9</t>
  </si>
  <si>
    <t>8CBA</t>
  </si>
  <si>
    <t>8CBB</t>
  </si>
  <si>
    <t>8CBC</t>
  </si>
  <si>
    <t>8CBD</t>
  </si>
  <si>
    <t>8CBE</t>
  </si>
  <si>
    <t>8CBF</t>
  </si>
  <si>
    <t>8CC0</t>
  </si>
  <si>
    <t>8CC1</t>
  </si>
  <si>
    <t>8CC2</t>
  </si>
  <si>
    <t>8CC3</t>
  </si>
  <si>
    <t>8CC4</t>
  </si>
  <si>
    <t>8CC5</t>
  </si>
  <si>
    <t>8CC6</t>
  </si>
  <si>
    <t>8CC7</t>
  </si>
  <si>
    <t>8CC8</t>
  </si>
  <si>
    <t>8CC9</t>
  </si>
  <si>
    <t>8CCA</t>
  </si>
  <si>
    <t>8CCB</t>
  </si>
  <si>
    <t>8CCC</t>
  </si>
  <si>
    <t>8CCD</t>
  </si>
  <si>
    <t>8CCE</t>
  </si>
  <si>
    <t>8CCF</t>
  </si>
  <si>
    <t>8CD0</t>
  </si>
  <si>
    <t>8CD1</t>
  </si>
  <si>
    <t>8CD2</t>
  </si>
  <si>
    <t>8CD3</t>
  </si>
  <si>
    <t>8CD4</t>
  </si>
  <si>
    <t>8CD5</t>
  </si>
  <si>
    <t>8CD6</t>
  </si>
  <si>
    <t>8CD7</t>
  </si>
  <si>
    <t>8CD8</t>
  </si>
  <si>
    <t>8CD9</t>
  </si>
  <si>
    <t>8CDA</t>
  </si>
  <si>
    <t>8CDB</t>
  </si>
  <si>
    <t>8CDC</t>
  </si>
  <si>
    <t>8CDD</t>
  </si>
  <si>
    <t>8CDE</t>
  </si>
  <si>
    <t>8CDF</t>
  </si>
  <si>
    <t>8CE0</t>
  </si>
  <si>
    <t>8CE1</t>
  </si>
  <si>
    <t>8CE2</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</si>
  <si>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</si>
  <si>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</si>
  <si>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</si>
  <si>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</si>
  <si>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</si>
  <si>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</si>
  <si>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</si>
  <si>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</si>
  <si>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</si>
  <si>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</si>
  <si>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</si>
  <si>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</si>
  <si>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</si>
  <si>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</si>
  <si>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</si>
  <si>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</si>
  <si>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</si>
  <si>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</si>
  <si>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</si>
  <si>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</si>
  <si>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</si>
  <si>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</si>
  <si>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</si>
  <si>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</si>
  <si>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</si>
  <si>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</si>
  <si>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</si>
  <si>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</si>
  <si>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</si>
  <si>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AutoRes On</t>
  </si>
  <si>
    <t>LinkRekey[4]</t>
    <phoneticPr fontId="7"/>
  </si>
  <si>
    <t>Md_RST_TN[5]</t>
    <phoneticPr fontId="7"/>
  </si>
  <si>
    <t>57clk</t>
  </si>
  <si>
    <t>Auto CLR[2]</t>
    <phoneticPr fontId="7"/>
  </si>
  <si>
    <t>A_MUTE[4]</t>
    <phoneticPr fontId="7"/>
  </si>
  <si>
    <t>D_MUTE[0]</t>
    <phoneticPr fontId="7"/>
  </si>
  <si>
    <t>Audio and Data mute setting</t>
    <phoneticPr fontId="7"/>
  </si>
  <si>
    <t>ON</t>
  </si>
  <si>
    <t>OFF</t>
  </si>
  <si>
    <t>Auto_Mute[7]</t>
    <phoneticPr fontId="7"/>
  </si>
  <si>
    <t>Auto_Mute[6]</t>
    <phoneticPr fontId="7"/>
  </si>
  <si>
    <t>Auto_Mute[5]</t>
    <phoneticPr fontId="7"/>
  </si>
  <si>
    <t>Auto_Mute[4]</t>
    <phoneticPr fontId="7"/>
  </si>
  <si>
    <t>Auto_Mute[3]</t>
    <phoneticPr fontId="7"/>
  </si>
  <si>
    <t>Auto_Mute[2]</t>
    <phoneticPr fontId="7"/>
  </si>
  <si>
    <t>Auto_Mute[1]</t>
    <phoneticPr fontId="7"/>
  </si>
  <si>
    <t>Auto_Mute[0]</t>
    <phoneticPr fontId="7"/>
  </si>
  <si>
    <t>Not Set</t>
  </si>
  <si>
    <t>Set</t>
  </si>
  <si>
    <t>Auto_Mute[8]</t>
    <phoneticPr fontId="7"/>
  </si>
  <si>
    <t>Auto_Mute[9]</t>
    <phoneticPr fontId="7"/>
  </si>
  <si>
    <t>Auto_Mute[10]</t>
    <phoneticPr fontId="7"/>
  </si>
  <si>
    <t>Auto_Play[3]</t>
    <phoneticPr fontId="7"/>
  </si>
  <si>
    <t>Auto_Play[2]</t>
    <phoneticPr fontId="7"/>
  </si>
  <si>
    <t>Clear</t>
  </si>
  <si>
    <t>Issue</t>
  </si>
  <si>
    <t>BUF_INIT_START[7:0] (us)  0.1us~25.5us</t>
    <phoneticPr fontId="7"/>
  </si>
  <si>
    <t>FSelseMute[7]</t>
    <phoneticPr fontId="7"/>
  </si>
  <si>
    <t>FS22_Mute[6]</t>
    <phoneticPr fontId="7"/>
  </si>
  <si>
    <t>FS24_Mute[5]</t>
    <phoneticPr fontId="7"/>
  </si>
  <si>
    <t>FS88_Mute[4]</t>
    <phoneticPr fontId="7"/>
  </si>
  <si>
    <t>FS96_Mute[3]</t>
    <phoneticPr fontId="7"/>
  </si>
  <si>
    <t>FS192Mute[1]</t>
    <phoneticPr fontId="7"/>
  </si>
  <si>
    <t>FS176Mute[2]</t>
    <phoneticPr fontId="7"/>
  </si>
  <si>
    <t>FS_NoMute[0]</t>
    <phoneticPr fontId="7"/>
  </si>
  <si>
    <t>Not Mute</t>
  </si>
  <si>
    <t>Normal</t>
  </si>
  <si>
    <t>SDO_BIT_LENGTH[6:4]</t>
    <phoneticPr fontId="7"/>
  </si>
  <si>
    <t>16b_8bDscd</t>
  </si>
  <si>
    <t>SDO_FORMAT[1:0]</t>
    <phoneticPr fontId="7"/>
  </si>
  <si>
    <t>I2S</t>
  </si>
  <si>
    <t>L Out</t>
  </si>
  <si>
    <t>I_ACR_CTS[7]</t>
    <phoneticPr fontId="7"/>
  </si>
  <si>
    <t>I_ACRN[6]</t>
    <phoneticPr fontId="7"/>
  </si>
  <si>
    <t>I_DVI[5]</t>
    <phoneticPr fontId="7"/>
  </si>
  <si>
    <t>I_HDMI[4]</t>
    <phoneticPr fontId="7"/>
  </si>
  <si>
    <t>I_NOPMBDET[3]</t>
    <phoneticPr fontId="7"/>
  </si>
  <si>
    <t>I_DPMBDET[2]</t>
    <phoneticPr fontId="7"/>
  </si>
  <si>
    <t>I_TMDS[1]</t>
    <phoneticPr fontId="7"/>
  </si>
  <si>
    <t>I_DDC[0]</t>
    <phoneticPr fontId="7"/>
  </si>
  <si>
    <t>M_ACR_CTS[7]</t>
    <phoneticPr fontId="7"/>
  </si>
  <si>
    <t>M_ACR_N[6]</t>
    <phoneticPr fontId="7"/>
  </si>
  <si>
    <t>M_DVI_DET[5]</t>
    <phoneticPr fontId="7"/>
  </si>
  <si>
    <t>M_HDMI_DET[4]</t>
    <phoneticPr fontId="7"/>
  </si>
  <si>
    <t>M_NOPMBDET[3]</t>
    <phoneticPr fontId="7"/>
  </si>
  <si>
    <t>M_BPMBDET[2]</t>
    <phoneticPr fontId="7"/>
  </si>
  <si>
    <t>M_TDMS[1]</t>
    <phoneticPr fontId="7"/>
  </si>
  <si>
    <t>M_DDC[0]</t>
    <phoneticPr fontId="7"/>
  </si>
  <si>
    <t>Mask On</t>
  </si>
  <si>
    <t>Mask Off</t>
  </si>
  <si>
    <t>M_PK_ISRC2[7]</t>
    <phoneticPr fontId="7"/>
  </si>
  <si>
    <t>M_PK_ISRC[6]</t>
    <phoneticPr fontId="7"/>
  </si>
  <si>
    <t>M_PK_ACP[5]</t>
    <phoneticPr fontId="7"/>
  </si>
  <si>
    <t>M_PK_VS[4]</t>
    <phoneticPr fontId="7"/>
  </si>
  <si>
    <t>M_OK_SPD[3]</t>
    <phoneticPr fontId="7"/>
  </si>
  <si>
    <t>M_PK_MS[2]</t>
    <phoneticPr fontId="7"/>
  </si>
  <si>
    <t>M_PK_AUD[1]</t>
    <phoneticPr fontId="7"/>
  </si>
  <si>
    <t>M_PK_AVI[0]</t>
    <phoneticPr fontId="7"/>
  </si>
  <si>
    <t>M_AF_LOCK[7]</t>
    <phoneticPr fontId="7"/>
  </si>
  <si>
    <t>M_AF_UNLOCK[6]</t>
    <phoneticPr fontId="7"/>
  </si>
  <si>
    <t>M_AU_DSD[4]</t>
    <phoneticPr fontId="7"/>
  </si>
  <si>
    <t>M_AU_HBR[3]</t>
    <phoneticPr fontId="7"/>
  </si>
  <si>
    <t>M_CBIT_NLPCM[2]</t>
    <phoneticPr fontId="7"/>
  </si>
  <si>
    <t>M_CBIT_FS[1]</t>
    <phoneticPr fontId="7"/>
  </si>
  <si>
    <t>M_CBIT[0]</t>
    <phoneticPr fontId="7"/>
  </si>
  <si>
    <t>-</t>
    <phoneticPr fontId="7"/>
  </si>
  <si>
    <t>M_BUF_OVR[7]</t>
    <phoneticPr fontId="7"/>
  </si>
  <si>
    <t>M_BUF_NO2[6]</t>
    <phoneticPr fontId="7"/>
  </si>
  <si>
    <t>M_BUF_NO1[5]</t>
    <phoneticPr fontId="7"/>
  </si>
  <si>
    <t>M_BUF_CTR[4]</t>
    <phoneticPr fontId="7"/>
  </si>
  <si>
    <t>M_BUF_NU1[3]</t>
    <phoneticPr fontId="7"/>
  </si>
  <si>
    <t>M_BUF_NU2[2]</t>
    <phoneticPr fontId="7"/>
  </si>
  <si>
    <t>M_BUF_UDR[1]</t>
    <phoneticPr fontId="7"/>
  </si>
  <si>
    <t>M_BFINIT_ED[0]</t>
    <phoneticPr fontId="7"/>
  </si>
  <si>
    <t>EDID_MODE[1:0]</t>
    <phoneticPr fontId="7"/>
  </si>
  <si>
    <t>RAM+DDC2B</t>
  </si>
  <si>
    <t>EDID_LEN[10:0]  EDID Data Length</t>
    <phoneticPr fontId="7"/>
  </si>
  <si>
    <t>Audio Out</t>
    <phoneticPr fontId="16"/>
  </si>
  <si>
    <t>Audio CH</t>
    <phoneticPr fontId="16"/>
  </si>
  <si>
    <t>I2S/TDM dly</t>
    <phoneticPr fontId="16"/>
  </si>
  <si>
    <t>No Delay</t>
  </si>
  <si>
    <t>Audio Related</t>
    <phoneticPr fontId="16"/>
  </si>
  <si>
    <t>Audio BitClk</t>
    <phoneticPr fontId="16"/>
  </si>
  <si>
    <t>I2C Auto Inc</t>
    <phoneticPr fontId="16"/>
  </si>
  <si>
    <t>Auto Inc</t>
  </si>
  <si>
    <t>Aud CH Sel</t>
    <phoneticPr fontId="16"/>
  </si>
  <si>
    <t>Free Run</t>
  </si>
  <si>
    <t>FF</t>
    <phoneticPr fontId="7"/>
  </si>
  <si>
    <t>Headder Start</t>
    <phoneticPr fontId="7"/>
  </si>
  <si>
    <t>Week Of Manufacture</t>
    <phoneticPr fontId="7"/>
  </si>
  <si>
    <t>Year of Manufacture</t>
    <phoneticPr fontId="7"/>
  </si>
  <si>
    <t>Version</t>
    <phoneticPr fontId="7"/>
  </si>
  <si>
    <t>Revision</t>
    <phoneticPr fontId="7"/>
  </si>
  <si>
    <t>Video Input Definition</t>
    <phoneticPr fontId="7"/>
  </si>
  <si>
    <t>Max Horizontal Imange size (in cm)</t>
    <phoneticPr fontId="7"/>
  </si>
  <si>
    <t>Max Vertical Imange size (in cm)</t>
    <phoneticPr fontId="7"/>
  </si>
  <si>
    <t>Gammma</t>
    <phoneticPr fontId="7"/>
  </si>
  <si>
    <t>Feature Support</t>
    <phoneticPr fontId="7"/>
  </si>
  <si>
    <t>Red/Green Low Bits</t>
    <phoneticPr fontId="7"/>
  </si>
  <si>
    <t>Blue/White Low Bits</t>
    <phoneticPr fontId="7"/>
  </si>
  <si>
    <t>Red-x</t>
    <phoneticPr fontId="7"/>
  </si>
  <si>
    <t>Red-y</t>
    <phoneticPr fontId="7"/>
  </si>
  <si>
    <t>Green-x</t>
    <phoneticPr fontId="7"/>
  </si>
  <si>
    <t>Green-y</t>
    <phoneticPr fontId="7"/>
  </si>
  <si>
    <t>Blue-x</t>
    <phoneticPr fontId="7"/>
  </si>
  <si>
    <t>Blue-y</t>
    <phoneticPr fontId="7"/>
  </si>
  <si>
    <t>White-x</t>
    <phoneticPr fontId="7"/>
  </si>
  <si>
    <t>White-y</t>
    <phoneticPr fontId="7"/>
  </si>
  <si>
    <t>Established Timing 1</t>
    <phoneticPr fontId="7"/>
  </si>
  <si>
    <t>Established Timing 2</t>
    <phoneticPr fontId="7"/>
  </si>
  <si>
    <t>Manufacturer's Timing</t>
    <phoneticPr fontId="7"/>
  </si>
  <si>
    <t>Standard Timing ID #1</t>
    <phoneticPr fontId="7"/>
  </si>
  <si>
    <t>Standard Timing ID #2</t>
    <phoneticPr fontId="7"/>
  </si>
  <si>
    <t>Standard Timing ID #3</t>
    <phoneticPr fontId="7"/>
  </si>
  <si>
    <t>Standard Timing ID #4</t>
    <phoneticPr fontId="7"/>
  </si>
  <si>
    <t>Standard Timing ID #5</t>
    <phoneticPr fontId="7"/>
  </si>
  <si>
    <t>Standard Timing ID #6</t>
    <phoneticPr fontId="7"/>
  </si>
  <si>
    <t>Standard Timing ID #7</t>
    <phoneticPr fontId="7"/>
  </si>
  <si>
    <t>Standard Timing ID #8</t>
    <phoneticPr fontId="7"/>
  </si>
  <si>
    <t>Pixel Clock (First Detailed Timing Descriptor)</t>
    <phoneticPr fontId="7"/>
  </si>
  <si>
    <t>H Active (First Detailed Timing Descriptor)</t>
    <phoneticPr fontId="7"/>
  </si>
  <si>
    <t>H Blanking (First Detailed Timing Descriptor)</t>
    <phoneticPr fontId="7"/>
  </si>
  <si>
    <t>H Active:H Blanking (First Detailed Timing Descriptor)</t>
    <phoneticPr fontId="7"/>
  </si>
  <si>
    <t>V Active (First Detailed Timing Descriptor)</t>
    <phoneticPr fontId="7"/>
  </si>
  <si>
    <t>V Blanking (First Detailed Timing Descriptor)</t>
    <phoneticPr fontId="7"/>
  </si>
  <si>
    <t>V Active:V Blanking (First Detailed Timing Descriptor)</t>
    <phoneticPr fontId="7"/>
  </si>
  <si>
    <t>H Sync Offset (First Detailed Timing Descriptor)</t>
    <phoneticPr fontId="7"/>
  </si>
  <si>
    <t>H Sync Pulse Width (First Detailed Timing Descriptor)</t>
    <phoneticPr fontId="7"/>
  </si>
  <si>
    <t>VS Offset: VS Pulse WIdth(First Detailed Timing Descriptor)</t>
    <phoneticPr fontId="7"/>
  </si>
  <si>
    <t>HS Offset: HS Pulse Width: VS Offset: VS Pulse WIdth(First Detailed Timing Descriptor)</t>
    <phoneticPr fontId="7"/>
  </si>
  <si>
    <t>H Image Size (First Detailed Timing Descriptor)</t>
    <phoneticPr fontId="7"/>
  </si>
  <si>
    <t>V Image Size (First Detailed Timing Descriptor)</t>
    <phoneticPr fontId="7"/>
  </si>
  <si>
    <t>H&amp;V Image Size (First Detailed Timing Descriptor)</t>
    <phoneticPr fontId="7"/>
  </si>
  <si>
    <t>H Border (First Detailed Timing Descriptor)</t>
    <phoneticPr fontId="7"/>
  </si>
  <si>
    <t>V Border (First Detailed Timing Descriptor)</t>
    <phoneticPr fontId="7"/>
  </si>
  <si>
    <t>Flags (First Detailed Timing Descriptor)</t>
    <phoneticPr fontId="7"/>
  </si>
  <si>
    <t>H Active (Second Detailed Timing Descriptor)</t>
  </si>
  <si>
    <t>H Blanking (Second Detailed Timing Descriptor)</t>
  </si>
  <si>
    <t>H Active:H Blanking (Second Detailed Timing Descriptor)</t>
  </si>
  <si>
    <t>V Active (Second Detailed Timing Descriptor)</t>
  </si>
  <si>
    <t>V Blanking (Second Detailed Timing Descriptor)</t>
  </si>
  <si>
    <t>V Active:V Blanking (Second Detailed Timing Descriptor)</t>
  </si>
  <si>
    <t>H Sync Offset (Second Detailed Timing Descriptor)</t>
  </si>
  <si>
    <t>H Sync Pulse Width (Second Detailed Timing Descriptor)</t>
  </si>
  <si>
    <t>VS Offset: VS Pulse WIdth(Second Detailed Timing Descriptor)</t>
  </si>
  <si>
    <t>HS Offset: HS Pulse Width: VS Offset: VS Pulse WIdth(Second Detailed Timing Descriptor)</t>
  </si>
  <si>
    <t>H Image Size (Second Detailed Timing Descriptor)</t>
  </si>
  <si>
    <t>V Image Size (Second Detailed Timing Descriptor)</t>
  </si>
  <si>
    <t>H&amp;V Image Size (Second Detailed Timing Descriptor)</t>
  </si>
  <si>
    <t>H Border (Second Detailed Timing Descriptor)</t>
  </si>
  <si>
    <t>V Border (Second Detailed Timing Descriptor)</t>
  </si>
  <si>
    <t>Flags (Second Detailed Timing Descriptor)</t>
  </si>
  <si>
    <t>Pixel Clock (Second Detailed Timing Descriptor)</t>
    <phoneticPr fontId="7"/>
  </si>
  <si>
    <t>Extension Flag</t>
    <phoneticPr fontId="7"/>
  </si>
  <si>
    <t>Tag per CEA-861</t>
    <phoneticPr fontId="7"/>
  </si>
  <si>
    <t>0x01 per CEA-861</t>
    <phoneticPr fontId="7"/>
  </si>
  <si>
    <t>0x04 per CEA861</t>
    <phoneticPr fontId="7"/>
  </si>
  <si>
    <t>0x00 per CEA-861</t>
    <phoneticPr fontId="7"/>
  </si>
  <si>
    <t>Pixel Clock (Third Detailed Timing Descriptor)</t>
  </si>
  <si>
    <t>H Active (Third Detailed Timing Descriptor)</t>
  </si>
  <si>
    <t>H Blanking (Third Detailed Timing Descriptor)</t>
  </si>
  <si>
    <t>H Active:H Blanking (Third Detailed Timing Descriptor)</t>
  </si>
  <si>
    <t>V Active (Third Detailed Timing Descriptor)</t>
  </si>
  <si>
    <t>V Blanking (Third Detailed Timing Descriptor)</t>
  </si>
  <si>
    <t>V Active:V Blanking (Third Detailed Timing Descriptor)</t>
  </si>
  <si>
    <t>H Sync Offset (Third Detailed Timing Descriptor)</t>
  </si>
  <si>
    <t>H Sync Pulse Width (Third Detailed Timing Descriptor)</t>
  </si>
  <si>
    <t>VS Offset: VS Pulse WIdth(Third Detailed Timing Descriptor)</t>
  </si>
  <si>
    <t>HS Offset: HS Pulse Width: VS Offset: VS Pulse WIdth(Third Detailed Timing Descriptor)</t>
  </si>
  <si>
    <t>H Image Size (Third Detailed Timing Descriptor)</t>
  </si>
  <si>
    <t>V Image Size (Third Detailed Timing Descriptor)</t>
  </si>
  <si>
    <t>H&amp;V Image Size (Third Detailed Timing Descriptor)</t>
  </si>
  <si>
    <t>H Border (Third Detailed Timing Descriptor)</t>
  </si>
  <si>
    <t>V Border (Third Detailed Timing Descriptor)</t>
  </si>
  <si>
    <t>Flags (Third Detailed Timing Descriptor)</t>
  </si>
  <si>
    <t>Pixel Clock (Fourth Detailed Timing Descriptor)</t>
  </si>
  <si>
    <t>H Active (Fourth Detailed Timing Descriptor)</t>
  </si>
  <si>
    <t>H Blanking (Fourth Detailed Timing Descriptor)</t>
  </si>
  <si>
    <t>H Active:H Blanking (Fourth Detailed Timing Descriptor)</t>
  </si>
  <si>
    <t>V Active (Fourth Detailed Timing Descriptor)</t>
  </si>
  <si>
    <t>V Blanking (Fourth Detailed Timing Descriptor)</t>
  </si>
  <si>
    <t>V Active:V Blanking (Fourth Detailed Timing Descriptor)</t>
  </si>
  <si>
    <t>H Sync Offset (Fourth Detailed Timing Descriptor)</t>
  </si>
  <si>
    <t>H Sync Pulse Width (Fourth Detailed Timing Descriptor)</t>
  </si>
  <si>
    <t>VS Offset: VS Pulse WIdth(Fourth Detailed Timing Descriptor)</t>
  </si>
  <si>
    <t>HS Offset: HS Pulse Width: VS Offset: VS Pulse WIdth(Fourth Detailed Timing Descriptor)</t>
  </si>
  <si>
    <t>H Image Size (Fourth Detailed Timing Descriptor)</t>
  </si>
  <si>
    <t>V Image Size (Fourth Detailed Timing Descriptor)</t>
  </si>
  <si>
    <t>H&amp;V Image Size (Fourth Detailed Timing Descriptor)</t>
  </si>
  <si>
    <t>H Border (Fourth Detailed Timing Descriptor)</t>
  </si>
  <si>
    <t>V Border (Fourth Detailed Timing Descriptor)</t>
  </si>
  <si>
    <t>Flags (Fourth Detailed Timing Descriptor)</t>
  </si>
  <si>
    <t>Flag(REQUIRED) (First Monitor Descriptor (Monitor Name))</t>
    <phoneticPr fontId="7"/>
  </si>
  <si>
    <t>Flag(Reserved) (First Monitor Descriptor (Monitor Name))</t>
    <phoneticPr fontId="7"/>
  </si>
  <si>
    <t>Data Type Tag (First Monitor Descriptor (Monitor Name))</t>
    <phoneticPr fontId="7"/>
  </si>
  <si>
    <t>Flag (First Monitor Descriptor (Monitor Name))</t>
    <phoneticPr fontId="7"/>
  </si>
  <si>
    <t>ASCII coded monbitor name (13byte max)  (First Monitor Descriptor (Monitor Name))</t>
    <phoneticPr fontId="7"/>
  </si>
  <si>
    <t>Flag (Second Monitor Descriptor(Monitor Range Limit))</t>
    <phoneticPr fontId="7"/>
  </si>
  <si>
    <t>Flag (Reserved) (Second Monitor Descriptor(Monitor Range Limit))</t>
    <phoneticPr fontId="7"/>
  </si>
  <si>
    <t>Data Type Tag (Second Monitor Descriptor(Monitor Range Limit))</t>
    <phoneticPr fontId="7"/>
  </si>
  <si>
    <t>Min Vertical Rate in Hz (Second Monitor Descriptor(Monitor Range Limit))</t>
    <phoneticPr fontId="7"/>
  </si>
  <si>
    <t>Max Vertical Rate in Hz (Second Monitor Descriptor(Monitor Range Limit))</t>
    <phoneticPr fontId="7"/>
  </si>
  <si>
    <t>Min Hrizontal Rate in kHz (Second Monitor Descriptor(Monitor Range Limit))</t>
    <phoneticPr fontId="7"/>
  </si>
  <si>
    <t>Max Horizontal Rate in kHz (Second Monitor Descriptor(Monitor Range Limit))</t>
    <phoneticPr fontId="7"/>
  </si>
  <si>
    <t>Max Supported pixel clock rate in MHz/10 (Second Monitor Descriptor(Monitor Range Limit))</t>
    <phoneticPr fontId="7"/>
  </si>
  <si>
    <t>Tag for secondary timing formula (0x00=not used) (Second Monitor Descriptor(Monitor Range Limit))</t>
    <phoneticPr fontId="7"/>
  </si>
  <si>
    <t>20</t>
    <phoneticPr fontId="7"/>
  </si>
  <si>
    <t>Flag (Descreptor Defined by Manufactureer)</t>
    <phoneticPr fontId="7"/>
  </si>
  <si>
    <t>Reserved (Descreptor Defined by Manufactureer)</t>
    <phoneticPr fontId="7"/>
  </si>
  <si>
    <t>Data Type 0x01-0x0F (Descreptor Defined by Manufactureer)</t>
    <phoneticPr fontId="7"/>
  </si>
  <si>
    <t>Flag (Mobitor serial Number Block)</t>
    <phoneticPr fontId="7"/>
  </si>
  <si>
    <t>Flag(Reserved) (Mobitor serial Number Block)</t>
    <phoneticPr fontId="7"/>
  </si>
  <si>
    <t>Serial Number Tag (Mobitor serial Number Block)</t>
    <phoneticPr fontId="7"/>
  </si>
  <si>
    <t>ASCII code (13byte max)  (Descriptor Defined by Manufactureer)</t>
    <phoneticPr fontId="7"/>
  </si>
  <si>
    <t>ASCII Serial Number (13byte max)  (Monitor Serial Number Block)</t>
    <phoneticPr fontId="7"/>
  </si>
  <si>
    <t>Manufacturer Name</t>
    <phoneticPr fontId="7"/>
  </si>
  <si>
    <t>Product Code</t>
    <phoneticPr fontId="7"/>
  </si>
  <si>
    <t>Serial Number</t>
    <phoneticPr fontId="7"/>
  </si>
  <si>
    <t>Padding byte (Residual Byte Stuffing)</t>
    <phoneticPr fontId="7"/>
  </si>
  <si>
    <t>Checksum (0x00-0x7E)</t>
    <phoneticPr fontId="7"/>
  </si>
  <si>
    <t>Checksum (0x80-0xFE)</t>
    <phoneticPr fontId="7"/>
  </si>
  <si>
    <t>1st Descriptor</t>
    <phoneticPr fontId="16"/>
  </si>
  <si>
    <t>2nd Descriptor</t>
    <phoneticPr fontId="16"/>
  </si>
  <si>
    <t>Extended Inf</t>
    <phoneticPr fontId="16"/>
  </si>
  <si>
    <t>3rd Descriptor</t>
    <phoneticPr fontId="16"/>
  </si>
  <si>
    <t>4th Descriptor</t>
    <phoneticPr fontId="16"/>
  </si>
  <si>
    <t>EDID Related</t>
    <phoneticPr fontId="16"/>
  </si>
  <si>
    <t>52</t>
    <phoneticPr fontId="7"/>
  </si>
  <si>
    <t>62</t>
    <phoneticPr fontId="7"/>
  </si>
  <si>
    <t>Product code0(0-255)-&gt;</t>
    <phoneticPr fontId="7"/>
  </si>
  <si>
    <t>Product code1(0-255)-&gt;</t>
    <phoneticPr fontId="7"/>
  </si>
  <si>
    <t>Serial number0(0-255)-&gt;</t>
    <phoneticPr fontId="7"/>
  </si>
  <si>
    <t>Serial number1(0-255)-&gt;</t>
    <phoneticPr fontId="7"/>
  </si>
  <si>
    <t>Serial number2(0-255)-&gt;</t>
    <phoneticPr fontId="7"/>
  </si>
  <si>
    <t>Serial number3(0-255)-&gt;</t>
    <phoneticPr fontId="7"/>
  </si>
  <si>
    <t>Monitor Name(1Byte Char)-&gt;</t>
    <phoneticPr fontId="7"/>
  </si>
  <si>
    <t>Week of Manufacture(0-53)-&gt;</t>
    <phoneticPr fontId="7"/>
  </si>
  <si>
    <t>Year of Manufacture(ex.2012)-&gt;</t>
    <phoneticPr fontId="7"/>
  </si>
  <si>
    <t>03</t>
    <phoneticPr fontId="7"/>
  </si>
  <si>
    <t>80</t>
    <phoneticPr fontId="7"/>
  </si>
  <si>
    <t>78</t>
    <phoneticPr fontId="7"/>
  </si>
  <si>
    <t>17</t>
    <phoneticPr fontId="7"/>
  </si>
  <si>
    <t>1280x720p60</t>
    <phoneticPr fontId="7"/>
  </si>
  <si>
    <t>720x480p60</t>
    <phoneticPr fontId="7"/>
  </si>
  <si>
    <t>640x480p60</t>
    <phoneticPr fontId="7"/>
  </si>
  <si>
    <t>1920x1080p60</t>
    <phoneticPr fontId="7"/>
  </si>
  <si>
    <t>HBP (PCLK)-&gt;</t>
    <phoneticPr fontId="7"/>
  </si>
  <si>
    <t>VBP (lines)-&gt;</t>
    <phoneticPr fontId="7"/>
  </si>
  <si>
    <t>Horizontal Image Size (mm)-&gt;</t>
    <phoneticPr fontId="7"/>
  </si>
  <si>
    <t>Vertical Image Size (mm)-&gt;</t>
    <phoneticPr fontId="7"/>
  </si>
  <si>
    <t>V Active(lines) (max:4095)-&gt;</t>
    <phoneticPr fontId="7"/>
  </si>
  <si>
    <t>H Active(PCLK) (max:4095)-&gt;</t>
    <phoneticPr fontId="7"/>
  </si>
  <si>
    <t>PCLK(***.**MHz) (max:655)-&gt;</t>
    <phoneticPr fontId="7"/>
  </si>
  <si>
    <t>Judge</t>
    <phoneticPr fontId="7"/>
  </si>
  <si>
    <t>Selected</t>
    <phoneticPr fontId="7"/>
  </si>
  <si>
    <t>FC</t>
    <phoneticPr fontId="7"/>
  </si>
  <si>
    <t>Product Information</t>
    <phoneticPr fontId="7"/>
  </si>
  <si>
    <t>FD</t>
    <phoneticPr fontId="7"/>
  </si>
  <si>
    <t>3D</t>
    <phoneticPr fontId="7"/>
  </si>
  <si>
    <t>0F</t>
    <phoneticPr fontId="7"/>
  </si>
  <si>
    <t>8C</t>
    <phoneticPr fontId="7"/>
  </si>
  <si>
    <t>02</t>
    <phoneticPr fontId="7"/>
  </si>
  <si>
    <t>74</t>
    <phoneticPr fontId="7"/>
  </si>
  <si>
    <t>Key loading command</t>
    <phoneticPr fontId="7"/>
  </si>
  <si>
    <t>KSV Auto Clear Mode</t>
  </si>
  <si>
    <t>EESS_Err auto-unAuth</t>
    <phoneticPr fontId="7"/>
  </si>
  <si>
    <t>DI_Err (Data Island Error) auto-unAuth</t>
    <phoneticPr fontId="7"/>
  </si>
  <si>
    <t>Release Reset, Exit Sleep</t>
    <phoneticPr fontId="7"/>
  </si>
  <si>
    <t>Assert Reset, Exit Sleep, wait</t>
    <phoneticPr fontId="7"/>
  </si>
  <si>
    <t>IntStatus</t>
    <phoneticPr fontId="7"/>
  </si>
  <si>
    <t>IntMask</t>
    <phoneticPr fontId="7"/>
  </si>
  <si>
    <t>0014</t>
    <phoneticPr fontId="7"/>
  </si>
  <si>
    <t>0016</t>
    <phoneticPr fontId="7"/>
  </si>
  <si>
    <t>EDID setting is folded in line 67~line 324</t>
    <phoneticPr fontId="7"/>
  </si>
  <si>
    <t>Put 0x0A after last data byte in block and fill remaing byte with 0x20</t>
    <phoneticPr fontId="7"/>
  </si>
  <si>
    <t>Monitor Name (ASCII) ("LF"=Line Feed)</t>
    <phoneticPr fontId="7"/>
  </si>
  <si>
    <t>Main_Parameters</t>
    <phoneticPr fontId="7"/>
  </si>
  <si>
    <t>Title</t>
    <phoneticPr fontId="16"/>
  </si>
  <si>
    <t>TOSHIBA Confidential</t>
    <phoneticPr fontId="7"/>
  </si>
  <si>
    <t>2-1</t>
    <phoneticPr fontId="7"/>
  </si>
  <si>
    <t xml:space="preserve">Fill parameters to yellow colored cells
</t>
    <phoneticPr fontId="7"/>
  </si>
  <si>
    <t>Fill Audio Related parameters according to required configuration. (Columns M,N,O, Row 2~6).</t>
  </si>
  <si>
    <t>Yes</t>
  </si>
  <si>
    <t>TOSHIBA Confidential</t>
    <phoneticPr fontId="22"/>
  </si>
  <si>
    <t>HPW(PCLK) (max:1023)-&gt;</t>
    <phoneticPr fontId="7"/>
  </si>
  <si>
    <t>HFP(PCLK) (max:1023)-&gt;</t>
    <phoneticPr fontId="7"/>
  </si>
  <si>
    <t>VPW(lines) (max:63)-&gt;</t>
    <phoneticPr fontId="7"/>
  </si>
  <si>
    <t>VFP(lines) (max:63)-&gt;</t>
    <phoneticPr fontId="7"/>
  </si>
  <si>
    <t>Horizontal Image Size (mm)-&gt;</t>
    <phoneticPr fontId="7"/>
  </si>
  <si>
    <t>000A</t>
    <phoneticPr fontId="7"/>
  </si>
  <si>
    <t>Original Timing Input -&gt;</t>
    <phoneticPr fontId="16"/>
  </si>
  <si>
    <t>Timing Select</t>
    <phoneticPr fontId="16"/>
  </si>
  <si>
    <t>&lt;HDMI Input&gt;</t>
    <phoneticPr fontId="7"/>
  </si>
  <si>
    <t>Fill HDMI related paramters at "HDMI Input" part.</t>
    <phoneticPr fontId="7"/>
  </si>
  <si>
    <t>2-1-1</t>
    <phoneticPr fontId="7"/>
  </si>
  <si>
    <t>500M-1G</t>
  </si>
  <si>
    <t>8671</t>
    <phoneticPr fontId="7"/>
  </si>
  <si>
    <t>8675</t>
    <phoneticPr fontId="7"/>
  </si>
  <si>
    <t>WR16</t>
    <phoneticPr fontId="7"/>
  </si>
  <si>
    <t>DSI_HBPR</t>
    <phoneticPr fontId="7"/>
  </si>
  <si>
    <t>HFP  left</t>
    <phoneticPr fontId="16"/>
  </si>
  <si>
    <t>SyncEvent</t>
  </si>
  <si>
    <t>PCLK</t>
    <phoneticPr fontId="16"/>
  </si>
  <si>
    <t>(MHz)</t>
    <phoneticPr fontId="16"/>
  </si>
  <si>
    <t>(PCLK)</t>
    <phoneticPr fontId="16"/>
  </si>
  <si>
    <t>HBPR</t>
    <phoneticPr fontId="16"/>
  </si>
  <si>
    <t>Hactive</t>
    <phoneticPr fontId="16"/>
  </si>
  <si>
    <t>HFPR</t>
    <phoneticPr fontId="16"/>
  </si>
  <si>
    <t>VSW</t>
    <phoneticPr fontId="16"/>
  </si>
  <si>
    <t>(line)</t>
    <phoneticPr fontId="16"/>
  </si>
  <si>
    <t>VBPR</t>
    <phoneticPr fontId="16"/>
  </si>
  <si>
    <t>Vactive</t>
    <phoneticPr fontId="16"/>
  </si>
  <si>
    <t>VFPR</t>
    <phoneticPr fontId="16"/>
  </si>
  <si>
    <t>us</t>
    <phoneticPr fontId="16"/>
  </si>
  <si>
    <t>ns</t>
    <phoneticPr fontId="16"/>
  </si>
  <si>
    <t>ns</t>
    <phoneticPr fontId="16"/>
  </si>
  <si>
    <t>DSI Output Detail Timing</t>
    <phoneticPr fontId="16"/>
  </si>
  <si>
    <t>HPW+HBP</t>
    <phoneticPr fontId="16"/>
  </si>
  <si>
    <t>Min</t>
    <phoneticPr fontId="16"/>
  </si>
  <si>
    <t>Suitable DSI speed(Mbps/lane)</t>
    <phoneticPr fontId="7"/>
  </si>
  <si>
    <t>0-2047</t>
    <phoneticPr fontId="7"/>
  </si>
  <si>
    <t>LPTX of SLAVE</t>
    <phoneticPr fontId="16"/>
  </si>
  <si>
    <t>ns</t>
    <phoneticPr fontId="16"/>
  </si>
  <si>
    <t>1-1023</t>
    <phoneticPr fontId="16"/>
  </si>
  <si>
    <t>&lt;= DSI:HS-&gt;LP-&gt;HS time (ns)</t>
  </si>
  <si>
    <t>DSI speed/lane</t>
  </si>
  <si>
    <t>DSI lane</t>
  </si>
  <si>
    <t>DSI clock enable during LP</t>
  </si>
  <si>
    <t>DSI speed range(Mbps)</t>
  </si>
  <si>
    <t>RGB888</t>
  </si>
  <si>
    <t>RX-TA-SURE(ns)</t>
    <phoneticPr fontId="7"/>
  </si>
  <si>
    <t>TX-TA-GO(ns)</t>
    <phoneticPr fontId="7"/>
  </si>
  <si>
    <t>No</t>
  </si>
  <si>
    <t>0004</t>
    <phoneticPr fontId="7"/>
  </si>
  <si>
    <t>T</t>
    <phoneticPr fontId="7"/>
  </si>
  <si>
    <t>o</t>
    <phoneticPr fontId="7"/>
  </si>
  <si>
    <t>s</t>
    <phoneticPr fontId="7"/>
  </si>
  <si>
    <t>h</t>
    <phoneticPr fontId="7"/>
  </si>
  <si>
    <t>i</t>
    <phoneticPr fontId="7"/>
  </si>
  <si>
    <t>b</t>
    <phoneticPr fontId="7"/>
  </si>
  <si>
    <t>a</t>
    <phoneticPr fontId="7"/>
  </si>
  <si>
    <t>H</t>
    <phoneticPr fontId="7"/>
  </si>
  <si>
    <t>47</t>
    <phoneticPr fontId="22"/>
  </si>
  <si>
    <t>Native</t>
    <phoneticPr fontId="22"/>
  </si>
  <si>
    <t>ID Code</t>
    <phoneticPr fontId="7"/>
  </si>
  <si>
    <t>2nd Video Descriptor</t>
    <phoneticPr fontId="7"/>
  </si>
  <si>
    <t>1st Video Descriptor</t>
    <phoneticPr fontId="7"/>
  </si>
  <si>
    <t>3rd Video Descriptor</t>
    <phoneticPr fontId="7"/>
  </si>
  <si>
    <t>4th Video Descriptor</t>
    <phoneticPr fontId="7"/>
  </si>
  <si>
    <t>5th Video Descriptor</t>
    <phoneticPr fontId="7"/>
  </si>
  <si>
    <t>6th Video Descriptor</t>
    <phoneticPr fontId="7"/>
  </si>
  <si>
    <t>7th Video Descriptor</t>
    <phoneticPr fontId="7"/>
  </si>
  <si>
    <t>5th Descriptor</t>
    <phoneticPr fontId="16"/>
  </si>
  <si>
    <t>6th Descriptor</t>
    <phoneticPr fontId="16"/>
  </si>
  <si>
    <t>7th Descriptor</t>
    <phoneticPr fontId="16"/>
  </si>
  <si>
    <t>Video Data Block (SVDs)</t>
    <phoneticPr fontId="22"/>
  </si>
  <si>
    <t>23</t>
    <phoneticPr fontId="22"/>
  </si>
  <si>
    <t>09</t>
    <phoneticPr fontId="22"/>
  </si>
  <si>
    <t>07</t>
    <phoneticPr fontId="22"/>
  </si>
  <si>
    <t>01</t>
    <phoneticPr fontId="22"/>
  </si>
  <si>
    <t>66</t>
    <phoneticPr fontId="22"/>
  </si>
  <si>
    <t>03</t>
    <phoneticPr fontId="22"/>
  </si>
  <si>
    <t>0C</t>
    <phoneticPr fontId="22"/>
  </si>
  <si>
    <t>30</t>
    <phoneticPr fontId="22"/>
  </si>
  <si>
    <t>00</t>
    <phoneticPr fontId="22"/>
  </si>
  <si>
    <t>80</t>
    <phoneticPr fontId="22"/>
  </si>
  <si>
    <t>8C</t>
    <phoneticPr fontId="22"/>
  </si>
  <si>
    <t>0A</t>
    <phoneticPr fontId="22"/>
  </si>
  <si>
    <t>D0</t>
    <phoneticPr fontId="22"/>
  </si>
  <si>
    <t>Pixel Clock</t>
    <phoneticPr fontId="7"/>
  </si>
  <si>
    <t>HPW</t>
    <phoneticPr fontId="7"/>
  </si>
  <si>
    <t>HBP</t>
    <phoneticPr fontId="7"/>
  </si>
  <si>
    <t>Hactive</t>
    <phoneticPr fontId="7"/>
  </si>
  <si>
    <t>HFP</t>
    <phoneticPr fontId="7"/>
  </si>
  <si>
    <t>VPW</t>
    <phoneticPr fontId="7"/>
  </si>
  <si>
    <t>VBP</t>
    <phoneticPr fontId="7"/>
  </si>
  <si>
    <t>Vactive</t>
    <phoneticPr fontId="7"/>
  </si>
  <si>
    <t>VFP</t>
    <phoneticPr fontId="7"/>
  </si>
  <si>
    <t>0005</t>
    <phoneticPr fontId="7"/>
  </si>
  <si>
    <t>0003</t>
    <phoneticPr fontId="7"/>
  </si>
  <si>
    <t>00FF</t>
    <phoneticPr fontId="7"/>
  </si>
  <si>
    <t>delay</t>
    <phoneticPr fontId="7"/>
  </si>
  <si>
    <t>0011</t>
    <phoneticPr fontId="7"/>
  </si>
  <si>
    <t>Interlace/Progressive-&gt;</t>
    <phoneticPr fontId="7"/>
  </si>
  <si>
    <t>VSYNC Polarity-&gt;</t>
    <phoneticPr fontId="7"/>
  </si>
  <si>
    <t>HSYNC Polarity-&gt;</t>
    <phoneticPr fontId="7"/>
  </si>
  <si>
    <t>L Active</t>
  </si>
  <si>
    <t>Fill "DSI Output Detail Timing" part</t>
    <phoneticPr fontId="7"/>
  </si>
  <si>
    <t>Command Description   WR8:8bit Write,  WR16:16bit Write,  WR32:32bit Write, RD8:8bit Read,  RD16:16bit Read,  RD32:32bit Read</t>
    <phoneticPr fontId="7"/>
  </si>
  <si>
    <t>Let HDMI Source start access</t>
    <phoneticPr fontId="7"/>
  </si>
  <si>
    <t>Source_Startup</t>
    <phoneticPr fontId="7"/>
  </si>
  <si>
    <t>DSI-TX0 Output</t>
    <phoneticPr fontId="16"/>
  </si>
  <si>
    <t>1st Pixel to</t>
    <phoneticPr fontId="16"/>
  </si>
  <si>
    <t>Half(Auto)</t>
  </si>
  <si>
    <t>DSI Output
Format</t>
    <phoneticPr fontId="16"/>
  </si>
  <si>
    <t>Same as TX0</t>
  </si>
  <si>
    <t>TX0 Dmy Pix
(End)</t>
    <phoneticPr fontId="16"/>
  </si>
  <si>
    <t>TX0 Dmy Pix
(Start)</t>
    <phoneticPr fontId="16"/>
  </si>
  <si>
    <t>TX1 Dmy Pix
(Start)</t>
    <phoneticPr fontId="16"/>
  </si>
  <si>
    <t>TX1 Dmy Pix
(End)</t>
    <phoneticPr fontId="16"/>
  </si>
  <si>
    <t>TX0 Output
Start Pixel</t>
    <phoneticPr fontId="16"/>
  </si>
  <si>
    <t>TX0 Output
End Pixel</t>
    <phoneticPr fontId="16"/>
  </si>
  <si>
    <t>TX1 Output
Start Pixel</t>
    <phoneticPr fontId="16"/>
  </si>
  <si>
    <t>TX1 Output
End Pixel</t>
    <phoneticPr fontId="16"/>
  </si>
  <si>
    <t>DSI
Sync Mode</t>
    <phoneticPr fontId="16"/>
  </si>
  <si>
    <t>TX0 Trf Pix</t>
    <phoneticPr fontId="16"/>
  </si>
  <si>
    <t>TX1 Trf Pix</t>
    <phoneticPr fontId="16"/>
  </si>
  <si>
    <t>V Active</t>
    <phoneticPr fontId="16"/>
  </si>
  <si>
    <t>02AC</t>
    <phoneticPr fontId="7"/>
  </si>
  <si>
    <t>018C</t>
    <phoneticPr fontId="7"/>
  </si>
  <si>
    <t>0190</t>
    <phoneticPr fontId="7"/>
  </si>
  <si>
    <t>0454</t>
    <phoneticPr fontId="7"/>
  </si>
  <si>
    <t>0458</t>
    <phoneticPr fontId="7"/>
  </si>
  <si>
    <t>045C</t>
    <phoneticPr fontId="7"/>
  </si>
  <si>
    <t>0460</t>
    <phoneticPr fontId="7"/>
  </si>
  <si>
    <t>0464</t>
    <phoneticPr fontId="7"/>
  </si>
  <si>
    <t>0468</t>
    <phoneticPr fontId="7"/>
  </si>
  <si>
    <t>046C</t>
    <phoneticPr fontId="7"/>
  </si>
  <si>
    <t>0320</t>
    <phoneticPr fontId="7"/>
  </si>
  <si>
    <t>5008</t>
    <phoneticPr fontId="7"/>
  </si>
  <si>
    <t>5088</t>
    <phoneticPr fontId="7"/>
  </si>
  <si>
    <t>500C</t>
    <phoneticPr fontId="7"/>
  </si>
  <si>
    <t>508C</t>
    <phoneticPr fontId="7"/>
  </si>
  <si>
    <t>0120</t>
    <phoneticPr fontId="7"/>
  </si>
  <si>
    <t>0254</t>
    <phoneticPr fontId="7"/>
  </si>
  <si>
    <t>0258</t>
    <phoneticPr fontId="7"/>
  </si>
  <si>
    <t>025C</t>
    <phoneticPr fontId="7"/>
  </si>
  <si>
    <t>0260</t>
    <phoneticPr fontId="7"/>
  </si>
  <si>
    <t>0264</t>
    <phoneticPr fontId="7"/>
  </si>
  <si>
    <t>0268</t>
    <phoneticPr fontId="7"/>
  </si>
  <si>
    <t>026C</t>
    <phoneticPr fontId="7"/>
  </si>
  <si>
    <t>0318</t>
    <phoneticPr fontId="7"/>
  </si>
  <si>
    <t>0118</t>
    <phoneticPr fontId="7"/>
  </si>
  <si>
    <t>0278</t>
    <phoneticPr fontId="7"/>
  </si>
  <si>
    <t>038C</t>
    <phoneticPr fontId="7"/>
  </si>
  <si>
    <t>0390</t>
    <phoneticPr fontId="7"/>
  </si>
  <si>
    <t>0478</t>
    <phoneticPr fontId="7"/>
  </si>
  <si>
    <t>02AC</t>
    <phoneticPr fontId="7"/>
  </si>
  <si>
    <t>MIPI_PLL_CNF</t>
    <phoneticPr fontId="7"/>
  </si>
  <si>
    <t>DSI_TX_CLKEN</t>
    <phoneticPr fontId="7"/>
  </si>
  <si>
    <t>0108</t>
    <phoneticPr fontId="7"/>
  </si>
  <si>
    <t>DSI_TX_CLKSEL</t>
    <phoneticPr fontId="7"/>
  </si>
  <si>
    <t>010C</t>
    <phoneticPr fontId="7"/>
  </si>
  <si>
    <t>MODE_CONFIG</t>
    <phoneticPr fontId="7"/>
  </si>
  <si>
    <t>0110</t>
    <phoneticPr fontId="7"/>
  </si>
  <si>
    <t>LANE_ENABLE</t>
    <phoneticPr fontId="7"/>
  </si>
  <si>
    <t>0118</t>
    <phoneticPr fontId="7"/>
  </si>
  <si>
    <t>LINE_INIT_COUNT</t>
    <phoneticPr fontId="7"/>
  </si>
  <si>
    <t>HSTX_TO_COUNT</t>
    <phoneticPr fontId="7"/>
  </si>
  <si>
    <t>0124</t>
    <phoneticPr fontId="7"/>
  </si>
  <si>
    <t>FUNC_ENABLE</t>
    <phoneticPr fontId="7"/>
  </si>
  <si>
    <t>0128</t>
    <phoneticPr fontId="7"/>
  </si>
  <si>
    <t>DSI_TATO_COUNT</t>
    <phoneticPr fontId="7"/>
  </si>
  <si>
    <t>0130</t>
    <phoneticPr fontId="7"/>
  </si>
  <si>
    <t>DSI_PRESP_BTA_COUNT</t>
    <phoneticPr fontId="7"/>
  </si>
  <si>
    <t>0134</t>
    <phoneticPr fontId="7"/>
  </si>
  <si>
    <t>DSI_PRESP_LPR_COUNT</t>
    <phoneticPr fontId="7"/>
  </si>
  <si>
    <t>0138</t>
    <phoneticPr fontId="7"/>
  </si>
  <si>
    <t>DSI_PRESP_LPW_COUNT</t>
    <phoneticPr fontId="7"/>
  </si>
  <si>
    <t>013C</t>
    <phoneticPr fontId="7"/>
  </si>
  <si>
    <t>DSI_PRESP_HSR_COUNT</t>
    <phoneticPr fontId="7"/>
  </si>
  <si>
    <t>0140</t>
    <phoneticPr fontId="7"/>
  </si>
  <si>
    <t>DSI_PRESP_HSW_COUNT</t>
    <phoneticPr fontId="7"/>
  </si>
  <si>
    <t>DSI_PR_TO_COUNT</t>
    <phoneticPr fontId="7"/>
  </si>
  <si>
    <t>DSI_LRX-H_TO_COUNT</t>
    <phoneticPr fontId="7"/>
  </si>
  <si>
    <t>FUNC_MODE</t>
    <phoneticPr fontId="7"/>
  </si>
  <si>
    <t>DSI_RX_VC_ENABLE</t>
    <phoneticPr fontId="7"/>
  </si>
  <si>
    <t>0154</t>
    <phoneticPr fontId="7"/>
  </si>
  <si>
    <t>IND_TO_COUNT</t>
    <phoneticPr fontId="7"/>
  </si>
  <si>
    <t>0158</t>
    <phoneticPr fontId="7"/>
  </si>
  <si>
    <t>DSI_HSYNC_STOP_COUNT</t>
    <phoneticPr fontId="7"/>
  </si>
  <si>
    <t>0168</t>
    <phoneticPr fontId="7"/>
  </si>
  <si>
    <t>APF_VDELAYCNT</t>
    <phoneticPr fontId="7"/>
  </si>
  <si>
    <t>0170</t>
    <phoneticPr fontId="7"/>
  </si>
  <si>
    <t>APF_VC_CONFIG</t>
    <phoneticPr fontId="7"/>
  </si>
  <si>
    <t>0178</t>
    <phoneticPr fontId="7"/>
  </si>
  <si>
    <t>DSI_TX_MODE</t>
    <phoneticPr fontId="7"/>
  </si>
  <si>
    <t>017C</t>
    <phoneticPr fontId="7"/>
  </si>
  <si>
    <t>DSI_HSYNC_WIDTH</t>
    <phoneticPr fontId="7"/>
  </si>
  <si>
    <t>018C</t>
    <phoneticPr fontId="7"/>
  </si>
  <si>
    <t>DSI_HBPR</t>
    <phoneticPr fontId="7"/>
  </si>
  <si>
    <t>0190</t>
    <phoneticPr fontId="7"/>
  </si>
  <si>
    <t>DSI_RX_STATE_INT_MASK</t>
    <phoneticPr fontId="7"/>
  </si>
  <si>
    <t>01A4</t>
    <phoneticPr fontId="7"/>
  </si>
  <si>
    <t>DSI_RXTRG_INT_MASK</t>
    <phoneticPr fontId="7"/>
  </si>
  <si>
    <t>01AC</t>
    <phoneticPr fontId="7"/>
  </si>
  <si>
    <t>DSI_LPRX_THRESH_COUNT</t>
    <phoneticPr fontId="7"/>
  </si>
  <si>
    <t>01C0</t>
    <phoneticPr fontId="7"/>
  </si>
  <si>
    <t>APP_SIDE_ERR_INT_MASK</t>
    <phoneticPr fontId="7"/>
  </si>
  <si>
    <t>DSI_RX_ERR_INT_MASK</t>
    <phoneticPr fontId="7"/>
  </si>
  <si>
    <t>DSI_LPTX_INT_MASK</t>
    <phoneticPr fontId="7"/>
  </si>
  <si>
    <t>025C</t>
    <phoneticPr fontId="7"/>
  </si>
  <si>
    <t>026C</t>
    <phoneticPr fontId="7"/>
  </si>
  <si>
    <t>0270</t>
    <phoneticPr fontId="7"/>
  </si>
  <si>
    <t>0274</t>
    <phoneticPr fontId="7"/>
  </si>
  <si>
    <t>TWAKEUPCNT</t>
    <phoneticPr fontId="7"/>
  </si>
  <si>
    <t>BTA_COUNT</t>
    <phoneticPr fontId="7"/>
  </si>
  <si>
    <t>00000001</t>
    <phoneticPr fontId="7"/>
  </si>
  <si>
    <t>HSCK/8</t>
  </si>
  <si>
    <t>HSTXclk_enb[0]</t>
    <phoneticPr fontId="7"/>
  </si>
  <si>
    <t>SYSCLclk[9:8]</t>
    <phoneticPr fontId="7"/>
  </si>
  <si>
    <t>SYSDTclk[11:10]</t>
    <phoneticPr fontId="7"/>
  </si>
  <si>
    <t>VSYNC Pol</t>
    <phoneticPr fontId="16"/>
  </si>
  <si>
    <t>HSYNC Pol</t>
    <phoneticPr fontId="16"/>
  </si>
  <si>
    <t>0110</t>
    <phoneticPr fontId="7"/>
  </si>
  <si>
    <t>0310</t>
    <phoneticPr fontId="7"/>
  </si>
  <si>
    <t>HSTX TO Count (Hex 0x0~0xFFFFFFFF)</t>
    <phoneticPr fontId="7"/>
  </si>
  <si>
    <t>VHDELAY Reg</t>
  </si>
  <si>
    <t>PR_TO Dis</t>
  </si>
  <si>
    <t>HSTX_TO Dis</t>
  </si>
  <si>
    <t>IND_TO Dis</t>
  </si>
  <si>
    <t>TA TO Count (Hex 0x0~0xFFFFFFFF)</t>
    <phoneticPr fontId="7"/>
  </si>
  <si>
    <t>10000</t>
    <phoneticPr fontId="7"/>
  </si>
  <si>
    <t>5000</t>
    <phoneticPr fontId="7"/>
  </si>
  <si>
    <t>DSI_PRESP_LPR Count (Hex 0x0~0xFFFFFFFF)</t>
    <phoneticPr fontId="7"/>
  </si>
  <si>
    <t>DSI_PRESP_LPW Count (Hex 0x0~0xFFFFFFFF)</t>
    <phoneticPr fontId="7"/>
  </si>
  <si>
    <t>DSI_PRESP_HSR Count (Hex 0x0~0xFFFFFFFF)</t>
    <phoneticPr fontId="7"/>
  </si>
  <si>
    <t>DSI_PRESP_HSW Count (Hex 0x0~0xFFFFFFFF)</t>
    <phoneticPr fontId="7"/>
  </si>
  <si>
    <t>DSI_PR_TO Count (Hex 0x0~0xFFFFFFFF)</t>
    <phoneticPr fontId="7"/>
  </si>
  <si>
    <r>
      <t>DSI_LRX-H</t>
    </r>
    <r>
      <rPr>
        <sz val="11"/>
        <color indexed="9"/>
        <rFont val="ＭＳ Ｐゴシック"/>
        <family val="3"/>
        <charset val="128"/>
      </rPr>
      <t>　</t>
    </r>
    <r>
      <rPr>
        <sz val="11"/>
        <color indexed="9"/>
        <rFont val="Arial"/>
        <family val="2"/>
      </rPr>
      <t>TO Count (Hex 0x0~0xFFFFFFFF)</t>
    </r>
    <phoneticPr fontId="7"/>
  </si>
  <si>
    <t>10000</t>
    <phoneticPr fontId="7"/>
  </si>
  <si>
    <t>1000</t>
    <phoneticPr fontId="7"/>
  </si>
  <si>
    <t>Add EoT[0]</t>
    <phoneticPr fontId="7"/>
  </si>
  <si>
    <t>HS clk Md[5]</t>
    <phoneticPr fontId="7"/>
  </si>
  <si>
    <t>CRC Err Chk[6]</t>
    <phoneticPr fontId="7"/>
  </si>
  <si>
    <t>ECC Err Chk[8]</t>
    <phoneticPr fontId="7"/>
  </si>
  <si>
    <t>Contension Chk[9]</t>
    <phoneticPr fontId="7"/>
  </si>
  <si>
    <t>Clk Force Stop[10]</t>
    <phoneticPr fontId="7"/>
  </si>
  <si>
    <t>Keep Operation</t>
  </si>
  <si>
    <t>Receive VC0[0]</t>
    <phoneticPr fontId="7"/>
  </si>
  <si>
    <t>Receive VC0[1]</t>
    <phoneticPr fontId="7"/>
  </si>
  <si>
    <t>Receive VC0[2]</t>
    <phoneticPr fontId="7"/>
  </si>
  <si>
    <t>Receive VC3[3]</t>
    <phoneticPr fontId="7"/>
  </si>
  <si>
    <r>
      <t>IND</t>
    </r>
    <r>
      <rPr>
        <sz val="11"/>
        <color indexed="9"/>
        <rFont val="ＭＳ Ｐゴシック"/>
        <family val="3"/>
        <charset val="128"/>
      </rPr>
      <t>　</t>
    </r>
    <r>
      <rPr>
        <sz val="11"/>
        <color indexed="9"/>
        <rFont val="Arial"/>
        <family val="2"/>
      </rPr>
      <t>TO Count (Hex 0x0~0xFFFFFFFF)</t>
    </r>
    <phoneticPr fontId="7"/>
  </si>
  <si>
    <t>C8</t>
    <phoneticPr fontId="7"/>
  </si>
  <si>
    <t>DSI_HSYNC STOP Count (Hex 0x0~0xFFFF)</t>
    <phoneticPr fontId="7"/>
  </si>
  <si>
    <t>By Reg</t>
  </si>
  <si>
    <t>VC Select[0]</t>
    <phoneticPr fontId="7"/>
  </si>
  <si>
    <t>VC Setting[2:1]</t>
    <phoneticPr fontId="7"/>
  </si>
  <si>
    <t>Direction Rise[0]</t>
    <phoneticPr fontId="7"/>
  </si>
  <si>
    <t>Direction Fall[1]</t>
    <phoneticPr fontId="7"/>
  </si>
  <si>
    <t>LPRX Th Hit[2]</t>
    <phoneticPr fontId="7"/>
  </si>
  <si>
    <t>LPRX Pkt Done[3]</t>
    <phoneticPr fontId="7"/>
  </si>
  <si>
    <t>LPRX Pkt Start[4]</t>
    <phoneticPr fontId="7"/>
  </si>
  <si>
    <t>No Mask</t>
  </si>
  <si>
    <t>L0RX Trg0[0]</t>
    <phoneticPr fontId="7"/>
  </si>
  <si>
    <t>L0RX Trg1[1]</t>
    <phoneticPr fontId="7"/>
  </si>
  <si>
    <t>L0RX Trg2[2]</t>
    <phoneticPr fontId="7"/>
  </si>
  <si>
    <t>L0RX Trg3[3]</t>
    <phoneticPr fontId="7"/>
  </si>
  <si>
    <t>DSI_LPRX Threshold Count (Hex 0x0~0x1F)</t>
    <phoneticPr fontId="7"/>
  </si>
  <si>
    <t>Err Data Type[0]</t>
    <phoneticPr fontId="7"/>
  </si>
  <si>
    <t>Err WC[1]</t>
    <phoneticPr fontId="7"/>
  </si>
  <si>
    <t>Line Buf OVF[2]</t>
    <phoneticPr fontId="7"/>
  </si>
  <si>
    <t>Ind Buf OVF[3]</t>
    <phoneticPr fontId="7"/>
  </si>
  <si>
    <t>Sync Buf OVF[4]</t>
    <phoneticPr fontId="7"/>
  </si>
  <si>
    <t>RX Buf OVF[6]</t>
    <phoneticPr fontId="7"/>
  </si>
  <si>
    <t>Line Buf RW Err[8]</t>
    <phoneticPr fontId="7"/>
  </si>
  <si>
    <t>Ind Wrong Err[9]</t>
    <phoneticPr fontId="7"/>
  </si>
  <si>
    <t>Err Report Mask[13:3]</t>
    <phoneticPr fontId="7"/>
  </si>
  <si>
    <t>LPTX Done[0]</t>
    <phoneticPr fontId="7"/>
  </si>
  <si>
    <t>Payload0 Done[8]</t>
    <phoneticPr fontId="7"/>
  </si>
  <si>
    <t>Payload1 Done[9]</t>
    <phoneticPr fontId="7"/>
  </si>
  <si>
    <t>0274</t>
    <phoneticPr fontId="7"/>
  </si>
  <si>
    <t>0474</t>
    <phoneticPr fontId="7"/>
  </si>
  <si>
    <t>027C</t>
    <phoneticPr fontId="7"/>
  </si>
  <si>
    <t>D0LPTX Cur[1:0]</t>
    <phoneticPr fontId="7"/>
  </si>
  <si>
    <t>25% Add</t>
  </si>
  <si>
    <t>D2LPTX Cur[5:4]</t>
    <phoneticPr fontId="7"/>
  </si>
  <si>
    <t>D3LPTX Cur[7:6]</t>
    <phoneticPr fontId="7"/>
  </si>
  <si>
    <t>D1LPTX Cur[3:2]</t>
    <phoneticPr fontId="7"/>
  </si>
  <si>
    <t>CLLPTX Cur[9:8]</t>
    <phoneticPr fontId="7"/>
  </si>
  <si>
    <t>DPHY_TX ADJUST</t>
    <phoneticPr fontId="7"/>
  </si>
  <si>
    <t>DSI_RRESP_BTA Count (Hex 0x0~0xFFFFFFFF)</t>
    <phoneticPr fontId="7"/>
  </si>
  <si>
    <t>02A0</t>
    <phoneticPr fontId="7"/>
  </si>
  <si>
    <t>MIPI_PLL_CONTROL</t>
    <phoneticPr fontId="7"/>
  </si>
  <si>
    <t>00000003</t>
    <phoneticPr fontId="7"/>
  </si>
  <si>
    <t>0370</t>
  </si>
  <si>
    <t>DSITX_START</t>
    <phoneticPr fontId="7"/>
  </si>
  <si>
    <t>011C</t>
    <phoneticPr fontId="7"/>
  </si>
  <si>
    <t>DSI-TX0 Transition Timing</t>
    <phoneticPr fontId="7"/>
  </si>
  <si>
    <t>DSI-TX1 Transition Timing</t>
    <phoneticPr fontId="7"/>
  </si>
  <si>
    <t>0308</t>
  </si>
  <si>
    <t>030C</t>
  </si>
  <si>
    <t>0318</t>
  </si>
  <si>
    <t>0320</t>
  </si>
  <si>
    <t>0324</t>
  </si>
  <si>
    <t>0328</t>
  </si>
  <si>
    <t>0330</t>
  </si>
  <si>
    <t>0334</t>
  </si>
  <si>
    <t>0338</t>
  </si>
  <si>
    <t>033C</t>
  </si>
  <si>
    <t>0340</t>
  </si>
  <si>
    <t>0344</t>
  </si>
  <si>
    <t>0348</t>
  </si>
  <si>
    <t>034C</t>
  </si>
  <si>
    <t>0350</t>
  </si>
  <si>
    <t>0354</t>
  </si>
  <si>
    <t>0358</t>
  </si>
  <si>
    <t>0368</t>
  </si>
  <si>
    <t>0378</t>
  </si>
  <si>
    <t>037C</t>
  </si>
  <si>
    <t>038C</t>
  </si>
  <si>
    <t>0390</t>
  </si>
  <si>
    <t>03A4</t>
  </si>
  <si>
    <t>03AC</t>
  </si>
  <si>
    <t>03C0</t>
  </si>
  <si>
    <t>0414</t>
  </si>
  <si>
    <t>041C</t>
  </si>
  <si>
    <t>0424</t>
  </si>
  <si>
    <t>0454</t>
  </si>
  <si>
    <t>0458</t>
  </si>
  <si>
    <t>045C</t>
  </si>
  <si>
    <t>0460</t>
  </si>
  <si>
    <t>0464</t>
  </si>
  <si>
    <t>0468</t>
  </si>
  <si>
    <t>046C</t>
  </si>
  <si>
    <t>0470</t>
  </si>
  <si>
    <t>0474</t>
  </si>
  <si>
    <t>0478</t>
  </si>
  <si>
    <t>047C</t>
  </si>
  <si>
    <t>04A0</t>
  </si>
  <si>
    <t>04AC</t>
  </si>
  <si>
    <t>031C</t>
    <phoneticPr fontId="7"/>
  </si>
  <si>
    <t>04AC</t>
    <phoneticPr fontId="7"/>
  </si>
  <si>
    <t>8410</t>
    <phoneticPr fontId="7"/>
  </si>
  <si>
    <t>PHYCtrl[0]</t>
    <phoneticPr fontId="7"/>
  </si>
  <si>
    <t>8413</t>
    <phoneticPr fontId="7"/>
  </si>
  <si>
    <t>PHY CTL</t>
    <phoneticPr fontId="7"/>
  </si>
  <si>
    <t>PHY_ENB</t>
    <phoneticPr fontId="7"/>
  </si>
  <si>
    <t>84F0</t>
    <phoneticPr fontId="7"/>
  </si>
  <si>
    <t>PHYEnb[0]</t>
    <phoneticPr fontId="7"/>
  </si>
  <si>
    <t>APLL_CTL</t>
    <phoneticPr fontId="7"/>
  </si>
  <si>
    <t>APLL_ON[0]</t>
    <phoneticPr fontId="7"/>
  </si>
  <si>
    <t>APLL_CPCTL[5:4]</t>
    <phoneticPr fontId="7"/>
  </si>
  <si>
    <t>DDCIO_CTL</t>
    <phoneticPr fontId="7"/>
  </si>
  <si>
    <t>84F4</t>
    <phoneticPr fontId="7"/>
  </si>
  <si>
    <t>DDCIO_PWR[0]</t>
    <phoneticPr fontId="7"/>
  </si>
  <si>
    <t>HDMI Clock</t>
    <phoneticPr fontId="7"/>
  </si>
  <si>
    <t>WR16</t>
    <phoneticPr fontId="7"/>
  </si>
  <si>
    <t>SYS_FREQ0_1</t>
    <phoneticPr fontId="7"/>
  </si>
  <si>
    <t>LOCKDET_FREQ0</t>
    <phoneticPr fontId="7"/>
  </si>
  <si>
    <t>LOCKDET_REF1_2</t>
    <phoneticPr fontId="7"/>
  </si>
  <si>
    <t>8A0C</t>
    <phoneticPr fontId="7"/>
  </si>
  <si>
    <t>85E0</t>
    <phoneticPr fontId="7"/>
  </si>
  <si>
    <t>EDID_LEN1_2</t>
    <phoneticPr fontId="7"/>
  </si>
  <si>
    <t>85E3</t>
    <phoneticPr fontId="7"/>
  </si>
  <si>
    <t>CSC_SCLK0_1</t>
    <phoneticPr fontId="7"/>
  </si>
  <si>
    <t>NCO_48F0A_D</t>
    <phoneticPr fontId="7"/>
  </si>
  <si>
    <t>NCO_44F0A_D</t>
    <phoneticPr fontId="7"/>
  </si>
  <si>
    <t>AUD_MODE</t>
    <phoneticPr fontId="7"/>
  </si>
  <si>
    <t>8680</t>
    <phoneticPr fontId="7"/>
  </si>
  <si>
    <t>Audio Relay[1:0]</t>
    <phoneticPr fontId="7"/>
  </si>
  <si>
    <t>Normal Aud</t>
  </si>
  <si>
    <t>REMnd</t>
  </si>
  <si>
    <t>IR_Dat MSK</t>
  </si>
  <si>
    <t>CEC-RX MSK</t>
  </si>
  <si>
    <t>CEC-TX MSK</t>
  </si>
  <si>
    <t>CEC-Er MSK</t>
  </si>
  <si>
    <t>SLIMB MSK</t>
  </si>
  <si>
    <t>DSITX0 MSK</t>
  </si>
  <si>
    <t>AMUTE MSK</t>
  </si>
  <si>
    <t>DSITX1 MSK</t>
  </si>
  <si>
    <t>[12]</t>
    <phoneticPr fontId="7"/>
  </si>
  <si>
    <t>IR_Er MSK</t>
  </si>
  <si>
    <t>[13]</t>
    <phoneticPr fontId="7"/>
  </si>
  <si>
    <t>[14]</t>
    <phoneticPr fontId="7"/>
  </si>
  <si>
    <t>[15]</t>
    <phoneticPr fontId="7"/>
  </si>
  <si>
    <t>8A00</t>
    <phoneticPr fontId="7"/>
  </si>
  <si>
    <t>8A01</t>
    <phoneticPr fontId="7"/>
  </si>
  <si>
    <t>8A02</t>
    <phoneticPr fontId="7"/>
  </si>
  <si>
    <t>VOUT_FMT</t>
    <phoneticPr fontId="7"/>
  </si>
  <si>
    <t>VOUT_FIL</t>
    <phoneticPr fontId="7"/>
  </si>
  <si>
    <t>VOUT_SYNC0</t>
    <phoneticPr fontId="7"/>
  </si>
  <si>
    <t>VOUT_COLOR</t>
    <phoneticPr fontId="7"/>
  </si>
  <si>
    <t>8A08</t>
    <phoneticPr fontId="7"/>
  </si>
  <si>
    <t>8A01</t>
    <phoneticPr fontId="7"/>
  </si>
  <si>
    <t>14</t>
    <phoneticPr fontId="16"/>
  </si>
  <si>
    <t>Video Color Format Setting</t>
    <phoneticPr fontId="7"/>
  </si>
  <si>
    <t>M3_VSIZE[7:6]</t>
    <phoneticPr fontId="7"/>
  </si>
  <si>
    <t>M3_HSIZE[5:4]</t>
    <phoneticPr fontId="7"/>
  </si>
  <si>
    <t>VOUT_MODE[1:0]</t>
    <phoneticPr fontId="7"/>
  </si>
  <si>
    <t>Split Control</t>
    <phoneticPr fontId="7"/>
  </si>
  <si>
    <t>5000</t>
    <phoneticPr fontId="7"/>
  </si>
  <si>
    <t>STX0_CTL</t>
    <phoneticPr fontId="7"/>
  </si>
  <si>
    <t>5002</t>
    <phoneticPr fontId="7"/>
  </si>
  <si>
    <t>STX0_VPID</t>
    <phoneticPr fontId="7"/>
  </si>
  <si>
    <t>500E</t>
    <phoneticPr fontId="7"/>
  </si>
  <si>
    <t>STX0_FPX</t>
    <phoneticPr fontId="7"/>
  </si>
  <si>
    <t>STX0_LPX</t>
    <phoneticPr fontId="7"/>
  </si>
  <si>
    <t>5080</t>
    <phoneticPr fontId="7"/>
  </si>
  <si>
    <t>STX1_CTL</t>
    <phoneticPr fontId="7"/>
  </si>
  <si>
    <t>Splitter Mode</t>
    <phoneticPr fontId="16"/>
  </si>
  <si>
    <t>TX0 Splitter-&gt;</t>
    <phoneticPr fontId="16"/>
  </si>
  <si>
    <t>TX1 Splitter-&gt;</t>
    <phoneticPr fontId="16"/>
  </si>
  <si>
    <t>5080</t>
    <phoneticPr fontId="7"/>
  </si>
  <si>
    <t>508E</t>
    <phoneticPr fontId="7"/>
  </si>
  <si>
    <t>Interlace VID</t>
    <phoneticPr fontId="16"/>
  </si>
  <si>
    <t>A0</t>
    <phoneticPr fontId="16"/>
  </si>
  <si>
    <t>508C</t>
    <phoneticPr fontId="7"/>
  </si>
  <si>
    <t>5082</t>
    <phoneticPr fontId="7"/>
  </si>
  <si>
    <t>HDCP Disable</t>
  </si>
  <si>
    <t>0006</t>
    <phoneticPr fontId="7"/>
  </si>
  <si>
    <t>ConfCtl0</t>
    <phoneticPr fontId="7"/>
  </si>
  <si>
    <t>MSF</t>
    <phoneticPr fontId="16"/>
  </si>
  <si>
    <t>Interrupt Control (TOP level)</t>
    <phoneticPr fontId="7"/>
  </si>
  <si>
    <t>HDMI Interrupt Mask, Clear</t>
    <phoneticPr fontId="7"/>
  </si>
  <si>
    <t>Clear INT</t>
  </si>
  <si>
    <t>DSITX1 Clear</t>
  </si>
  <si>
    <t>AMUTE Clear</t>
  </si>
  <si>
    <t>HDMI Clear</t>
  </si>
  <si>
    <t>DSITX0 Clear</t>
  </si>
  <si>
    <t>SLIMB Clear</t>
  </si>
  <si>
    <t>SYS Clear</t>
  </si>
  <si>
    <t>CEC-Er Clear</t>
  </si>
  <si>
    <t>CEC-TX Clear</t>
  </si>
  <si>
    <t>CEC-RX Clear</t>
  </si>
  <si>
    <t>IR_Er Clear</t>
  </si>
  <si>
    <t>IR_Dat Clear</t>
  </si>
  <si>
    <t>Progressive</t>
  </si>
  <si>
    <t>1-4096</t>
    <phoneticPr fontId="16"/>
  </si>
  <si>
    <t>STX1_VPID</t>
    <phoneticPr fontId="7"/>
  </si>
  <si>
    <t>STX1_FPX</t>
    <phoneticPr fontId="7"/>
  </si>
  <si>
    <t>STX1_LPX</t>
    <phoneticPr fontId="7"/>
  </si>
  <si>
    <t>ConfCtl0</t>
    <phoneticPr fontId="7"/>
  </si>
  <si>
    <t>ConfCtl1</t>
    <phoneticPr fontId="7"/>
  </si>
  <si>
    <t>Start Video TX</t>
    <phoneticPr fontId="7"/>
  </si>
  <si>
    <t>DSI0</t>
  </si>
  <si>
    <t>DSI Mode</t>
    <phoneticPr fontId="16"/>
  </si>
  <si>
    <t>Format</t>
    <phoneticPr fontId="16"/>
  </si>
  <si>
    <t>Splitter</t>
    <phoneticPr fontId="16"/>
  </si>
  <si>
    <t>for Top
(Hex 2digit)</t>
    <phoneticPr fontId="16"/>
  </si>
  <si>
    <t>for Bottom
(Hex 2digit)</t>
    <phoneticPr fontId="16"/>
  </si>
  <si>
    <t>Original/New</t>
    <phoneticPr fontId="7"/>
  </si>
  <si>
    <t>Original/New</t>
    <phoneticPr fontId="22"/>
  </si>
  <si>
    <t>TC358870XBG EDID Setting</t>
    <phoneticPr fontId="7"/>
  </si>
  <si>
    <t>LF</t>
    <phoneticPr fontId="22"/>
  </si>
  <si>
    <t>U</t>
    <phoneticPr fontId="7"/>
  </si>
  <si>
    <t>2</t>
    <phoneticPr fontId="7"/>
  </si>
  <si>
    <t>D</t>
    <phoneticPr fontId="7"/>
  </si>
  <si>
    <t>1-4096</t>
    <phoneticPr fontId="16"/>
  </si>
  <si>
    <t>1st Detailed Timing Descriptor(New)</t>
    <phoneticPr fontId="7"/>
  </si>
  <si>
    <t>2nd Detailed Timing Descriptor(New)</t>
    <phoneticPr fontId="7"/>
  </si>
  <si>
    <t>3rd Detailed Timing Descriptor(New)</t>
    <phoneticPr fontId="7"/>
  </si>
  <si>
    <t>4th Detailed Timing Descriptor(New)</t>
    <phoneticPr fontId="7"/>
  </si>
  <si>
    <t>5th Detailed Timing Descriptor(New)</t>
    <phoneticPr fontId="7"/>
  </si>
  <si>
    <t>6th Detailed Timing Descriptor(New)</t>
    <phoneticPr fontId="7"/>
  </si>
  <si>
    <t>Select "DSI Output Format" by C45. Select DSI mode by D45.</t>
    <phoneticPr fontId="7"/>
  </si>
  <si>
    <t>2-2</t>
    <phoneticPr fontId="7"/>
  </si>
  <si>
    <t>2-3</t>
    <phoneticPr fontId="7"/>
  </si>
  <si>
    <t>2-4</t>
    <phoneticPr fontId="7"/>
  </si>
  <si>
    <t>2-4-1</t>
    <phoneticPr fontId="7"/>
  </si>
  <si>
    <t>2-4-2</t>
    <phoneticPr fontId="7"/>
  </si>
  <si>
    <t>2-7</t>
    <phoneticPr fontId="7"/>
  </si>
  <si>
    <t>Set split mode.</t>
    <phoneticPr fontId="7"/>
  </si>
  <si>
    <t>Split mode "enable"/"disable" is set by F40 and H40 for DSI-TX0 and DSI-TX1 each. When "disabled", HDMI input goes to both DSI-TX0 and DSI-TX1 without splitting.</t>
    <phoneticPr fontId="7"/>
  </si>
  <si>
    <t>2-5</t>
    <phoneticPr fontId="7"/>
  </si>
  <si>
    <t xml:space="preserve">Set REFCLK frequency to C72 and set DSI lane to C78. </t>
    <phoneticPr fontId="7"/>
  </si>
  <si>
    <t>2-5-1</t>
    <phoneticPr fontId="7"/>
  </si>
  <si>
    <t>2-5-2</t>
    <phoneticPr fontId="7"/>
  </si>
  <si>
    <t>2-5-3</t>
    <phoneticPr fontId="7"/>
  </si>
  <si>
    <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3"/>
        <charset val="128"/>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phoneticPr fontId="7"/>
  </si>
  <si>
    <t>2-5-4</t>
    <phoneticPr fontId="7"/>
  </si>
  <si>
    <t>2-5-5</t>
    <phoneticPr fontId="7"/>
  </si>
  <si>
    <t>When G63(S63) is "NG", DSI cannot output all the data within 1line. Please adjust parameters according to ERROR message shown in  B4~B9.</t>
    <phoneticPr fontId="7"/>
  </si>
  <si>
    <t>2-6</t>
    <phoneticPr fontId="7"/>
  </si>
  <si>
    <t>2-8</t>
    <phoneticPr fontId="7"/>
  </si>
  <si>
    <t>Select "Source_*" sheet. Fill orange colored cells if needed.</t>
    <phoneticPr fontId="7"/>
  </si>
  <si>
    <t>HDMI Input</t>
    <phoneticPr fontId="16"/>
  </si>
  <si>
    <t>7008</t>
    <phoneticPr fontId="7"/>
  </si>
  <si>
    <t>700A</t>
    <phoneticPr fontId="7"/>
  </si>
  <si>
    <t>700C</t>
    <phoneticPr fontId="7"/>
  </si>
  <si>
    <t>700E</t>
    <phoneticPr fontId="7"/>
  </si>
  <si>
    <t>7010</t>
    <phoneticPr fontId="7"/>
  </si>
  <si>
    <t>7012</t>
    <phoneticPr fontId="7"/>
  </si>
  <si>
    <t>7014</t>
    <phoneticPr fontId="7"/>
  </si>
  <si>
    <t>7016</t>
    <phoneticPr fontId="7"/>
  </si>
  <si>
    <t>7000</t>
    <phoneticPr fontId="7"/>
  </si>
  <si>
    <t xml:space="preserve">Select "Main_Parameters" sheet. </t>
    <phoneticPr fontId="7"/>
  </si>
  <si>
    <t>3F01</t>
    <phoneticPr fontId="7"/>
  </si>
  <si>
    <t>DSI Cmd[4]</t>
    <phoneticPr fontId="7"/>
  </si>
  <si>
    <t>VSYNC Pol[1]</t>
    <phoneticPr fontId="7"/>
  </si>
  <si>
    <t>HSYNC Pol[2]</t>
    <phoneticPr fontId="7"/>
  </si>
  <si>
    <t>012C</t>
    <phoneticPr fontId="7"/>
  </si>
  <si>
    <t>DSI_LPTX_MODE</t>
    <phoneticPr fontId="7"/>
  </si>
  <si>
    <t>Cmd from[0]</t>
    <phoneticPr fontId="7"/>
  </si>
  <si>
    <t>Input</t>
  </si>
  <si>
    <t>Output Tim[2:1]</t>
    <phoneticPr fontId="7"/>
  </si>
  <si>
    <t>Immediate</t>
  </si>
  <si>
    <t>Specified Line Number(0~8191)</t>
    <phoneticPr fontId="7"/>
  </si>
  <si>
    <t>VFP</t>
  </si>
  <si>
    <t>WR32</t>
  </si>
  <si>
    <t>0240</t>
    <phoneticPr fontId="7"/>
  </si>
  <si>
    <t>DPHY_DLYCNTRL</t>
    <phoneticPr fontId="7"/>
  </si>
  <si>
    <t>DLY Sel D0[3:0]</t>
    <phoneticPr fontId="7"/>
  </si>
  <si>
    <t>0288</t>
    <phoneticPr fontId="7"/>
  </si>
  <si>
    <t>DPHY_CAP</t>
    <phoneticPr fontId="7"/>
  </si>
  <si>
    <t>CAP Sel D0[1:0]</t>
    <phoneticPr fontId="7"/>
  </si>
  <si>
    <t>CAP Sel D1[3:2]</t>
    <phoneticPr fontId="7"/>
  </si>
  <si>
    <t>CAP Sel D2[5:4]</t>
    <phoneticPr fontId="7"/>
  </si>
  <si>
    <t>CAP Sel D3[7:6]</t>
    <phoneticPr fontId="7"/>
  </si>
  <si>
    <t>CAP Sel CL[9:8]</t>
    <phoneticPr fontId="7"/>
  </si>
  <si>
    <t>DLY Sel D1[7:4]</t>
    <phoneticPr fontId="7"/>
  </si>
  <si>
    <t>DLY Sel D2[11:8]</t>
    <phoneticPr fontId="7"/>
  </si>
  <si>
    <t>DLY Sel D3[15:12]</t>
    <phoneticPr fontId="7"/>
  </si>
  <si>
    <t>DLY Sel CL[19:16]</t>
    <phoneticPr fontId="7"/>
  </si>
  <si>
    <t>0440</t>
    <phoneticPr fontId="7"/>
  </si>
  <si>
    <t>0488</t>
    <phoneticPr fontId="7"/>
  </si>
  <si>
    <t>Program PLL for DSI-TX0</t>
    <phoneticPr fontId="7"/>
  </si>
  <si>
    <t>Program PLL for DSI-TX1</t>
    <phoneticPr fontId="7"/>
  </si>
  <si>
    <t>0164</t>
    <phoneticPr fontId="7"/>
  </si>
  <si>
    <t>INIT_INT_MSK</t>
    <phoneticPr fontId="7"/>
  </si>
  <si>
    <t>Line Init Done[0]</t>
    <phoneticPr fontId="7"/>
  </si>
  <si>
    <t>VREG Cnt Done[1]</t>
    <phoneticPr fontId="7"/>
  </si>
  <si>
    <t>LPRX Cal Done[2]</t>
    <phoneticPr fontId="7"/>
  </si>
  <si>
    <t>Mask</t>
  </si>
  <si>
    <t>032C</t>
    <phoneticPr fontId="7"/>
  </si>
  <si>
    <t>0364</t>
    <phoneticPr fontId="7"/>
  </si>
  <si>
    <t>020C</t>
    <phoneticPr fontId="7"/>
  </si>
  <si>
    <t>DSI_PRTO_INT_MASK</t>
    <phoneticPr fontId="7"/>
  </si>
  <si>
    <t>HSTX TO[1]</t>
    <phoneticPr fontId="7"/>
  </si>
  <si>
    <t>Peri Resp TO[3]</t>
    <phoneticPr fontId="7"/>
  </si>
  <si>
    <t>040C</t>
    <phoneticPr fontId="7"/>
  </si>
  <si>
    <t>HS</t>
  </si>
  <si>
    <t>00000020</t>
    <phoneticPr fontId="7"/>
  </si>
  <si>
    <t>002A</t>
    <phoneticPr fontId="7"/>
  </si>
  <si>
    <t>No Add</t>
  </si>
  <si>
    <t>15</t>
    <phoneticPr fontId="7"/>
  </si>
  <si>
    <t>0500</t>
    <phoneticPr fontId="7"/>
  </si>
  <si>
    <t>CMD_SEL</t>
    <phoneticPr fontId="7"/>
  </si>
  <si>
    <t>REM</t>
    <phoneticPr fontId="7"/>
  </si>
  <si>
    <t>Soft Reset</t>
    <phoneticPr fontId="7"/>
  </si>
  <si>
    <t>DCSCMD_Q</t>
    <phoneticPr fontId="7"/>
  </si>
  <si>
    <t>0504</t>
    <phoneticPr fontId="7"/>
  </si>
  <si>
    <t>0005</t>
    <phoneticPr fontId="7"/>
  </si>
  <si>
    <t>0001</t>
    <phoneticPr fontId="7"/>
  </si>
  <si>
    <t>Set Pixel Format</t>
    <phoneticPr fontId="7"/>
  </si>
  <si>
    <t>0015</t>
    <phoneticPr fontId="7"/>
  </si>
  <si>
    <t>773A</t>
    <phoneticPr fontId="7"/>
  </si>
  <si>
    <t>LCD Initialization</t>
    <phoneticPr fontId="7"/>
  </si>
  <si>
    <t>8039</t>
    <phoneticPr fontId="7"/>
  </si>
  <si>
    <t>002A</t>
    <phoneticPr fontId="7"/>
  </si>
  <si>
    <t>0400</t>
    <phoneticPr fontId="7"/>
  </si>
  <si>
    <t>002B</t>
    <phoneticPr fontId="7"/>
  </si>
  <si>
    <t>0600</t>
    <phoneticPr fontId="7"/>
  </si>
  <si>
    <t>003F</t>
    <phoneticPr fontId="7"/>
  </si>
  <si>
    <t>Set Tear On</t>
    <phoneticPr fontId="7"/>
  </si>
  <si>
    <t>0035</t>
    <phoneticPr fontId="7"/>
  </si>
  <si>
    <t>Set Tear Scanline</t>
    <phoneticPr fontId="7"/>
  </si>
  <si>
    <t>0044</t>
    <phoneticPr fontId="7"/>
  </si>
  <si>
    <t>FF51</t>
    <phoneticPr fontId="7"/>
  </si>
  <si>
    <t>2453</t>
    <phoneticPr fontId="7"/>
  </si>
  <si>
    <t>Set Column Address</t>
    <phoneticPr fontId="7"/>
  </si>
  <si>
    <t>Set Page Address</t>
    <phoneticPr fontId="7"/>
  </si>
  <si>
    <t>Write Display Brightness</t>
    <phoneticPr fontId="7"/>
  </si>
  <si>
    <t>Write Control Display</t>
    <phoneticPr fontId="7"/>
  </si>
  <si>
    <t>0155</t>
    <phoneticPr fontId="7"/>
  </si>
  <si>
    <t>0023</t>
    <phoneticPr fontId="7"/>
  </si>
  <si>
    <t>00B0</t>
    <phoneticPr fontId="7"/>
  </si>
  <si>
    <t>Adaptive Brightness Control</t>
    <phoneticPr fontId="7"/>
  </si>
  <si>
    <t>Exit Sleep</t>
    <phoneticPr fontId="7"/>
  </si>
  <si>
    <t>MCAP</t>
    <phoneticPr fontId="7"/>
  </si>
  <si>
    <t>Backlight Control 4</t>
    <phoneticPr fontId="7"/>
  </si>
  <si>
    <t>8029</t>
    <phoneticPr fontId="7"/>
  </si>
  <si>
    <t>7DCE</t>
    <phoneticPr fontId="7"/>
  </si>
  <si>
    <t>4840</t>
    <phoneticPr fontId="7"/>
  </si>
  <si>
    <t>6756</t>
    <phoneticPr fontId="7"/>
  </si>
  <si>
    <t>8878</t>
    <phoneticPr fontId="7"/>
  </si>
  <si>
    <t>A798</t>
    <phoneticPr fontId="7"/>
  </si>
  <si>
    <t>C3B5</t>
    <phoneticPr fontId="7"/>
  </si>
  <si>
    <t>DED1</t>
    <phoneticPr fontId="7"/>
  </si>
  <si>
    <t>F2E9</t>
    <phoneticPr fontId="7"/>
  </si>
  <si>
    <t>FFFA</t>
    <phoneticPr fontId="7"/>
  </si>
  <si>
    <t>Command Transmission Before Video Start</t>
    <phoneticPr fontId="7"/>
  </si>
  <si>
    <t>00B0</t>
    <phoneticPr fontId="7"/>
  </si>
  <si>
    <t>14B3</t>
    <phoneticPr fontId="7"/>
  </si>
  <si>
    <t>Interface Setting</t>
    <phoneticPr fontId="7"/>
  </si>
  <si>
    <t>03B0</t>
    <phoneticPr fontId="7"/>
  </si>
  <si>
    <t>Set Display On</t>
    <phoneticPr fontId="7"/>
  </si>
  <si>
    <t>0029</t>
    <phoneticPr fontId="7"/>
  </si>
  <si>
    <t>0D</t>
    <phoneticPr fontId="7"/>
  </si>
  <si>
    <t>C9</t>
    <phoneticPr fontId="7"/>
  </si>
  <si>
    <t>A0</t>
    <phoneticPr fontId="7"/>
  </si>
  <si>
    <t>57</t>
    <phoneticPr fontId="7"/>
  </si>
  <si>
    <t>47</t>
    <phoneticPr fontId="7"/>
  </si>
  <si>
    <t>98</t>
    <phoneticPr fontId="7"/>
  </si>
  <si>
    <t>27</t>
    <phoneticPr fontId="7"/>
  </si>
  <si>
    <t>12</t>
    <phoneticPr fontId="7"/>
  </si>
  <si>
    <t>48</t>
    <phoneticPr fontId="7"/>
  </si>
  <si>
    <t>4C</t>
    <phoneticPr fontId="7"/>
  </si>
  <si>
    <t>WR8</t>
  </si>
  <si>
    <t>HSW+HBP&gt;=8</t>
    <phoneticPr fontId="16"/>
  </si>
  <si>
    <t>&lt;=297MHz(HDMI)</t>
    <phoneticPr fontId="16"/>
  </si>
  <si>
    <t>&lt;=2*TX0ByteClk(CB)</t>
    <phoneticPr fontId="16"/>
  </si>
  <si>
    <t>DSI-TX1 Outout</t>
  </si>
  <si>
    <t>Parameter Select-&gt;</t>
    <phoneticPr fontId="16"/>
  </si>
  <si>
    <t>017C</t>
    <phoneticPr fontId="7"/>
  </si>
  <si>
    <t>037C</t>
    <phoneticPr fontId="7"/>
  </si>
  <si>
    <t>TCLK-Pre(ns)</t>
    <phoneticPr fontId="7"/>
  </si>
  <si>
    <t>TCLK-EXIT(ns)</t>
    <phoneticPr fontId="7"/>
  </si>
  <si>
    <t>LPTXTIMECNT</t>
    <phoneticPr fontId="7"/>
  </si>
  <si>
    <t>REG[0254h]bit[11:0]</t>
    <phoneticPr fontId="7"/>
  </si>
  <si>
    <t>TCLK_HEADERCNT</t>
  </si>
  <si>
    <t>TCLK_HEADERCNT</t>
    <phoneticPr fontId="7"/>
  </si>
  <si>
    <t>REG[0258h]bit[6:0]</t>
    <phoneticPr fontId="7"/>
  </si>
  <si>
    <t>REG[0258h]bit[23:16]</t>
    <phoneticPr fontId="7"/>
  </si>
  <si>
    <t>REG[0258h]bit[13:8]</t>
    <phoneticPr fontId="7"/>
  </si>
  <si>
    <t>0-63</t>
    <phoneticPr fontId="7"/>
  </si>
  <si>
    <t>REG[025Ch]bit[7:0]</t>
    <phoneticPr fontId="7"/>
  </si>
  <si>
    <t>REG[025Ch]bit[26:16]</t>
    <phoneticPr fontId="7"/>
  </si>
  <si>
    <t>THS_HEADERCNT</t>
  </si>
  <si>
    <t>THS_HEADERCNT</t>
    <phoneticPr fontId="7"/>
  </si>
  <si>
    <t>REG[0260h]bit[6:0]</t>
    <phoneticPr fontId="7"/>
  </si>
  <si>
    <t>REG[0260h]bit[23:16]</t>
    <phoneticPr fontId="7"/>
  </si>
  <si>
    <t>REG[0264h]bit[15:0]</t>
    <phoneticPr fontId="7"/>
  </si>
  <si>
    <t>REG[0268h]bit[10:0]</t>
    <phoneticPr fontId="7"/>
  </si>
  <si>
    <t>REG[026Ch]bit[7:0]</t>
    <phoneticPr fontId="7"/>
  </si>
  <si>
    <t>REG[026Ch]bit[26:16]</t>
    <phoneticPr fontId="7"/>
  </si>
  <si>
    <t>THS-EXIT(ns)</t>
    <phoneticPr fontId="7"/>
  </si>
  <si>
    <t>REG[0278h]bit[10:0]</t>
    <phoneticPr fontId="7"/>
  </si>
  <si>
    <t>REG[0278h]bit[26:16]</t>
    <phoneticPr fontId="7"/>
  </si>
  <si>
    <t>TCLKTRAILCNT</t>
  </si>
  <si>
    <t>TWAKEUPCNT</t>
  </si>
  <si>
    <t>TCLKPOSTCNT</t>
  </si>
  <si>
    <t>THSTRAILCNT</t>
  </si>
  <si>
    <t>BTA_COUNT</t>
  </si>
  <si>
    <t>BTA_COUNT</t>
    <phoneticPr fontId="16"/>
  </si>
  <si>
    <t>REG[0454h]bit[11:0]</t>
    <phoneticPr fontId="16"/>
  </si>
  <si>
    <t>REG[0120h]bit[15:0]</t>
    <phoneticPr fontId="7"/>
  </si>
  <si>
    <t>REG[0458h]bit[6:0]</t>
    <phoneticPr fontId="16"/>
  </si>
  <si>
    <t>REG[0458h]bit[23:16]</t>
    <phoneticPr fontId="16"/>
  </si>
  <si>
    <t>REG[0458h]bit[13:8]</t>
    <phoneticPr fontId="16"/>
  </si>
  <si>
    <t>REG[045Ch]bit[7:0]</t>
    <phoneticPr fontId="16"/>
  </si>
  <si>
    <t>REG[045Ch]bit[26:16]</t>
    <phoneticPr fontId="16"/>
  </si>
  <si>
    <t>REG[0460h]bit[6:0]</t>
    <phoneticPr fontId="16"/>
  </si>
  <si>
    <t>REG[0460h]bit[23:16]</t>
    <phoneticPr fontId="16"/>
  </si>
  <si>
    <t>REG[0464h]bit[15:0]</t>
    <phoneticPr fontId="16"/>
  </si>
  <si>
    <t>REG[0468h]bit[10:0]</t>
    <phoneticPr fontId="16"/>
  </si>
  <si>
    <t>REG[046Ch]bit[7:0]</t>
    <phoneticPr fontId="16"/>
  </si>
  <si>
    <t>REG[046Ch]bit[26:16]</t>
    <phoneticPr fontId="16"/>
  </si>
  <si>
    <t>REG[0478h]bit[10:0]</t>
    <phoneticPr fontId="16"/>
  </si>
  <si>
    <t>REG[0478h]bit[26:16]</t>
    <phoneticPr fontId="16"/>
  </si>
  <si>
    <t>REG[0310h]bit[15:0]</t>
    <phoneticPr fontId="7"/>
  </si>
  <si>
    <t>Tv02</t>
    <phoneticPr fontId="7"/>
  </si>
  <si>
    <t>v02</t>
    <phoneticPr fontId="7"/>
  </si>
  <si>
    <t>Modify K column judgement</t>
    <phoneticPr fontId="7"/>
  </si>
  <si>
    <t>Select "EDID" sheet.  Fill EDID data in yellow colored cells if needed.</t>
    <phoneticPr fontId="7"/>
  </si>
  <si>
    <t xml:space="preserve">Command Description   delay:Wait (unit is "us"), REM/REMnd: Remark. For delay command, Wait value must be written into address column. </t>
    <phoneticPr fontId="7"/>
  </si>
  <si>
    <t>v02</t>
    <phoneticPr fontId="7"/>
  </si>
  <si>
    <t>Modify 4.5</t>
    <phoneticPr fontId="7"/>
  </si>
  <si>
    <t>Modify delay command expression.</t>
    <phoneticPr fontId="7"/>
  </si>
  <si>
    <t>2-1023</t>
    <phoneticPr fontId="16"/>
  </si>
  <si>
    <t>v02</t>
    <phoneticPr fontId="7"/>
  </si>
  <si>
    <t>Tv03</t>
    <phoneticPr fontId="7"/>
  </si>
  <si>
    <t>Modify D22, H22 Formulas</t>
    <phoneticPr fontId="7"/>
  </si>
  <si>
    <t>Modify D21, H21</t>
    <phoneticPr fontId="7"/>
  </si>
  <si>
    <t>v03</t>
    <phoneticPr fontId="7"/>
  </si>
  <si>
    <t>Delete line 374,375</t>
    <phoneticPr fontId="7"/>
  </si>
  <si>
    <t>HPW</t>
    <phoneticPr fontId="16"/>
  </si>
  <si>
    <t>HPW+HBP by</t>
    <phoneticPr fontId="16"/>
  </si>
  <si>
    <t>Modify D59~D64,E59~E64,P59~P64,Q59~Q64</t>
    <phoneticPr fontId="7"/>
  </si>
  <si>
    <t>Add conditional cell color painting to J column</t>
    <phoneticPr fontId="7"/>
  </si>
  <si>
    <t>TOSHIBA Confidential</t>
    <phoneticPr fontId="7"/>
  </si>
  <si>
    <t>Title</t>
    <phoneticPr fontId="7"/>
  </si>
  <si>
    <t>Command Description   WR8:8bit Write,  WR16:16bit Write,  WR32:32bit Write, delay:Wait (unit is "us")</t>
    <phoneticPr fontId="7"/>
  </si>
  <si>
    <t>HDMI input video timing check</t>
    <phoneticPr fontId="7"/>
  </si>
  <si>
    <t>CMD</t>
    <phoneticPr fontId="7"/>
  </si>
  <si>
    <t>Data</t>
    <phoneticPr fontId="7"/>
  </si>
  <si>
    <t>Comment</t>
    <phoneticPr fontId="7"/>
  </si>
  <si>
    <t>REM</t>
    <phoneticPr fontId="7"/>
  </si>
  <si>
    <t>REM</t>
    <phoneticPr fontId="7"/>
  </si>
  <si>
    <t>HDMI Input Video Timing Check (PCLK)</t>
    <phoneticPr fontId="7"/>
  </si>
  <si>
    <t>Pixel Clock(MHz)</t>
    <phoneticPr fontId="7"/>
  </si>
  <si>
    <t>RD8</t>
    <phoneticPr fontId="7"/>
  </si>
  <si>
    <t>PX_FREQ0</t>
    <phoneticPr fontId="7"/>
  </si>
  <si>
    <t>PX_FREQ[7:0]</t>
    <phoneticPr fontId="7"/>
  </si>
  <si>
    <t>Rough value</t>
    <phoneticPr fontId="7"/>
  </si>
  <si>
    <t>PX_FREQ1</t>
    <phoneticPr fontId="7"/>
  </si>
  <si>
    <t>PX_FREQ[12:8]</t>
    <phoneticPr fontId="7"/>
  </si>
  <si>
    <t>HDMI Input Video Timing Check (Horizontal Related)</t>
    <phoneticPr fontId="7"/>
  </si>
  <si>
    <t>H total(pixel)</t>
    <phoneticPr fontId="7"/>
  </si>
  <si>
    <t>RD8</t>
    <phoneticPr fontId="7"/>
  </si>
  <si>
    <t>H_SIZE0</t>
    <phoneticPr fontId="7"/>
  </si>
  <si>
    <t>H_SIZE[7:0]</t>
    <phoneticPr fontId="7"/>
  </si>
  <si>
    <t>H_SIZE1</t>
    <phoneticPr fontId="7"/>
  </si>
  <si>
    <t>H_SIZE[12:8]</t>
    <phoneticPr fontId="7"/>
  </si>
  <si>
    <t>HPW+HBP(pixel)</t>
    <phoneticPr fontId="7"/>
  </si>
  <si>
    <t>8580</t>
    <phoneticPr fontId="7"/>
  </si>
  <si>
    <t>DE_HPOS[7:0]</t>
    <phoneticPr fontId="7"/>
  </si>
  <si>
    <t>8581</t>
    <phoneticPr fontId="7"/>
  </si>
  <si>
    <t>00</t>
    <phoneticPr fontId="7"/>
  </si>
  <si>
    <t>DE_HPOS[12:8]</t>
    <phoneticPr fontId="7"/>
  </si>
  <si>
    <t>HDP(pixel)</t>
    <phoneticPr fontId="7"/>
  </si>
  <si>
    <t>8582</t>
    <phoneticPr fontId="7"/>
  </si>
  <si>
    <t>DE_HWID[7:0]</t>
    <phoneticPr fontId="7"/>
  </si>
  <si>
    <t>8583</t>
    <phoneticPr fontId="7"/>
  </si>
  <si>
    <t>DE_HWID[12:8]</t>
    <phoneticPr fontId="7"/>
  </si>
  <si>
    <t>HFP(pixel)</t>
    <phoneticPr fontId="7"/>
  </si>
  <si>
    <t>REM</t>
    <phoneticPr fontId="7"/>
  </si>
  <si>
    <t>HDMI Input Video Timing Check (Vertical Related)</t>
    <phoneticPr fontId="7"/>
  </si>
  <si>
    <t>V_SIZE0</t>
    <phoneticPr fontId="7"/>
  </si>
  <si>
    <t>858C</t>
    <phoneticPr fontId="7"/>
  </si>
  <si>
    <t>V_SIZE[7:0]</t>
    <phoneticPr fontId="7"/>
  </si>
  <si>
    <t>V total(line)</t>
    <phoneticPr fontId="7"/>
  </si>
  <si>
    <t>V_SIZE1</t>
    <phoneticPr fontId="7"/>
  </si>
  <si>
    <t>858D</t>
    <phoneticPr fontId="7"/>
  </si>
  <si>
    <t>V_SIZE[12:8]</t>
    <phoneticPr fontId="7"/>
  </si>
  <si>
    <t>8584</t>
    <phoneticPr fontId="7"/>
  </si>
  <si>
    <t>DE_VPOS_A[7:0]</t>
    <phoneticPr fontId="7"/>
  </si>
  <si>
    <t>VPW+VBP(line)</t>
    <phoneticPr fontId="7"/>
  </si>
  <si>
    <t>8585</t>
    <phoneticPr fontId="7"/>
  </si>
  <si>
    <t>DE_VPOS_A[12:8]</t>
    <phoneticPr fontId="7"/>
  </si>
  <si>
    <t>8586</t>
    <phoneticPr fontId="7"/>
  </si>
  <si>
    <t>DE_VPOS_B[7:0]</t>
    <phoneticPr fontId="7"/>
  </si>
  <si>
    <t>VDP(line)</t>
    <phoneticPr fontId="7"/>
  </si>
  <si>
    <t>8587</t>
    <phoneticPr fontId="7"/>
  </si>
  <si>
    <t>DE_VPOS_B[12:8]</t>
    <phoneticPr fontId="7"/>
  </si>
  <si>
    <t>DE_VWID[7:0]</t>
    <phoneticPr fontId="7"/>
  </si>
  <si>
    <t>VFP(line)</t>
    <phoneticPr fontId="7"/>
  </si>
  <si>
    <t>DE_VWID[12:8]</t>
    <phoneticPr fontId="7"/>
  </si>
  <si>
    <t>END</t>
    <phoneticPr fontId="7"/>
  </si>
  <si>
    <t>WR8</t>
    <phoneticPr fontId="53"/>
  </si>
  <si>
    <t>8540</t>
    <phoneticPr fontId="53"/>
  </si>
  <si>
    <t>8A0C</t>
    <phoneticPr fontId="53"/>
  </si>
  <si>
    <t>SYS_FREQ0</t>
    <phoneticPr fontId="53"/>
  </si>
  <si>
    <t>SYS_FREQ1</t>
    <phoneticPr fontId="53"/>
  </si>
  <si>
    <t>8541</t>
    <phoneticPr fontId="53"/>
  </si>
  <si>
    <t>8A0D</t>
    <phoneticPr fontId="53"/>
  </si>
  <si>
    <t>SYS_FREQ0(CSC)</t>
    <phoneticPr fontId="53"/>
  </si>
  <si>
    <t>SYS_FREQ1(CSC)</t>
    <phoneticPr fontId="53"/>
  </si>
  <si>
    <t>8405</t>
    <phoneticPr fontId="7"/>
  </si>
  <si>
    <t>8406</t>
    <phoneticPr fontId="7"/>
  </si>
  <si>
    <t>858E</t>
    <phoneticPr fontId="7"/>
  </si>
  <si>
    <t>858F</t>
    <phoneticPr fontId="7"/>
  </si>
  <si>
    <t>8590</t>
    <phoneticPr fontId="7"/>
  </si>
  <si>
    <t>8591</t>
    <phoneticPr fontId="7"/>
  </si>
  <si>
    <t>DE_VWID0</t>
    <phoneticPr fontId="7"/>
  </si>
  <si>
    <t>DE_VWID1</t>
    <phoneticPr fontId="7"/>
  </si>
  <si>
    <t>DE_HWID0</t>
    <phoneticPr fontId="7"/>
  </si>
  <si>
    <t>DE_HWID1</t>
    <phoneticPr fontId="7"/>
  </si>
  <si>
    <t>DE_HPOS0</t>
    <phoneticPr fontId="7"/>
  </si>
  <si>
    <t>DE_HPOS1</t>
    <phoneticPr fontId="7"/>
  </si>
  <si>
    <t>DE_POS_A0</t>
    <phoneticPr fontId="7"/>
  </si>
  <si>
    <t>DE_POS_A1</t>
    <phoneticPr fontId="7"/>
  </si>
  <si>
    <t>DE_POS_B0</t>
    <phoneticPr fontId="7"/>
  </si>
  <si>
    <t>DE_POS_B1</t>
    <phoneticPr fontId="7"/>
  </si>
  <si>
    <t>00</t>
    <phoneticPr fontId="7"/>
  </si>
  <si>
    <t>Tv04</t>
    <phoneticPr fontId="7"/>
  </si>
  <si>
    <t>v04</t>
    <phoneticPr fontId="7"/>
  </si>
  <si>
    <t>Move 0x02A0,0x02AC,0x04A0,0x04AC setting earlier</t>
    <phoneticPr fontId="7"/>
  </si>
  <si>
    <t>Add B115, M115</t>
    <phoneticPr fontId="7"/>
  </si>
  <si>
    <t>v03</t>
    <phoneticPr fontId="7"/>
  </si>
  <si>
    <t>Modify D62~D63,E62~E63,P62~P63,Q62~Q63</t>
    <phoneticPr fontId="7"/>
  </si>
  <si>
    <t>Source_HDMITimChk</t>
    <phoneticPr fontId="7"/>
  </si>
  <si>
    <t>1st Edition</t>
    <phoneticPr fontId="7"/>
  </si>
  <si>
    <t>Time(ByteClk)-&gt;</t>
    <phoneticPr fontId="16"/>
  </si>
  <si>
    <t>Time(ns)-&gt;</t>
    <phoneticPr fontId="16"/>
  </si>
  <si>
    <t>Add G64,S64</t>
    <phoneticPr fontId="7"/>
  </si>
  <si>
    <t>2560x1600p60</t>
    <phoneticPr fontId="22"/>
  </si>
  <si>
    <t>1024x768p60</t>
    <phoneticPr fontId="22"/>
  </si>
  <si>
    <t>1280x800p60</t>
    <phoneticPr fontId="22"/>
  </si>
  <si>
    <t>1920x1200p60</t>
    <phoneticPr fontId="22"/>
  </si>
  <si>
    <t>&lt;= DSI:HS-&gt;LP-&gt;HS(short) time (ns)</t>
    <phoneticPr fontId="16"/>
  </si>
  <si>
    <t>Modify B114, M114</t>
    <phoneticPr fontId="7"/>
  </si>
  <si>
    <t>Color Bar Setting</t>
    <phoneticPr fontId="7"/>
  </si>
  <si>
    <t>CB_CTL</t>
    <phoneticPr fontId="7"/>
  </si>
  <si>
    <t>CB_HSW</t>
    <phoneticPr fontId="7"/>
  </si>
  <si>
    <t>CB_VSW</t>
    <phoneticPr fontId="7"/>
  </si>
  <si>
    <t>CB_Htotal</t>
    <phoneticPr fontId="7"/>
  </si>
  <si>
    <t>700C</t>
    <phoneticPr fontId="7"/>
  </si>
  <si>
    <t>CB_Vtotal</t>
    <phoneticPr fontId="7"/>
  </si>
  <si>
    <t>CB_Hact</t>
    <phoneticPr fontId="7"/>
  </si>
  <si>
    <t>CB_Vact</t>
    <phoneticPr fontId="7"/>
  </si>
  <si>
    <t>7012</t>
    <phoneticPr fontId="7"/>
  </si>
  <si>
    <t>CB_Hstart</t>
    <phoneticPr fontId="7"/>
  </si>
  <si>
    <t>CB_Vstart</t>
    <phoneticPr fontId="7"/>
  </si>
  <si>
    <t>0009</t>
    <phoneticPr fontId="53"/>
  </si>
  <si>
    <t>INDMdSel Reg</t>
  </si>
  <si>
    <t>LP</t>
  </si>
  <si>
    <t>Command Transmission After Video Start. HS command TX</t>
    <phoneticPr fontId="7"/>
  </si>
  <si>
    <t>Move 0x0110,0x0310 to command TX part.</t>
    <phoneticPr fontId="7"/>
  </si>
  <si>
    <t>Modiy 0x0128,0x0328 bit set part.</t>
    <phoneticPr fontId="7"/>
  </si>
  <si>
    <t>Modify CMD part of 0x8671 and 0x8675</t>
    <phoneticPr fontId="7"/>
  </si>
  <si>
    <t>Source_ColorBar</t>
    <phoneticPr fontId="7"/>
  </si>
  <si>
    <t>&lt;Embedded Color Bar Output&gt;</t>
    <phoneticPr fontId="7"/>
  </si>
  <si>
    <t xml:space="preserve">Select "Main_Parameters" sheet. </t>
    <phoneticPr fontId="7"/>
  </si>
  <si>
    <t xml:space="preserve">Fill parameters to yellow colored cells
</t>
    <phoneticPr fontId="7"/>
  </si>
  <si>
    <t>2-1</t>
    <phoneticPr fontId="7"/>
  </si>
  <si>
    <t>2-2</t>
    <phoneticPr fontId="7"/>
  </si>
  <si>
    <t>Fill Color Bar size related paramters using "HDMI Input" part.</t>
    <phoneticPr fontId="7"/>
  </si>
  <si>
    <t>2-1-1</t>
    <phoneticPr fontId="7"/>
  </si>
  <si>
    <t>HDMI input timing can be selected by cell B20. If other timings which are not listed in the cell is needed, select "Original" and fill timigns to cell C19~K19,L20,L21,M23,M24,M25.</t>
    <phoneticPr fontId="7"/>
  </si>
  <si>
    <t>Split mode is set by C42. "Half(Auto)"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"Half(Auto)" and "Manual" mode, dummy pixels can be added at the begingig and at the end of active pixel. Dummy pixel for DSI-TX0 is set by F42 and F45 and by H42 and H45 for DSI-TX1.
Pixels including dummy pixels need to be sent through DSI-TX0 and DSI-TX1 are shown in F47 and H47 each.</t>
    <phoneticPr fontId="7"/>
  </si>
  <si>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phoneticPr fontId="7"/>
  </si>
  <si>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phoneticPr fontId="7"/>
  </si>
  <si>
    <t xml:space="preserve">Change to fixed value (C60,O60)  </t>
    <phoneticPr fontId="7"/>
  </si>
  <si>
    <t xml:space="preserve">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t>
    <phoneticPr fontId="7"/>
  </si>
  <si>
    <t>Command Transmission After Video Start.</t>
    <phoneticPr fontId="7"/>
  </si>
  <si>
    <t xml:space="preserve">Command transmission to DSI-RX should be filled in "Command Transmission Before Video Start" and/or "Command Transmission After Video Start.
</t>
    <phoneticPr fontId="7"/>
  </si>
  <si>
    <t>Setting seuqnece is automatically calculated and listed in B, D, E columns at "Source_*" sheet.
C column is Command. D column is Address, E column is Data.</t>
    <phoneticPr fontId="7"/>
  </si>
  <si>
    <t>Setting seuqnece is automatically calculated and listed on B, D, E columns at "Source_ColorBar" sheet.
"EDID" part, "LP Command" part and "HS Command" part are folded.
C column is Command. D column is Address, E column is Data.</t>
    <phoneticPr fontId="7"/>
  </si>
  <si>
    <t>Select "Source_ColorBar" sheet. Fill orange colored cells if needed.</t>
    <phoneticPr fontId="7"/>
  </si>
  <si>
    <t>Color Bar size and timing can be selected by cell B20. If other timings which are not listed in the cell is needed, select "Original" and fill timigns to cell C19~K19.
For Color Bar case, maximum PCLK(C20) frequency is limited by DSI-TX0 speed. PCLK(C20) &lt;= 2* DSI-TX0 ByteClock(C82).</t>
    <phoneticPr fontId="7"/>
  </si>
  <si>
    <t xml:space="preserve">Command transmission to DSI-RX should be filled in "Command Transmission Before Video Start" and/or "Command Transmission After Video Start.
"LP" or "HS" is decided by MODE_CONFIG Register bit4. Before command transmission, please set this bit to select "LP" or "HS".
</t>
    <phoneticPr fontId="7"/>
  </si>
  <si>
    <t>v03</t>
    <phoneticPr fontId="7"/>
  </si>
  <si>
    <t>Modify Typo.</t>
    <phoneticPr fontId="7"/>
  </si>
  <si>
    <t>Add explanation of Color Bar.</t>
    <phoneticPr fontId="7"/>
  </si>
  <si>
    <t>HSYNC Pol</t>
    <phoneticPr fontId="22"/>
  </si>
  <si>
    <t>VSYNC Pol</t>
    <phoneticPr fontId="22"/>
  </si>
  <si>
    <t>Add new resolution to B20, S3~S10</t>
    <phoneticPr fontId="7"/>
  </si>
  <si>
    <t>v03</t>
    <phoneticPr fontId="7"/>
  </si>
  <si>
    <t>Add formula to support new resolution</t>
    <phoneticPr fontId="7"/>
  </si>
  <si>
    <t>ID Code Sel</t>
    <phoneticPr fontId="22"/>
  </si>
  <si>
    <t>Naitive Sel</t>
    <phoneticPr fontId="22"/>
  </si>
  <si>
    <t>Bar</t>
  </si>
  <si>
    <t>Modify formula for 0x0370</t>
    <phoneticPr fontId="7"/>
  </si>
  <si>
    <t>HDMI</t>
  </si>
  <si>
    <t>Tv05</t>
    <phoneticPr fontId="7"/>
  </si>
  <si>
    <t>v04</t>
    <phoneticPr fontId="7"/>
  </si>
  <si>
    <t>Modify calculation formula for 0x0170 and 0x0370.</t>
    <phoneticPr fontId="7"/>
  </si>
  <si>
    <t>0170(HDMI input)</t>
    <phoneticPr fontId="7"/>
  </si>
  <si>
    <t>0170(Color Bar)</t>
    <phoneticPr fontId="7"/>
  </si>
  <si>
    <t>0370(HDMI Input)</t>
    <phoneticPr fontId="7"/>
  </si>
  <si>
    <t>0370(Color Bar)</t>
    <phoneticPr fontId="7"/>
  </si>
  <si>
    <t>Use different value for 0x0170,0x0370 between HDMI input and Color Bar.</t>
    <phoneticPr fontId="7"/>
  </si>
  <si>
    <t>Mask</t>
    <phoneticPr fontId="7"/>
  </si>
  <si>
    <t>v05</t>
    <phoneticPr fontId="7"/>
  </si>
  <si>
    <t>Change reference point of 0x0170 and 0x0370.</t>
    <phoneticPr fontId="7"/>
  </si>
  <si>
    <t>Modify 0x021C,0x041C setting.</t>
    <phoneticPr fontId="7"/>
  </si>
  <si>
    <t>v02</t>
    <phoneticPr fontId="7"/>
  </si>
  <si>
    <t>WR16</t>
  </si>
  <si>
    <t>Change DDC_5V interrupt related part.</t>
    <phoneticPr fontId="7"/>
  </si>
  <si>
    <t>SYS MSK</t>
  </si>
  <si>
    <t>TC358870XBG HDMI Input Start Up sequence</t>
    <phoneticPr fontId="7"/>
  </si>
  <si>
    <t>TC358870XBG HDMI input timing check</t>
    <phoneticPr fontId="7"/>
  </si>
  <si>
    <t>TC358870XBG embedded Color Bar Sequence</t>
    <phoneticPr fontId="7"/>
  </si>
  <si>
    <t>HDMI Enb</t>
  </si>
  <si>
    <t>2560x1600 DSI 4lanex2link 30fps HDMI Input</t>
    <phoneticPr fontId="16"/>
  </si>
  <si>
    <t>INIT Int Dis</t>
  </si>
  <si>
    <t>ApErrInt Dis</t>
  </si>
  <si>
    <t>DSIPrto Inte Dis</t>
  </si>
  <si>
    <t>DSIrErr Int Dis</t>
  </si>
  <si>
    <t>DSILPTX Int Dis</t>
  </si>
  <si>
    <t>DSIrTrg Int Dis</t>
  </si>
  <si>
    <t>DSIrStat Int Dis</t>
  </si>
  <si>
    <t>Tv06</t>
    <phoneticPr fontId="7"/>
  </si>
  <si>
    <t>v06</t>
    <phoneticPr fontId="7"/>
  </si>
  <si>
    <t>Change 0x0128,0x0328 value</t>
    <phoneticPr fontId="7"/>
  </si>
  <si>
    <t>Change to fixed value for 0x0128,0x0328&lt;bit1&gt;</t>
    <phoneticPr fontId="7"/>
  </si>
  <si>
    <t>v03</t>
    <phoneticPr fontId="7"/>
  </si>
  <si>
    <t>v03</t>
    <phoneticPr fontId="7"/>
  </si>
  <si>
    <t>DDC5V Det</t>
  </si>
  <si>
    <t>Change 0x8410 value</t>
    <phoneticPr fontId="7"/>
  </si>
  <si>
    <t>Source_CabCnct</t>
    <phoneticPr fontId="7"/>
  </si>
  <si>
    <t>v01</t>
    <phoneticPr fontId="7"/>
  </si>
  <si>
    <t>1st Edition</t>
  </si>
  <si>
    <t>TC358870XBG has a function to read inputted HDMI timing.</t>
    <phoneticPr fontId="7"/>
  </si>
  <si>
    <t>"Source_HDMITimChk" sheet is used for this function.</t>
    <phoneticPr fontId="7"/>
  </si>
  <si>
    <t>2-1</t>
    <phoneticPr fontId="7"/>
  </si>
  <si>
    <t>Select "Source_HDMITimChk" sheet.</t>
    <phoneticPr fontId="7"/>
  </si>
  <si>
    <t>Execute sequnece listed in the sheet.</t>
    <phoneticPr fontId="7"/>
  </si>
  <si>
    <t>2-2</t>
    <phoneticPr fontId="7"/>
  </si>
  <si>
    <t>2-4</t>
    <phoneticPr fontId="7"/>
  </si>
  <si>
    <t>Fill read out value by the sequence to yellow colored cells.</t>
    <phoneticPr fontId="7"/>
  </si>
  <si>
    <t>2-5</t>
    <phoneticPr fontId="7"/>
  </si>
  <si>
    <t>HDMI signal timing inputted to TC358770XBG will be shown in H column.</t>
    <phoneticPr fontId="7"/>
  </si>
  <si>
    <t>&lt;Read HDMI Timing&gt;</t>
    <phoneticPr fontId="7"/>
  </si>
  <si>
    <t>v04</t>
    <phoneticPr fontId="7"/>
  </si>
  <si>
    <t>Add explanation of "Source_HDMITimChk" sheet.</t>
    <phoneticPr fontId="7"/>
  </si>
  <si>
    <t>2560x1600p60Hz (76)</t>
  </si>
  <si>
    <t>VI_STATUS1</t>
    <phoneticPr fontId="7"/>
  </si>
  <si>
    <t>VSYNC Polarity</t>
    <phoneticPr fontId="7"/>
  </si>
  <si>
    <t>HSYNC Polarity</t>
    <phoneticPr fontId="7"/>
  </si>
  <si>
    <t>v02</t>
    <phoneticPr fontId="7"/>
  </si>
  <si>
    <t>VI_STATUS1[5:4]</t>
    <phoneticPr fontId="53"/>
  </si>
  <si>
    <t>REM</t>
    <phoneticPr fontId="7"/>
  </si>
  <si>
    <t>HDMI Input Video Timing Check (VSYNC,HSYNC Porarity)</t>
    <phoneticPr fontId="7"/>
  </si>
  <si>
    <t>v07</t>
    <phoneticPr fontId="7"/>
  </si>
  <si>
    <t>Tv07</t>
    <phoneticPr fontId="7"/>
  </si>
  <si>
    <t>v07</t>
    <phoneticPr fontId="7"/>
  </si>
  <si>
    <t>Delete 0x5008,0x5088 setting</t>
    <phoneticPr fontId="7"/>
  </si>
  <si>
    <t>v02</t>
    <phoneticPr fontId="7"/>
  </si>
  <si>
    <t>Add HDMI VSYNC,HSYNC polarity status</t>
    <phoneticPr fontId="7"/>
  </si>
  <si>
    <t>Signal Source</t>
    <phoneticPr fontId="7"/>
  </si>
  <si>
    <t>v05</t>
    <phoneticPr fontId="16"/>
  </si>
  <si>
    <t>v05</t>
    <phoneticPr fontId="7"/>
  </si>
  <si>
    <t>Move Signal Source input cell and color bar kind input cell position.</t>
    <phoneticPr fontId="7"/>
  </si>
  <si>
    <t>Delete M25</t>
    <phoneticPr fontId="7"/>
  </si>
  <si>
    <t>Select DSI output source by C29. Select "HDMI".</t>
    <phoneticPr fontId="7"/>
  </si>
  <si>
    <t>v05</t>
    <phoneticPr fontId="7"/>
  </si>
  <si>
    <t>Select DSI output source by C29. Select "Color Bar". Color Bar mode can be set by D29.</t>
    <phoneticPr fontId="7"/>
  </si>
  <si>
    <t>v05</t>
    <phoneticPr fontId="7"/>
  </si>
  <si>
    <t>Add conditonal cell color change to M23,M24.</t>
    <phoneticPr fontId="7"/>
  </si>
  <si>
    <t>TC358870XBG HDMI Cable connect/disconnect handling</t>
    <phoneticPr fontId="7"/>
  </si>
  <si>
    <t>Title</t>
    <phoneticPr fontId="7"/>
  </si>
  <si>
    <t>Command Description   WR8:8bit Write,  WR16:16bit Write,  WR32:32bit Write, RD8:8bit Read,  RD16:16bit Read,  RD32:32bit Read</t>
    <phoneticPr fontId="7"/>
  </si>
  <si>
    <t>TOSHIBA Confidential</t>
    <phoneticPr fontId="7"/>
  </si>
  <si>
    <t xml:space="preserve">Command Description   delay:Wait (unit is "us"), REM/REMnd: Remark. For delay command, Wait value must be written into address column. </t>
    <phoneticPr fontId="7"/>
  </si>
  <si>
    <t>Conditional WR</t>
    <phoneticPr fontId="53"/>
  </si>
  <si>
    <t>Interrupt Routine for HDMI cable connect/disconnect detection</t>
    <phoneticPr fontId="7"/>
  </si>
  <si>
    <t>CMD</t>
    <phoneticPr fontId="7"/>
  </si>
  <si>
    <t>Data</t>
    <phoneticPr fontId="7"/>
  </si>
  <si>
    <t>Comment</t>
    <phoneticPr fontId="7"/>
  </si>
  <si>
    <t>REM</t>
    <phoneticPr fontId="53"/>
  </si>
  <si>
    <t>Interrupt Routine  Start  (When  interrupt occurs)</t>
    <phoneticPr fontId="53"/>
  </si>
  <si>
    <t>RD16</t>
    <phoneticPr fontId="7"/>
  </si>
  <si>
    <t>IntStatus</t>
    <phoneticPr fontId="7"/>
  </si>
  <si>
    <t>0014</t>
    <phoneticPr fontId="7"/>
  </si>
  <si>
    <t>Check bit9 (HDMI-RX interrupt). If bit9=1 then execute next step.
If not, go to "Clear Interrupt"</t>
    <phoneticPr fontId="53"/>
  </si>
  <si>
    <t>RD8</t>
    <phoneticPr fontId="7"/>
  </si>
  <si>
    <t>SYS_INT</t>
    <phoneticPr fontId="7"/>
  </si>
  <si>
    <t>8502</t>
    <phoneticPr fontId="7"/>
  </si>
  <si>
    <t>Check bit0 or 1(TMDS or DDC interrupt). If bit1 or bit0=1 then execute next step.
If not, go to "Clear Interrupt".</t>
    <phoneticPr fontId="53"/>
  </si>
  <si>
    <t>RD8</t>
    <phoneticPr fontId="53"/>
  </si>
  <si>
    <t>SYS_STATUS</t>
    <phoneticPr fontId="53"/>
  </si>
  <si>
    <t>8520</t>
    <phoneticPr fontId="53"/>
  </si>
  <si>
    <t>Check bit1 or bit0 (Status of TMDS or 5V). If bit1 or bit0=0 then execute next step.
If not, go to "Clear Interrupt"</t>
    <phoneticPr fontId="53"/>
  </si>
  <si>
    <t>Stop LCD display. Reset LCD if needed</t>
    <phoneticPr fontId="53"/>
  </si>
  <si>
    <t>Assert hardware reset (RESETN)</t>
    <phoneticPr fontId="53"/>
  </si>
  <si>
    <t>Return from Interrupt Routine</t>
    <phoneticPr fontId="53"/>
  </si>
  <si>
    <t>Execute "Source_Startup" sequence again</t>
    <phoneticPr fontId="53"/>
  </si>
  <si>
    <t>Clear Interrupt</t>
    <phoneticPr fontId="53"/>
  </si>
  <si>
    <t>WR8</t>
    <phoneticPr fontId="53"/>
  </si>
  <si>
    <t>FF</t>
    <phoneticPr fontId="53"/>
  </si>
  <si>
    <t>Celar all HDMI-RX Interrupt</t>
    <phoneticPr fontId="53"/>
  </si>
  <si>
    <t>WR16</t>
    <phoneticPr fontId="53"/>
  </si>
  <si>
    <t>0FBF</t>
    <phoneticPr fontId="53"/>
  </si>
  <si>
    <t>Clear all Interrupt</t>
    <phoneticPr fontId="53"/>
  </si>
  <si>
    <t>END</t>
    <phoneticPr fontId="7"/>
  </si>
  <si>
    <t>v02</t>
    <phoneticPr fontId="7"/>
  </si>
  <si>
    <t>Add sequence. Add flow chart</t>
    <phoneticPr fontId="7"/>
  </si>
  <si>
    <t>40</t>
    <phoneticPr fontId="7"/>
  </si>
  <si>
    <t>07</t>
    <phoneticPr fontId="53"/>
  </si>
  <si>
    <t>98</t>
    <phoneticPr fontId="7"/>
  </si>
  <si>
    <t>08</t>
    <phoneticPr fontId="7"/>
  </si>
  <si>
    <t>C1</t>
    <phoneticPr fontId="7"/>
  </si>
  <si>
    <t>80</t>
    <phoneticPr fontId="7"/>
  </si>
  <si>
    <t>07</t>
    <phoneticPr fontId="7"/>
  </si>
  <si>
    <t>CA</t>
    <phoneticPr fontId="7"/>
  </si>
  <si>
    <t>2A</t>
    <phoneticPr fontId="7"/>
  </si>
  <si>
    <t>38</t>
    <phoneticPr fontId="7"/>
  </si>
  <si>
    <t>04</t>
    <phoneticPr fontId="7"/>
  </si>
  <si>
    <t>8526</t>
    <phoneticPr fontId="7"/>
  </si>
  <si>
    <t>08</t>
    <phoneticPr fontId="53"/>
  </si>
  <si>
    <t>Modify cell number related with Signal Soure setting.</t>
    <phoneticPr fontId="7"/>
  </si>
  <si>
    <t>// Software Reset</t>
  </si>
  <si>
    <t>i2c1_h2d_write16(0x0004,0x0004); // ConfCtl0</t>
  </si>
  <si>
    <t>i2c1_h2d_write16(0x0002,0x3F01); // SysCtl</t>
  </si>
  <si>
    <t>i2c1_h2d_write16(0x0002,0x0000); // SysCtl</t>
  </si>
  <si>
    <t>i2c1_h2d_write16(0x0006,0x0008); // ConfCtl1</t>
  </si>
  <si>
    <t>// DSI-TX0 Transition Timing</t>
  </si>
  <si>
    <t>i2c1_h2d_write32(0x0108,0x00000001); // DSI_TX_CLKEN</t>
  </si>
  <si>
    <t>i2c1_h2d_write32(0x010C,0x00000001); // DSI_TX_CLKSEL</t>
  </si>
  <si>
    <t>i2c1_h2d_write32(0x02A0,0x00000001); // MIPI_PLL_CONTROL</t>
  </si>
  <si>
    <t>i2c1_h2d_write32(0x02AC,0x000090BD); // MIPI_PLL_CNF</t>
  </si>
  <si>
    <t>Waitx1us();</t>
  </si>
  <si>
    <t>i2c1_h2d_write32(0x02A0,0x00000003); // MIPI_PLL_CONTROL</t>
  </si>
  <si>
    <t>i2c1_h2d_write32(0x0118,0x00000014); // LANE_ENABLE</t>
  </si>
  <si>
    <t>i2c1_h2d_write32(0x0120,0x00001770); // LINE_INIT_COUNT</t>
  </si>
  <si>
    <t>i2c1_h2d_write32(0x0124,0x00000000); // HSTX_TO_COUNT</t>
  </si>
  <si>
    <t>i2c1_h2d_write32(0x0128,0x00000101); // FUNC_ENABLE</t>
  </si>
  <si>
    <t>i2c1_h2d_write32(0x0130,0x00010000); // DSI_TATO_COUNT</t>
  </si>
  <si>
    <t>i2c1_h2d_write32(0x0134,0x00005000); // DSI_PRESP_BTA_COUNT</t>
  </si>
  <si>
    <t>i2c1_h2d_write32(0x0138,0x00010000); // DSI_PRESP_LPR_COUNT</t>
  </si>
  <si>
    <t>i2c1_h2d_write32(0x013C,0x00010000); // DSI_PRESP_LPW_COUNT</t>
  </si>
  <si>
    <t>i2c1_h2d_write32(0x0140,0x00010000); // DSI_PRESP_HSR_COUNT</t>
  </si>
  <si>
    <t>i2c1_h2d_write32(0x0144,0x00010000); // DSI_PRESP_HSW_COUNT</t>
  </si>
  <si>
    <t>i2c1_h2d_write32(0x0148,0x00001000); // DSI_PR_TO_COUNT</t>
  </si>
  <si>
    <t>i2c1_h2d_write32(0x014C,0x00010000); // DSI_LRX-H_TO_COUNT</t>
  </si>
  <si>
    <t>i2c1_h2d_write32(0x0150,0x00000160); // FUNC_MODE</t>
  </si>
  <si>
    <t>i2c1_h2d_write32(0x0154,0x00000001); // DSI_RX_VC_ENABLE</t>
  </si>
  <si>
    <t>i2c1_h2d_write32(0x0158,0x000000C8); // IND_TO_COUNT</t>
  </si>
  <si>
    <t>i2c1_h2d_write32(0x0168,0x0000002A); // DSI_HSYNC_STOP_COUNT</t>
  </si>
  <si>
    <t>i2c1_h2d_write32(0x0170,0x00000677); // APF_VDELAYCNT</t>
  </si>
  <si>
    <t>i2c1_h2d_write32(0x017C,0x00000081); // DSI_TX_MODE</t>
  </si>
  <si>
    <t>i2c1_h2d_write32(0x018C,0x00000001); // DSI_HSYNC_WIDTH</t>
  </si>
  <si>
    <t>i2c1_h2d_write32(0x0190,0x00000104); // DSI_HBPR</t>
  </si>
  <si>
    <t>i2c1_h2d_write32(0x01A4,0x00000000); // DSI_RX_STATE_INT_MASK</t>
  </si>
  <si>
    <t>i2c1_h2d_write32(0x01C0,0x00000015); // DSI_LPRX_THRESH_COUNT</t>
  </si>
  <si>
    <t>i2c1_h2d_write32(0x0214,0x00000000); // APP_SIDE_ERR_INT_MASK</t>
  </si>
  <si>
    <t>i2c1_h2d_write32(0x021C,0x00000080); // DSI_RX_ERR_INT_MASK</t>
  </si>
  <si>
    <t>i2c1_h2d_write32(0x0224,0x00000000); // DSI_LPTX_INT_MASK</t>
  </si>
  <si>
    <t>i2c1_h2d_write32(0x0254,0x00000006); // LPTXTIMECNT</t>
  </si>
  <si>
    <t>i2c1_h2d_write32(0x0258,0x00240204); // TCLK_HEADERCNT</t>
  </si>
  <si>
    <t>i2c1_h2d_write32(0x025C,0x000D0008); // TCLK_TRAILCNT</t>
  </si>
  <si>
    <t>i2c1_h2d_write32(0x0260,0x00140006); // THS_HEADERCNT</t>
  </si>
  <si>
    <t>i2c1_h2d_write32(0x0264,0x00004268); // TWAKEUPCNT</t>
  </si>
  <si>
    <t>i2c1_h2d_write32(0x0268,0x0000000F); // TCLK_POSTCNT</t>
  </si>
  <si>
    <t>i2c1_h2d_write32(0x026C,0x000D0008); // THS_TRAILCNT</t>
  </si>
  <si>
    <t>i2c1_h2d_write32(0x0270,0x00000020); // HSTXVREGCNT</t>
  </si>
  <si>
    <t>i2c1_h2d_write32(0x0274,0x0000001F); // HSTXVREGEN</t>
  </si>
  <si>
    <t>i2c1_h2d_write32(0x0278,0x00060005); // BTA_COUNT</t>
  </si>
  <si>
    <t>i2c1_h2d_write32(0x027C,0x00000002); // DPHY_TX ADJUST</t>
  </si>
  <si>
    <t>i2c1_h2d_write32(0x011C,0x00000001); // DSITX_START</t>
  </si>
  <si>
    <t>// DSI-TX1 Transition Timing</t>
  </si>
  <si>
    <t>i2c1_h2d_write32(0x0308,0x00000001); // DSI_TX_CLKEN</t>
  </si>
  <si>
    <t>i2c1_h2d_write32(0x030C,0x00000001); // DSI_TX_CLKSEL</t>
  </si>
  <si>
    <t>i2c1_h2d_write32(0x04A0,0x00000001); // MIPI_PLL_CONTROL</t>
  </si>
  <si>
    <t>i2c1_h2d_write32(0x04AC,0x000090BD); // MIPI_PLL_CNF</t>
  </si>
  <si>
    <t>i2c1_h2d_write32(0x04A0,0x00000003); // MIPI_PLL_CONTROL</t>
  </si>
  <si>
    <t>i2c1_h2d_write32(0x0318,0x00000014); // LANE_ENABLE</t>
  </si>
  <si>
    <t>i2c1_h2d_write32(0x0320,0x00001770); // LINE_INIT_COUNT</t>
  </si>
  <si>
    <t>i2c1_h2d_write32(0x0324,0x00000000); // HSTX_TO_COUNT</t>
  </si>
  <si>
    <t>i2c1_h2d_write32(0x0328,0x00000101); // FUNC_ENABLE</t>
  </si>
  <si>
    <t>i2c1_h2d_write32(0x0330,0x00010000); // DSI_TATO_COUNT</t>
  </si>
  <si>
    <t>i2c1_h2d_write32(0x0334,0x00005000); // DSI_PRESP_BTA_COUNT</t>
  </si>
  <si>
    <t>i2c1_h2d_write32(0x0338,0x00010000); // DSI_PRESP_LPR_COUNT</t>
  </si>
  <si>
    <t>i2c1_h2d_write32(0x033C,0x00010000); // DSI_PRESP_LPW_COUNT</t>
  </si>
  <si>
    <t>i2c1_h2d_write32(0x0340,0x00010000); // DSI_PRESP_HSR_COUNT</t>
  </si>
  <si>
    <t>i2c1_h2d_write32(0x0344,0x00010000); // DSI_PRESP_HSW_COUNT</t>
  </si>
  <si>
    <t>i2c1_h2d_write32(0x0348,0x00001000); // DSI_PR_TO_COUNT</t>
  </si>
  <si>
    <t>i2c1_h2d_write32(0x034C,0x00010000); // DSI_LRX-H_TO_COUNT</t>
  </si>
  <si>
    <t>i2c1_h2d_write32(0x0350,0x00000160); // FUNC_MODE</t>
  </si>
  <si>
    <t>i2c1_h2d_write32(0x0354,0x00000001); // DSI_RX_VC_ENABLE</t>
  </si>
  <si>
    <t>i2c1_h2d_write32(0x0358,0x000000C8); // IND_TO_COUNT</t>
  </si>
  <si>
    <t>i2c1_h2d_write32(0x0368,0x0000002A); // DSI_HSYNC_STOP_COUNT</t>
  </si>
  <si>
    <t>i2c1_h2d_write32(0x0370,0x00000677); // APF_VDELAYCNT</t>
  </si>
  <si>
    <t>i2c1_h2d_write32(0x037C,0x00000081); // DSI_TX_MODE</t>
  </si>
  <si>
    <t>i2c1_h2d_write32(0x038C,0x00000001); // DSI_HSYNC_WIDTH</t>
  </si>
  <si>
    <t>i2c1_h2d_write32(0x0390,0x00000104); // DSI_HBPR</t>
  </si>
  <si>
    <t>i2c1_h2d_write32(0x03A4,0x00000000); // DSI_RX_STATE_INT_MASK</t>
  </si>
  <si>
    <t>i2c1_h2d_write32(0x03C0,0x00000015); // DSI_LPRX_THRESH_COUNT</t>
  </si>
  <si>
    <t>i2c1_h2d_write32(0x0414,0x00000000); // APP_SIDE_ERR_INT_MASK</t>
  </si>
  <si>
    <t>i2c1_h2d_write32(0x041C,0x00000080); // DSI_RX_ERR_INT_MASK</t>
  </si>
  <si>
    <t>i2c1_h2d_write32(0x0424,0x00000000); // DSI_LPTX_INT_MASK</t>
  </si>
  <si>
    <t>i2c1_h2d_write32(0x0454,0x00000006); // LPTXTIMECNT</t>
  </si>
  <si>
    <t>i2c1_h2d_write32(0x0458,0x00240204); // TCLK_HEADERCNT</t>
  </si>
  <si>
    <t>i2c1_h2d_write32(0x045C,0x000D0008); // TCLK_TRAILCNT</t>
  </si>
  <si>
    <t>i2c1_h2d_write32(0x0460,0x00140006); // THS_HEADERCNT</t>
  </si>
  <si>
    <t>i2c1_h2d_write32(0x0464,0x00004268); // TWAKEUPCNT</t>
  </si>
  <si>
    <t>i2c1_h2d_write32(0x0468,0x0000000F); // TCLK_POSTCNT</t>
  </si>
  <si>
    <t>i2c1_h2d_write32(0x046C,0x000D0008); // THS_TRAILCNT</t>
  </si>
  <si>
    <t>i2c1_h2d_write32(0x0470,0x00000020); // HSTXVREGCNT</t>
  </si>
  <si>
    <t>i2c1_h2d_write32(0x0474,0x0000001F); // HSTXVREGEN</t>
  </si>
  <si>
    <t>i2c1_h2d_write32(0x0478,0x00060005); // BTA_COUNT</t>
  </si>
  <si>
    <t>i2c1_h2d_write32(0x047C,0x00000002); // DPHY_TX ADJUST</t>
  </si>
  <si>
    <t>i2c1_h2d_write32(0x031C,0x00000001); // DSITX_START</t>
  </si>
  <si>
    <t>// Command Transmission Before Video Start</t>
  </si>
  <si>
    <t>i2c1_h2d_write32(0x0110,0x00000016); // MODE_CONFIG</t>
  </si>
  <si>
    <t>i2c1_h2d_write32(0x0310,0x00000016); // MODE_CONFIG</t>
  </si>
  <si>
    <t>// LCD Initialization</t>
  </si>
  <si>
    <t>i2c1_h2d_write16(0x0500,0x0004); // CMD_SEL</t>
  </si>
  <si>
    <t>// Soft Reset</t>
  </si>
  <si>
    <t>i2c1_h2d_write16(0x0504,0x0005); // DCSCMD_Q</t>
  </si>
  <si>
    <t>i2c1_h2d_write16(0x0504,0x0001); // DCSCMD_Q</t>
  </si>
  <si>
    <t>// Set Pixel Format</t>
  </si>
  <si>
    <t>i2c1_h2d_write16(0x0504,0x0015); // DCSCMD_Q</t>
  </si>
  <si>
    <t>i2c1_h2d_write16(0x0504,0x773A); // DCSCMD_Q</t>
  </si>
  <si>
    <t>// Set Column Address</t>
  </si>
  <si>
    <t>i2c1_h2d_write16(0x0504,0x8039); // DCSCMD_Q</t>
  </si>
  <si>
    <t>i2c1_h2d_write16(0x0504,0x002A); // DCSCMD_Q</t>
  </si>
  <si>
    <t>i2c1_h2d_write16(0x0504,0x0400); // DCSCMD_Q</t>
  </si>
  <si>
    <t>i2c1_h2d_write16(0x0504,0x00FF); // DCSCMD_Q</t>
  </si>
  <si>
    <t>// Set Page Address</t>
  </si>
  <si>
    <t>i2c1_h2d_write16(0x0504,0x002B); // DCSCMD_Q</t>
  </si>
  <si>
    <t>i2c1_h2d_write16(0x0504,0x0600); // DCSCMD_Q</t>
  </si>
  <si>
    <t>i2c1_h2d_write16(0x0504,0x003F); // DCSCMD_Q</t>
  </si>
  <si>
    <t>// Set Tear On</t>
  </si>
  <si>
    <t>i2c1_h2d_write16(0x0504,0x0035); // DCSCMD_Q</t>
  </si>
  <si>
    <t>// Set Tear Scanline</t>
  </si>
  <si>
    <t>i2c1_h2d_write16(0x0504,0x0003); // DCSCMD_Q</t>
  </si>
  <si>
    <t>i2c1_h2d_write16(0x0504,0x0044); // DCSCMD_Q</t>
  </si>
  <si>
    <t>i2c1_h2d_write16(0x0504,0x0000); // DCSCMD_Q</t>
  </si>
  <si>
    <t>// Write Display Brightness</t>
  </si>
  <si>
    <t>i2c1_h2d_write16(0x0504,0xFF51); // DCSCMD_Q</t>
  </si>
  <si>
    <t>// Write Control Display</t>
  </si>
  <si>
    <t>i2c1_h2d_write16(0x0504,0x2453); // DCSCMD_Q</t>
  </si>
  <si>
    <t>// Adaptive Brightness Control</t>
  </si>
  <si>
    <t>i2c1_h2d_write16(0x0504,0x0155); // DCSCMD_Q</t>
  </si>
  <si>
    <t>// Exit Sleep</t>
  </si>
  <si>
    <t>i2c1_h2d_write16(0x0504,0x0011); // DCSCMD_Q</t>
  </si>
  <si>
    <t>// MCAP</t>
  </si>
  <si>
    <t>i2c1_h2d_write16(0x0504,0x0023); // DCSCMD_Q</t>
  </si>
  <si>
    <t>i2c1_h2d_write16(0x0504,0x00B0); // DCSCMD_Q</t>
  </si>
  <si>
    <t>// Backlight Control 4</t>
  </si>
  <si>
    <t>i2c1_h2d_write16(0x0504,0x8029); // DCSCMD_Q</t>
  </si>
  <si>
    <t>i2c1_h2d_write16(0x0504,0x0014); // DCSCMD_Q</t>
  </si>
  <si>
    <t>i2c1_h2d_write16(0x0504,0x7DCE); // DCSCMD_Q</t>
  </si>
  <si>
    <t>i2c1_h2d_write16(0x0504,0x4840); // DCSCMD_Q</t>
  </si>
  <si>
    <t>i2c1_h2d_write16(0x0504,0x6756); // DCSCMD_Q</t>
  </si>
  <si>
    <t>i2c1_h2d_write16(0x0504,0x8878); // DCSCMD_Q</t>
  </si>
  <si>
    <t>i2c1_h2d_write16(0x0504,0xA798); // DCSCMD_Q</t>
  </si>
  <si>
    <t>i2c1_h2d_write16(0x0504,0xC3B5); // DCSCMD_Q</t>
  </si>
  <si>
    <t>i2c1_h2d_write16(0x0504,0xDED1); // DCSCMD_Q</t>
  </si>
  <si>
    <t>i2c1_h2d_write16(0x0504,0xF2E9); // DCSCMD_Q</t>
  </si>
  <si>
    <t>i2c1_h2d_write16(0x0504,0xFFFA); // DCSCMD_Q</t>
  </si>
  <si>
    <t>i2c1_h2d_write16(0x0504,0x0004); // DCSCMD_Q</t>
  </si>
  <si>
    <t>// Split Control</t>
  </si>
  <si>
    <t>i2c1_h2d_write16(0x5000,0x0100); // STX0_CTL</t>
  </si>
  <si>
    <t>i2c1_h2d_write16(0x500C,0x8000); // STX0_FPX</t>
  </si>
  <si>
    <t>i2c1_h2d_write16(0x5080,0x0100); // STX1_CTL</t>
  </si>
  <si>
    <t>// HDMI PHY</t>
  </si>
  <si>
    <t>i2c1_h2d_write8(0x8410,0x03); // PHY CTL</t>
  </si>
  <si>
    <t>i2c1_h2d_write8(0x8413,0x3F); // PHY_ENB</t>
  </si>
  <si>
    <t>i2c1_h2d_write8(0x84F0,0x31); // APLL_CTL</t>
  </si>
  <si>
    <t>i2c1_h2d_write8(0x84F4,0x01); // DDCIO_CTL</t>
  </si>
  <si>
    <t>// HDMI Clock</t>
  </si>
  <si>
    <t>i2c1_h2d_write16(0x8540,0x12C0); // SYS_FREQ0_1</t>
  </si>
  <si>
    <t>i2c1_h2d_write8(0x8630,0x00); // LOCKDET_FREQ0</t>
  </si>
  <si>
    <t>i2c1_h2d_write16(0x8631,0x0753); // LOCKDET_REF1_2</t>
  </si>
  <si>
    <t>i2c1_h2d_write8(0x8670,0x02); // NCO_F0_MOD</t>
  </si>
  <si>
    <t>i2c1_h2d_write16(0x8A0C,0x12C0); // CSC_SCLK0_1</t>
  </si>
  <si>
    <t>// HDMI Interrupt Mask, Clear</t>
  </si>
  <si>
    <t>i2c1_h2d_write8(0x8502,0xFF); // SYS_INT</t>
  </si>
  <si>
    <t>i2c1_h2d_write8(0x8512,0xFE); // SYS_INTM</t>
  </si>
  <si>
    <t>// Interrupt Control (TOP level)</t>
  </si>
  <si>
    <t>i2c1_h2d_write16(0x0014,0x0FBF); // IntStatus</t>
  </si>
  <si>
    <t>i2c1_h2d_write16(0x0016,0x0DBF); // IntMask</t>
  </si>
  <si>
    <t>// EDID</t>
  </si>
  <si>
    <t>i2c1_h2d_write8(0x85E0,0x01); // EDID_MODE</t>
  </si>
  <si>
    <t>i2c1_h2d_write16(0x85E3,0x0100); // EDID_LEN1_2</t>
  </si>
  <si>
    <t>// EDID Data</t>
  </si>
  <si>
    <t>i2c1_h2d_write8(0x8C00,0x00); // EDID_RAM</t>
  </si>
  <si>
    <t>i2c1_h2d_write8(0x8C01,0xFF); // EDID_RAM</t>
  </si>
  <si>
    <t>i2c1_h2d_write8(0x8C02,0xFF); // EDID_RAM</t>
  </si>
  <si>
    <t>i2c1_h2d_write8(0x8C03,0xFF); // EDID_RAM</t>
  </si>
  <si>
    <t>i2c1_h2d_write8(0x8C04,0xFF); // EDID_RAM</t>
  </si>
  <si>
    <t>i2c1_h2d_write8(0x8C05,0xFF); // EDID_RAM</t>
  </si>
  <si>
    <t>i2c1_h2d_write8(0x8C06,0xFF); // EDID_RAM</t>
  </si>
  <si>
    <t>i2c1_h2d_write8(0x8C07,0x00); // EDID_RAM</t>
  </si>
  <si>
    <t>i2c1_h2d_write8(0x8C08,0x52); // EDID_RAM</t>
  </si>
  <si>
    <t>i2c1_h2d_write8(0x8C09,0x62); // EDID_RAM</t>
  </si>
  <si>
    <t>i2c1_h2d_write8(0x8C0A,0x88); // EDID_RAM</t>
  </si>
  <si>
    <t>i2c1_h2d_write8(0x8C0B,0x88); // EDID_RAM</t>
  </si>
  <si>
    <t>i2c1_h2d_write8(0x8C0C,0x00); // EDID_RAM</t>
  </si>
  <si>
    <t>i2c1_h2d_write8(0x8C0D,0x88); // EDID_RAM</t>
  </si>
  <si>
    <t>i2c1_h2d_write8(0x8C0E,0x88); // EDID_RAM</t>
  </si>
  <si>
    <t>i2c1_h2d_write8(0x8C0F,0x88); // EDID_RAM</t>
  </si>
  <si>
    <t>i2c1_h2d_write8(0x8C10,0x1C); // EDID_RAM</t>
  </si>
  <si>
    <t>i2c1_h2d_write8(0x8C11,0x15); // EDID_RAM</t>
  </si>
  <si>
    <t>i2c1_h2d_write8(0x8C12,0x01); // EDID_RAM</t>
  </si>
  <si>
    <t>i2c1_h2d_write8(0x8C13,0x03); // EDID_RAM</t>
  </si>
  <si>
    <t>i2c1_h2d_write8(0x8C14,0x80); // EDID_RAM</t>
  </si>
  <si>
    <t>i2c1_h2d_write8(0x8C15,0x00); // EDID_RAM</t>
  </si>
  <si>
    <t>i2c1_h2d_write8(0x8C16,0x00); // EDID_RAM</t>
  </si>
  <si>
    <t>i2c1_h2d_write8(0x8C17,0x78); // EDID_RAM</t>
  </si>
  <si>
    <t>i2c1_h2d_write8(0x8C18,0x0A); // EDID_RAM</t>
  </si>
  <si>
    <t>i2c1_h2d_write8(0x8C19,0x0D); // EDID_RAM</t>
  </si>
  <si>
    <t>i2c1_h2d_write8(0x8C1A,0xC9); // EDID_RAM</t>
  </si>
  <si>
    <t>i2c1_h2d_write8(0x8C1B,0xA0); // EDID_RAM</t>
  </si>
  <si>
    <t>i2c1_h2d_write8(0x8C1C,0x57); // EDID_RAM</t>
  </si>
  <si>
    <t>i2c1_h2d_write8(0x8C1D,0x47); // EDID_RAM</t>
  </si>
  <si>
    <t>i2c1_h2d_write8(0x8C1E,0x98); // EDID_RAM</t>
  </si>
  <si>
    <t>i2c1_h2d_write8(0x8C1F,0x27); // EDID_RAM</t>
  </si>
  <si>
    <t>i2c1_h2d_write8(0x8C20,0x12); // EDID_RAM</t>
  </si>
  <si>
    <t>i2c1_h2d_write8(0x8C21,0x48); // EDID_RAM</t>
  </si>
  <si>
    <t>i2c1_h2d_write8(0x8C22,0x4C); // EDID_RAM</t>
  </si>
  <si>
    <t>i2c1_h2d_write8(0x8C23,0x00); // EDID_RAM</t>
  </si>
  <si>
    <t>i2c1_h2d_write8(0x8C24,0x00); // EDID_RAM</t>
  </si>
  <si>
    <t>i2c1_h2d_write8(0x8C25,0x00); // EDID_RAM</t>
  </si>
  <si>
    <t>i2c1_h2d_write8(0x8C26,0x01); // EDID_RAM</t>
  </si>
  <si>
    <t>i2c1_h2d_write8(0x8C27,0x01); // EDID_RAM</t>
  </si>
  <si>
    <t>i2c1_h2d_write8(0x8C28,0x01); // EDID_RAM</t>
  </si>
  <si>
    <t>i2c1_h2d_write8(0x8C29,0x01); // EDID_RAM</t>
  </si>
  <si>
    <t>i2c1_h2d_write8(0x8C2A,0x01); // EDID_RAM</t>
  </si>
  <si>
    <t>i2c1_h2d_write8(0x8C2B,0x01); // EDID_RAM</t>
  </si>
  <si>
    <t>i2c1_h2d_write8(0x8C2C,0x01); // EDID_RAM</t>
  </si>
  <si>
    <t>i2c1_h2d_write8(0x8C2D,0x01); // EDID_RAM</t>
  </si>
  <si>
    <t>i2c1_h2d_write8(0x8C2E,0x01); // EDID_RAM</t>
  </si>
  <si>
    <t>i2c1_h2d_write8(0x8C2F,0x01); // EDID_RAM</t>
  </si>
  <si>
    <t>i2c1_h2d_write8(0x8C30,0x01); // EDID_RAM</t>
  </si>
  <si>
    <t>i2c1_h2d_write8(0x8C31,0x01); // EDID_RAM</t>
  </si>
  <si>
    <t>i2c1_h2d_write8(0x8C32,0x01); // EDID_RAM</t>
  </si>
  <si>
    <t>i2c1_h2d_write8(0x8C33,0x01); // EDID_RAM</t>
  </si>
  <si>
    <t>i2c1_h2d_write8(0x8C34,0x01); // EDID_RAM</t>
  </si>
  <si>
    <t>i2c1_h2d_write8(0x8C35,0x01); // EDID_RAM</t>
  </si>
  <si>
    <t>i2c1_h2d_write8(0x8C36,0xEC); // EDID_RAM</t>
  </si>
  <si>
    <t>i2c1_h2d_write8(0x8C37,0x68); // EDID_RAM</t>
  </si>
  <si>
    <t>i2c1_h2d_write8(0x8C38,0x00); // EDID_RAM</t>
  </si>
  <si>
    <t>i2c1_h2d_write8(0x8C39,0xA0); // EDID_RAM</t>
  </si>
  <si>
    <t>i2c1_h2d_write8(0x8C3A,0xA0); // EDID_RAM</t>
  </si>
  <si>
    <t>i2c1_h2d_write8(0x8C3B,0x40); // EDID_RAM</t>
  </si>
  <si>
    <t>i2c1_h2d_write8(0x8C3C,0x2E); // EDID_RAM</t>
  </si>
  <si>
    <t>i2c1_h2d_write8(0x8C3D,0x60); // EDID_RAM</t>
  </si>
  <si>
    <t>i2c1_h2d_write8(0x8C3E,0x30); // EDID_RAM</t>
  </si>
  <si>
    <t>i2c1_h2d_write8(0x8C3F,0x20); // EDID_RAM</t>
  </si>
  <si>
    <t>i2c1_h2d_write8(0x8C40,0x36); // EDID_RAM</t>
  </si>
  <si>
    <t>i2c1_h2d_write8(0x8C41,0x00); // EDID_RAM</t>
  </si>
  <si>
    <t>i2c1_h2d_write8(0x8C42,0x00); // EDID_RAM</t>
  </si>
  <si>
    <t>i2c1_h2d_write8(0x8C43,0x40); // EDID_RAM</t>
  </si>
  <si>
    <t>i2c1_h2d_write8(0x8C44,0xA6); // EDID_RAM</t>
  </si>
  <si>
    <t>i2c1_h2d_write8(0x8C45,0x00); // EDID_RAM</t>
  </si>
  <si>
    <t>i2c1_h2d_write8(0x8C46,0x00); // EDID_RAM</t>
  </si>
  <si>
    <t>i2c1_h2d_write8(0x8C47,0x18); // EDID_RAM</t>
  </si>
  <si>
    <t>i2c1_h2d_write8(0x8C48,0xEC); // EDID_RAM</t>
  </si>
  <si>
    <t>i2c1_h2d_write8(0x8C49,0x68); // EDID_RAM</t>
  </si>
  <si>
    <t>i2c1_h2d_write8(0x8C4A,0x00); // EDID_RAM</t>
  </si>
  <si>
    <t>i2c1_h2d_write8(0x8C4B,0xA0); // EDID_RAM</t>
  </si>
  <si>
    <t>i2c1_h2d_write8(0x8C4C,0xA0); // EDID_RAM</t>
  </si>
  <si>
    <t>i2c1_h2d_write8(0x8C4D,0x40); // EDID_RAM</t>
  </si>
  <si>
    <t>i2c1_h2d_write8(0x8C4E,0x2E); // EDID_RAM</t>
  </si>
  <si>
    <t>i2c1_h2d_write8(0x8C4F,0x60); // EDID_RAM</t>
  </si>
  <si>
    <t>i2c1_h2d_write8(0x8C50,0x30); // EDID_RAM</t>
  </si>
  <si>
    <t>i2c1_h2d_write8(0x8C51,0x20); // EDID_RAM</t>
  </si>
  <si>
    <t>i2c1_h2d_write8(0x8C52,0x36); // EDID_RAM</t>
  </si>
  <si>
    <t>i2c1_h2d_write8(0x8C53,0x00); // EDID_RAM</t>
  </si>
  <si>
    <t>i2c1_h2d_write8(0x8C54,0x00); // EDID_RAM</t>
  </si>
  <si>
    <t>i2c1_h2d_write8(0x8C55,0x40); // EDID_RAM</t>
  </si>
  <si>
    <t>i2c1_h2d_write8(0x8C56,0xA6); // EDID_RAM</t>
  </si>
  <si>
    <t>i2c1_h2d_write8(0x8C57,0x00); // EDID_RAM</t>
  </si>
  <si>
    <t>i2c1_h2d_write8(0x8C58,0x00); // EDID_RAM</t>
  </si>
  <si>
    <t>i2c1_h2d_write8(0x8C59,0x18); // EDID_RAM</t>
  </si>
  <si>
    <t>i2c1_h2d_write8(0x8C5A,0x00); // EDID_RAM</t>
  </si>
  <si>
    <t>i2c1_h2d_write8(0x8C5B,0x00); // EDID_RAM</t>
  </si>
  <si>
    <t>i2c1_h2d_write8(0x8C5C,0x00); // EDID_RAM</t>
  </si>
  <si>
    <t>i2c1_h2d_write8(0x8C5D,0xFC); // EDID_RAM</t>
  </si>
  <si>
    <t>i2c1_h2d_write8(0x8C5E,0x00); // EDID_RAM</t>
  </si>
  <si>
    <t>i2c1_h2d_write8(0x8C5F,0x54); // EDID_RAM</t>
  </si>
  <si>
    <t>i2c1_h2d_write8(0x8C60,0x6F); // EDID_RAM</t>
  </si>
  <si>
    <t>i2c1_h2d_write8(0x8C61,0x73); // EDID_RAM</t>
  </si>
  <si>
    <t>i2c1_h2d_write8(0x8C62,0x68); // EDID_RAM</t>
  </si>
  <si>
    <t>i2c1_h2d_write8(0x8C63,0x69); // EDID_RAM</t>
  </si>
  <si>
    <t>i2c1_h2d_write8(0x8C64,0x62); // EDID_RAM</t>
  </si>
  <si>
    <t>i2c1_h2d_write8(0x8C65,0x61); // EDID_RAM</t>
  </si>
  <si>
    <t>i2c1_h2d_write8(0x8C66,0x2D); // EDID_RAM</t>
  </si>
  <si>
    <t>i2c1_h2d_write8(0x8C67,0x55); // EDID_RAM</t>
  </si>
  <si>
    <t>i2c1_h2d_write8(0x8C68,0x48); // EDID_RAM</t>
  </si>
  <si>
    <t>i2c1_h2d_write8(0x8C69,0x32); // EDID_RAM</t>
  </si>
  <si>
    <t>i2c1_h2d_write8(0x8C6A,0x44); // EDID_RAM</t>
  </si>
  <si>
    <t>i2c1_h2d_write8(0x8C6B,0x0A); // EDID_RAM</t>
  </si>
  <si>
    <t>i2c1_h2d_write8(0x8C6C,0x00); // EDID_RAM</t>
  </si>
  <si>
    <t>i2c1_h2d_write8(0x8C6D,0x00); // EDID_RAM</t>
  </si>
  <si>
    <t>i2c1_h2d_write8(0x8C6E,0x00); // EDID_RAM</t>
  </si>
  <si>
    <t>i2c1_h2d_write8(0x8C6F,0xFD); // EDID_RAM</t>
  </si>
  <si>
    <t>i2c1_h2d_write8(0x8C70,0x00); // EDID_RAM</t>
  </si>
  <si>
    <t>i2c1_h2d_write8(0x8C71,0x17); // EDID_RAM</t>
  </si>
  <si>
    <t>i2c1_h2d_write8(0x8C72,0x3D); // EDID_RAM</t>
  </si>
  <si>
    <t>i2c1_h2d_write8(0x8C73,0x0F); // EDID_RAM</t>
  </si>
  <si>
    <t>i2c1_h2d_write8(0x8C74,0x8C); // EDID_RAM</t>
  </si>
  <si>
    <t>i2c1_h2d_write8(0x8C75,0x17); // EDID_RAM</t>
  </si>
  <si>
    <t>i2c1_h2d_write8(0x8C76,0x00); // EDID_RAM</t>
  </si>
  <si>
    <t>i2c1_h2d_write8(0x8C77,0x0A); // EDID_RAM</t>
  </si>
  <si>
    <t>i2c1_h2d_write8(0x8C78,0x20); // EDID_RAM</t>
  </si>
  <si>
    <t>i2c1_h2d_write8(0x8C79,0x20); // EDID_RAM</t>
  </si>
  <si>
    <t>i2c1_h2d_write8(0x8C7A,0x20); // EDID_RAM</t>
  </si>
  <si>
    <t>i2c1_h2d_write8(0x8C7B,0x20); // EDID_RAM</t>
  </si>
  <si>
    <t>i2c1_h2d_write8(0x8C7C,0x20); // EDID_RAM</t>
  </si>
  <si>
    <t>i2c1_h2d_write8(0x8C7D,0x20); // EDID_RAM</t>
  </si>
  <si>
    <t>i2c1_h2d_write8(0x8C7E,0x01); // EDID_RAM</t>
  </si>
  <si>
    <t>i2c1_h2d_write8(0x8C7F,0x40); // EDID_RAM</t>
  </si>
  <si>
    <t>i2c1_h2d_write8(0x8C80,0x02); // EDID_RAM</t>
  </si>
  <si>
    <t>i2c1_h2d_write8(0x8C81,0x03); // EDID_RAM</t>
  </si>
  <si>
    <t>i2c1_h2d_write8(0x8C82,0x17); // EDID_RAM</t>
  </si>
  <si>
    <t>i2c1_h2d_write8(0x8C83,0x74); // EDID_RAM</t>
  </si>
  <si>
    <t>i2c1_h2d_write8(0x8C84,0x47); // EDID_RAM</t>
  </si>
  <si>
    <t>i2c1_h2d_write8(0x8C85,0x4C); // EDID_RAM</t>
  </si>
  <si>
    <t>i2c1_h2d_write8(0x8C86,0x4C); // EDID_RAM</t>
  </si>
  <si>
    <t>i2c1_h2d_write8(0x8C87,0x4C); // EDID_RAM</t>
  </si>
  <si>
    <t>i2c1_h2d_write8(0x8C88,0x4C); // EDID_RAM</t>
  </si>
  <si>
    <t>i2c1_h2d_write8(0x8C89,0x4C); // EDID_RAM</t>
  </si>
  <si>
    <t>i2c1_h2d_write8(0x8C8A,0x4C); // EDID_RAM</t>
  </si>
  <si>
    <t>i2c1_h2d_write8(0x8C8B,0x4C); // EDID_RAM</t>
  </si>
  <si>
    <t>i2c1_h2d_write8(0x8C8C,0x23); // EDID_RAM</t>
  </si>
  <si>
    <t>i2c1_h2d_write8(0x8C8D,0x09); // EDID_RAM</t>
  </si>
  <si>
    <t>i2c1_h2d_write8(0x8C8E,0x07); // EDID_RAM</t>
  </si>
  <si>
    <t>i2c1_h2d_write8(0x8C8F,0x01); // EDID_RAM</t>
  </si>
  <si>
    <t>i2c1_h2d_write8(0x8C90,0x66); // EDID_RAM</t>
  </si>
  <si>
    <t>i2c1_h2d_write8(0x8C91,0x03); // EDID_RAM</t>
  </si>
  <si>
    <t>i2c1_h2d_write8(0x8C92,0x0C); // EDID_RAM</t>
  </si>
  <si>
    <t>i2c1_h2d_write8(0x8C93,0x00); // EDID_RAM</t>
  </si>
  <si>
    <t>i2c1_h2d_write8(0x8C94,0x30); // EDID_RAM</t>
  </si>
  <si>
    <t>i2c1_h2d_write8(0x8C95,0x00); // EDID_RAM</t>
  </si>
  <si>
    <t>i2c1_h2d_write8(0x8C96,0x80); // EDID_RAM</t>
  </si>
  <si>
    <t>i2c1_h2d_write8(0x8C97,0x8C); // EDID_RAM</t>
  </si>
  <si>
    <t>i2c1_h2d_write8(0x8C98,0x0A); // EDID_RAM</t>
  </si>
  <si>
    <t>i2c1_h2d_write8(0x8C99,0xD0); // EDID_RAM</t>
  </si>
  <si>
    <t>i2c1_h2d_write8(0x8C9A,0xEC); // EDID_RAM</t>
  </si>
  <si>
    <t>i2c1_h2d_write8(0x8C9B,0x68); // EDID_RAM</t>
  </si>
  <si>
    <t>i2c1_h2d_write8(0x8C9C,0x00); // EDID_RAM</t>
  </si>
  <si>
    <t>i2c1_h2d_write8(0x8C9D,0xA0); // EDID_RAM</t>
  </si>
  <si>
    <t>i2c1_h2d_write8(0x8C9E,0xA0); // EDID_RAM</t>
  </si>
  <si>
    <t>i2c1_h2d_write8(0x8C9F,0x40); // EDID_RAM</t>
  </si>
  <si>
    <t>i2c1_h2d_write8(0x8CA0,0x2E); // EDID_RAM</t>
  </si>
  <si>
    <t>i2c1_h2d_write8(0x8CA1,0x60); // EDID_RAM</t>
  </si>
  <si>
    <t>i2c1_h2d_write8(0x8CA2,0x30); // EDID_RAM</t>
  </si>
  <si>
    <t>i2c1_h2d_write8(0x8CA3,0x20); // EDID_RAM</t>
  </si>
  <si>
    <t>i2c1_h2d_write8(0x8CA4,0x36); // EDID_RAM</t>
  </si>
  <si>
    <t>i2c1_h2d_write8(0x8CA5,0x00); // EDID_RAM</t>
  </si>
  <si>
    <t>i2c1_h2d_write8(0x8CA6,0x00); // EDID_RAM</t>
  </si>
  <si>
    <t>i2c1_h2d_write8(0x8CA7,0x40); // EDID_RAM</t>
  </si>
  <si>
    <t>i2c1_h2d_write8(0x8CA8,0xA6); // EDID_RAM</t>
  </si>
  <si>
    <t>i2c1_h2d_write8(0x8CA9,0x00); // EDID_RAM</t>
  </si>
  <si>
    <t>i2c1_h2d_write8(0x8CAA,0x00); // EDID_RAM</t>
  </si>
  <si>
    <t>i2c1_h2d_write8(0x8CAB,0x18); // EDID_RAM</t>
  </si>
  <si>
    <t>i2c1_h2d_write8(0x8CAC,0xEC); // EDID_RAM</t>
  </si>
  <si>
    <t>i2c1_h2d_write8(0x8CAD,0x68); // EDID_RAM</t>
  </si>
  <si>
    <t>i2c1_h2d_write8(0x8CAE,0x00); // EDID_RAM</t>
  </si>
  <si>
    <t>i2c1_h2d_write8(0x8CAF,0xA0); // EDID_RAM</t>
  </si>
  <si>
    <t>i2c1_h2d_write8(0x8CB0,0xA0); // EDID_RAM</t>
  </si>
  <si>
    <t>i2c1_h2d_write8(0x8CB1,0x40); // EDID_RAM</t>
  </si>
  <si>
    <t>i2c1_h2d_write8(0x8CB2,0x2E); // EDID_RAM</t>
  </si>
  <si>
    <t>i2c1_h2d_write8(0x8CB3,0x60); // EDID_RAM</t>
  </si>
  <si>
    <t>i2c1_h2d_write8(0x8CB4,0x30); // EDID_RAM</t>
  </si>
  <si>
    <t>i2c1_h2d_write8(0x8CB5,0x20); // EDID_RAM</t>
  </si>
  <si>
    <t>i2c1_h2d_write8(0x8CB6,0x36); // EDID_RAM</t>
  </si>
  <si>
    <t>i2c1_h2d_write8(0x8CB7,0x00); // EDID_RAM</t>
  </si>
  <si>
    <t>i2c1_h2d_write8(0x8CB8,0x00); // EDID_RAM</t>
  </si>
  <si>
    <t>i2c1_h2d_write8(0x8CB9,0x40); // EDID_RAM</t>
  </si>
  <si>
    <t>i2c1_h2d_write8(0x8CBA,0xA6); // EDID_RAM</t>
  </si>
  <si>
    <t>i2c1_h2d_write8(0x8CBB,0x00); // EDID_RAM</t>
  </si>
  <si>
    <t>i2c1_h2d_write8(0x8CBC,0x00); // EDID_RAM</t>
  </si>
  <si>
    <t>i2c1_h2d_write8(0x8CBD,0x18); // EDID_RAM</t>
  </si>
  <si>
    <t>i2c1_h2d_write8(0x8CBE,0xEC); // EDID_RAM</t>
  </si>
  <si>
    <t>i2c1_h2d_write8(0x8CBF,0x68); // EDID_RAM</t>
  </si>
  <si>
    <t>i2c1_h2d_write8(0x8CC0,0x00); // EDID_RAM</t>
  </si>
  <si>
    <t>i2c1_h2d_write8(0x8CC1,0xA0); // EDID_RAM</t>
  </si>
  <si>
    <t>i2c1_h2d_write8(0x8CC2,0xA0); // EDID_RAM</t>
  </si>
  <si>
    <t>i2c1_h2d_write8(0x8CC3,0x40); // EDID_RAM</t>
  </si>
  <si>
    <t>i2c1_h2d_write8(0x8CC4,0x2E); // EDID_RAM</t>
  </si>
  <si>
    <t>i2c1_h2d_write8(0x8CC5,0x60); // EDID_RAM</t>
  </si>
  <si>
    <t>i2c1_h2d_write8(0x8CC6,0x30); // EDID_RAM</t>
  </si>
  <si>
    <t>i2c1_h2d_write8(0x8CC7,0x20); // EDID_RAM</t>
  </si>
  <si>
    <t>i2c1_h2d_write8(0x8CC8,0x36); // EDID_RAM</t>
  </si>
  <si>
    <t>i2c1_h2d_write8(0x8CC9,0x00); // EDID_RAM</t>
  </si>
  <si>
    <t>i2c1_h2d_write8(0x8CCA,0x00); // EDID_RAM</t>
  </si>
  <si>
    <t>i2c1_h2d_write8(0x8CCB,0x40); // EDID_RAM</t>
  </si>
  <si>
    <t>i2c1_h2d_write8(0x8CCC,0xA6); // EDID_RAM</t>
  </si>
  <si>
    <t>i2c1_h2d_write8(0x8CCD,0x00); // EDID_RAM</t>
  </si>
  <si>
    <t>i2c1_h2d_write8(0x8CCE,0x00); // EDID_RAM</t>
  </si>
  <si>
    <t>i2c1_h2d_write8(0x8CCF,0x18); // EDID_RAM</t>
  </si>
  <si>
    <t>i2c1_h2d_write8(0x8CD0,0xEC); // EDID_RAM</t>
  </si>
  <si>
    <t>i2c1_h2d_write8(0x8CD1,0x68); // EDID_RAM</t>
  </si>
  <si>
    <t>i2c1_h2d_write8(0x8CD2,0x00); // EDID_RAM</t>
  </si>
  <si>
    <t>i2c1_h2d_write8(0x8CD3,0xA0); // EDID_RAM</t>
  </si>
  <si>
    <t>i2c1_h2d_write8(0x8CD4,0xA0); // EDID_RAM</t>
  </si>
  <si>
    <t>i2c1_h2d_write8(0x8CD5,0x40); // EDID_RAM</t>
  </si>
  <si>
    <t>i2c1_h2d_write8(0x8CD6,0x2E); // EDID_RAM</t>
  </si>
  <si>
    <t>i2c1_h2d_write8(0x8CD7,0x60); // EDID_RAM</t>
  </si>
  <si>
    <t>i2c1_h2d_write8(0x8CD8,0x30); // EDID_RAM</t>
  </si>
  <si>
    <t>i2c1_h2d_write8(0x8CD9,0x20); // EDID_RAM</t>
  </si>
  <si>
    <t>i2c1_h2d_write8(0x8CDA,0x36); // EDID_RAM</t>
  </si>
  <si>
    <t>i2c1_h2d_write8(0x8CDB,0x00); // EDID_RAM</t>
  </si>
  <si>
    <t>i2c1_h2d_write8(0x8CDC,0x00); // EDID_RAM</t>
  </si>
  <si>
    <t>i2c1_h2d_write8(0x8CDD,0x40); // EDID_RAM</t>
  </si>
  <si>
    <t>i2c1_h2d_write8(0x8CDE,0xA6); // EDID_RAM</t>
  </si>
  <si>
    <t>i2c1_h2d_write8(0x8CDF,0x00); // EDID_RAM</t>
  </si>
  <si>
    <t>i2c1_h2d_write8(0x8CE0,0x00); // EDID_RAM</t>
  </si>
  <si>
    <t>i2c1_h2d_write8(0x8CE1,0x18); // EDID_RAM</t>
  </si>
  <si>
    <t>i2c1_h2d_write8(0x8CE2,0x00); // EDID_RAM</t>
  </si>
  <si>
    <t>i2c1_h2d_write8(0x8CE3,0x00); // EDID_RAM</t>
  </si>
  <si>
    <t>i2c1_h2d_write8(0x8CE4,0x00); // EDID_RAM</t>
  </si>
  <si>
    <t>i2c1_h2d_write8(0x8CE5,0x00); // EDID_RAM</t>
  </si>
  <si>
    <t>i2c1_h2d_write8(0x8CE6,0x00); // EDID_RAM</t>
  </si>
  <si>
    <t>i2c1_h2d_write8(0x8CE7,0x00); // EDID_RAM</t>
  </si>
  <si>
    <t>i2c1_h2d_write8(0x8CE8,0x00); // EDID_RAM</t>
  </si>
  <si>
    <t>i2c1_h2d_write8(0x8CE9,0x00); // EDID_RAM</t>
  </si>
  <si>
    <t>i2c1_h2d_write8(0x8CEA,0x00); // EDID_RAM</t>
  </si>
  <si>
    <t>i2c1_h2d_write8(0x8CEB,0x00); // EDID_RAM</t>
  </si>
  <si>
    <t>i2c1_h2d_write8(0x8CEC,0x00); // EDID_RAM</t>
  </si>
  <si>
    <t>i2c1_h2d_write8(0x8CED,0x00); // EDID_RAM</t>
  </si>
  <si>
    <t>i2c1_h2d_write8(0x8CEE,0x00); // EDID_RAM</t>
  </si>
  <si>
    <t>i2c1_h2d_write8(0x8CEF,0x00); // EDID_RAM</t>
  </si>
  <si>
    <t>i2c1_h2d_write8(0x8CF0,0x00); // EDID_RAM</t>
  </si>
  <si>
    <t>i2c1_h2d_write8(0x8CF1,0x00); // EDID_RAM</t>
  </si>
  <si>
    <t>i2c1_h2d_write8(0x8CF2,0x00); // EDID_RAM</t>
  </si>
  <si>
    <t>i2c1_h2d_write8(0x8CF3,0x00); // EDID_RAM</t>
  </si>
  <si>
    <t>i2c1_h2d_write8(0x8CF4,0x00); // EDID_RAM</t>
  </si>
  <si>
    <t>i2c1_h2d_write8(0x8CF5,0x00); // EDID_RAM</t>
  </si>
  <si>
    <t>i2c1_h2d_write8(0x8CF6,0x00); // EDID_RAM</t>
  </si>
  <si>
    <t>i2c1_h2d_write8(0x8CF7,0x00); // EDID_RAM</t>
  </si>
  <si>
    <t>i2c1_h2d_write8(0x8CF8,0x00); // EDID_RAM</t>
  </si>
  <si>
    <t>i2c1_h2d_write8(0x8CF9,0x00); // EDID_RAM</t>
  </si>
  <si>
    <t>i2c1_h2d_write8(0x8CFA,0x00); // EDID_RAM</t>
  </si>
  <si>
    <t>i2c1_h2d_write8(0x8CFB,0x00); // EDID_RAM</t>
  </si>
  <si>
    <t>i2c1_h2d_write8(0x8CFC,0x00); // EDID_RAM</t>
  </si>
  <si>
    <t>i2c1_h2d_write8(0x8CFD,0x00); // EDID_RAM</t>
  </si>
  <si>
    <t>i2c1_h2d_write8(0x8CFE,0x00); // EDID_RAM</t>
  </si>
  <si>
    <t>i2c1_h2d_write8(0x8CFF,0xBE); // EDID_RAM</t>
  </si>
  <si>
    <t>// HDCP Setting</t>
  </si>
  <si>
    <t>// Video Color Format Setting</t>
  </si>
  <si>
    <t>i2c1_h2d_write8(0x8A02,0x42); // VOUT_SYNC0</t>
  </si>
  <si>
    <t>// HDMI SYSTEM</t>
  </si>
  <si>
    <t>i2c1_h2d_write8(0x8543,0x02); // DDC_CTL</t>
  </si>
  <si>
    <t>i2c1_h2d_write8(0x8544,0x10); // HPD_CTL</t>
  </si>
  <si>
    <t>// HDMI Audio Setting</t>
  </si>
  <si>
    <t>i2c1_h2d_write8(0x8600,0x00); // AUD_Auto_Mute</t>
  </si>
  <si>
    <t>i2c1_h2d_write8(0x8602,0xF3); // Auto_CMD0</t>
  </si>
  <si>
    <t>i2c1_h2d_write8(0x8603,0x02); // Auto_CMD1</t>
  </si>
  <si>
    <t>i2c1_h2d_write8(0x8604,0x0C); // Auto_CMD2</t>
  </si>
  <si>
    <t>i2c1_h2d_write8(0x8606,0x05); // BUFINIT_START</t>
  </si>
  <si>
    <t>i2c1_h2d_write8(0x8607,0x00); // FS_MUTE</t>
  </si>
  <si>
    <t>i2c1_h2d_write8(0x8652,0x02); // SDO_MODE1</t>
  </si>
  <si>
    <t>i2c1_h2d_write32(0x8671,0x020C49BA); // NCO_48F0A_D</t>
  </si>
  <si>
    <t>i2c1_h2d_write32(0x8675,0x01E1B089); // NCO_44F0A_D</t>
  </si>
  <si>
    <t>i2c1_h2d_write8(0x8680,0x00); // AUD_MODE</t>
  </si>
  <si>
    <t>// Let HDMI Source start access</t>
  </si>
  <si>
    <t>i2c1_h2d_write8(0x854A,0x01); // INIT_END</t>
  </si>
  <si>
    <t>// Start Video TX</t>
  </si>
  <si>
    <t>i2c1_h2d_write16(0x0004,0x0C37); // ConfCtl0</t>
  </si>
  <si>
    <t>i2c1_h2d_write16(0x0006,0x0000); // ConfCtl1</t>
  </si>
  <si>
    <t>// Command Transmission After Video Start.</t>
  </si>
  <si>
    <t>i2c1_h2d_write32(0x0110,0x00000006); // MODE_CONFIG</t>
  </si>
  <si>
    <t>i2c1_h2d_write32(0x0310,0x00000006); // MODE_CONFIG</t>
  </si>
  <si>
    <t>Waitx1sec(0);</t>
  </si>
  <si>
    <t>// Interface Setting</t>
  </si>
  <si>
    <t>i2c1_h2d_write16(0x0504,0x14B3); // DCSCMD_Q</t>
  </si>
  <si>
    <t>i2c1_h2d_write16(0x0504,0x03B0); // DCSCMD_Q</t>
  </si>
  <si>
    <t>// Set Display On</t>
  </si>
  <si>
    <t>i2c1_h2d_write16(0x0504,0x0029); // DCSCMD_Q</t>
  </si>
  <si>
    <t>v02</t>
    <phoneticPr fontId="7"/>
  </si>
  <si>
    <t>Macro names are changed.</t>
    <phoneticPr fontId="7"/>
  </si>
</sst>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0_ "/>
    <numFmt numFmtId="177" formatCode="0.00_);[Red]\(0.00\)"/>
    <numFmt numFmtId="178" formatCode="0.000_ "/>
    <numFmt numFmtId="179" formatCode="0.000_);[Red]\(0.000\)"/>
    <numFmt numFmtId="180" formatCode="0_ "/>
    <numFmt numFmtId="181" formatCode="0.0_ "/>
  </numFmts>
  <fonts count="58">
    <font>
      <sz val="11"/>
      <color theme="1"/>
      <name val="ＭＳ Ｐゴシック"/>
      <family val="3"/>
      <charset val="128"/>
      <scheme val="minor"/>
    </font>
    <font>
      <sz val="11"/>
      <color indexed="8"/>
      <name val="ＭＳ Ｐゴシック"/>
      <family val="3"/>
      <charset val="128"/>
    </font>
    <font>
      <sz val="11"/>
      <color indexed="8"/>
      <name val="Arial"/>
      <family val="2"/>
    </font>
    <font>
      <b/>
      <sz val="11"/>
      <color indexed="8"/>
      <name val="Arial"/>
      <family val="2"/>
    </font>
    <font>
      <b/>
      <sz val="11"/>
      <name val="Arial"/>
      <family val="2"/>
    </font>
    <font>
      <sz val="11"/>
      <name val="Arial"/>
      <family val="2"/>
    </font>
    <font>
      <b/>
      <sz val="12"/>
      <name val="Arial"/>
      <family val="2"/>
    </font>
    <font>
      <sz val="6"/>
      <name val="ＭＳ Ｐゴシック"/>
      <family val="3"/>
      <charset val="128"/>
    </font>
    <font>
      <b/>
      <sz val="11"/>
      <color indexed="10"/>
      <name val="Arial"/>
      <family val="2"/>
    </font>
    <font>
      <sz val="11"/>
      <color indexed="9"/>
      <name val="Arial"/>
      <family val="2"/>
    </font>
    <font>
      <sz val="10"/>
      <color indexed="9"/>
      <name val="Arial"/>
      <family val="2"/>
    </font>
    <font>
      <b/>
      <sz val="11"/>
      <color indexed="9"/>
      <name val="Arial"/>
      <family val="2"/>
    </font>
    <font>
      <b/>
      <sz val="14"/>
      <color indexed="8"/>
      <name val="Arial"/>
      <family val="2"/>
    </font>
    <font>
      <sz val="14"/>
      <color indexed="8"/>
      <name val="Arial"/>
      <family val="2"/>
    </font>
    <font>
      <sz val="11"/>
      <name val="ＭＳ Ｐゴシック"/>
      <family val="3"/>
      <charset val="128"/>
    </font>
    <font>
      <b/>
      <sz val="14"/>
      <color indexed="10"/>
      <name val="Arial"/>
      <family val="2"/>
    </font>
    <font>
      <sz val="6"/>
      <name val="ＭＳ Ｐゴシック"/>
      <family val="3"/>
      <charset val="128"/>
    </font>
    <font>
      <sz val="10"/>
      <name val="Arial"/>
      <family val="2"/>
    </font>
    <font>
      <sz val="8"/>
      <name val="Arial"/>
      <family val="2"/>
    </font>
    <font>
      <sz val="12"/>
      <name val="Arial"/>
      <family val="2"/>
    </font>
    <font>
      <b/>
      <sz val="10"/>
      <name val="Arial"/>
      <family val="2"/>
    </font>
    <font>
      <sz val="11"/>
      <name val="Arial Narrow"/>
      <family val="2"/>
    </font>
    <font>
      <sz val="6"/>
      <name val="ＭＳ Ｐゴシック"/>
      <family val="3"/>
      <charset val="128"/>
    </font>
    <font>
      <b/>
      <sz val="9"/>
      <name val="Arial"/>
      <family val="2"/>
    </font>
    <font>
      <sz val="9"/>
      <color indexed="81"/>
      <name val="ＭＳ Ｐゴシック"/>
      <family val="3"/>
      <charset val="128"/>
    </font>
    <font>
      <sz val="9"/>
      <color indexed="81"/>
      <name val="Arial"/>
      <family val="2"/>
    </font>
    <font>
      <sz val="11"/>
      <color indexed="9"/>
      <name val="ＭＳ Ｐゴシック"/>
      <family val="3"/>
      <charset val="128"/>
    </font>
    <font>
      <sz val="9"/>
      <name val="Arial"/>
      <family val="2"/>
    </font>
    <font>
      <sz val="11"/>
      <color theme="0"/>
      <name val="ＭＳ Ｐゴシック"/>
      <family val="3"/>
      <charset val="128"/>
      <scheme val="minor"/>
    </font>
    <font>
      <sz val="11"/>
      <color theme="1"/>
      <name val="Arial"/>
      <family val="2"/>
    </font>
    <font>
      <b/>
      <sz val="11"/>
      <color theme="0"/>
      <name val="Arial"/>
      <family val="2"/>
    </font>
    <font>
      <b/>
      <sz val="11"/>
      <color rgb="FFFF0000"/>
      <name val="Arial"/>
      <family val="2"/>
    </font>
    <font>
      <sz val="11"/>
      <color rgb="FFFF0000"/>
      <name val="Arial"/>
      <family val="2"/>
    </font>
    <font>
      <sz val="11"/>
      <color theme="0"/>
      <name val="Arial"/>
      <family val="2"/>
    </font>
    <font>
      <sz val="11"/>
      <color theme="1"/>
      <name val="Arial Narrow"/>
      <family val="2"/>
    </font>
    <font>
      <sz val="14"/>
      <color theme="1"/>
      <name val="Arial"/>
      <family val="2"/>
    </font>
    <font>
      <sz val="9"/>
      <color theme="0"/>
      <name val="Arial"/>
      <family val="2"/>
    </font>
    <font>
      <sz val="10"/>
      <color theme="0"/>
      <name val="Arial"/>
      <family val="2"/>
    </font>
    <font>
      <sz val="9"/>
      <color theme="1"/>
      <name val="ＭＳ Ｐゴシック"/>
      <family val="3"/>
      <charset val="128"/>
      <scheme val="minor"/>
    </font>
    <font>
      <sz val="8"/>
      <color theme="0"/>
      <name val="Arial"/>
      <family val="2"/>
    </font>
    <font>
      <b/>
      <sz val="11"/>
      <color theme="1"/>
      <name val="Arial"/>
      <family val="2"/>
    </font>
    <font>
      <b/>
      <sz val="11"/>
      <color theme="1"/>
      <name val="ＭＳ Ｐゴシック"/>
      <family val="3"/>
      <charset val="128"/>
    </font>
    <font>
      <b/>
      <sz val="14"/>
      <color rgb="FFFF0000"/>
      <name val="Arial"/>
      <family val="2"/>
    </font>
    <font>
      <b/>
      <sz val="11"/>
      <color rgb="FFF5CFF0"/>
      <name val="Arial"/>
      <family val="2"/>
    </font>
    <font>
      <sz val="11"/>
      <name val="ＭＳ Ｐゴシック"/>
      <family val="3"/>
      <charset val="128"/>
      <scheme val="minor"/>
    </font>
    <font>
      <b/>
      <sz val="10"/>
      <color theme="0"/>
      <name val="Arial"/>
      <family val="2"/>
    </font>
    <font>
      <sz val="18"/>
      <color theme="0"/>
      <name val="Arial"/>
      <family val="2"/>
    </font>
    <font>
      <sz val="14"/>
      <color theme="0"/>
      <name val="Arial"/>
      <family val="2"/>
    </font>
    <font>
      <sz val="11"/>
      <color theme="7" tint="-0.249977111117893"/>
      <name val="ＭＳ Ｐゴシック"/>
      <family val="3"/>
      <charset val="128"/>
      <scheme val="minor"/>
    </font>
    <font>
      <sz val="9"/>
      <color theme="1"/>
      <name val="Arial"/>
      <family val="2"/>
    </font>
    <font>
      <b/>
      <sz val="12"/>
      <color theme="0"/>
      <name val="Arial"/>
      <family val="2"/>
    </font>
    <font>
      <b/>
      <sz val="14"/>
      <color theme="0"/>
      <name val="Arial"/>
      <family val="2"/>
    </font>
    <font>
      <b/>
      <sz val="10"/>
      <color rgb="FF0000FF"/>
      <name val="Arial"/>
      <family val="2"/>
    </font>
    <font>
      <sz val="6"/>
      <name val="ＭＳ Ｐゴシック"/>
      <family val="3"/>
      <charset val="128"/>
      <scheme val="minor"/>
    </font>
    <font>
      <sz val="11"/>
      <color rgb="FFFF0000"/>
      <name val="ＭＳ Ｐゴシック"/>
      <family val="3"/>
      <charset val="128"/>
      <scheme val="minor"/>
    </font>
    <font>
      <sz val="10"/>
      <color rgb="FFFF0000"/>
      <name val="Arial"/>
      <family val="2"/>
    </font>
    <font>
      <b/>
      <sz val="12"/>
      <color indexed="8"/>
      <name val="Arial"/>
      <family val="2"/>
    </font>
    <font>
      <b/>
      <sz val="12"/>
      <color theme="1"/>
      <name val="Arial"/>
      <family val="2"/>
    </font>
  </fonts>
  <fills count="34">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0"/>
        <bgColor indexed="64"/>
      </patternFill>
    </fill>
    <fill>
      <patternFill patternType="solid">
        <fgColor indexed="8"/>
        <bgColor indexed="64"/>
      </patternFill>
    </fill>
    <fill>
      <patternFill patternType="solid">
        <fgColor theme="6" tint="-0.499984740745262"/>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CCECFF"/>
        <bgColor indexed="64"/>
      </patternFill>
    </fill>
    <fill>
      <patternFill patternType="solid">
        <fgColor rgb="FF0000FF"/>
        <bgColor indexed="64"/>
      </patternFill>
    </fill>
    <fill>
      <patternFill patternType="solid">
        <fgColor rgb="FF003FBC"/>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C000"/>
        <bgColor indexed="64"/>
      </patternFill>
    </fill>
    <fill>
      <patternFill patternType="solid">
        <fgColor rgb="FF800080"/>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rgb="FFCC0099"/>
        <bgColor indexed="64"/>
      </patternFill>
    </fill>
    <fill>
      <patternFill patternType="solid">
        <fgColor theme="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4" fillId="0" borderId="0">
      <alignment vertical="center"/>
    </xf>
  </cellStyleXfs>
  <cellXfs count="510">
    <xf numFmtId="0" fontId="0" fillId="0" borderId="0" xfId="0"/>
    <xf numFmtId="0" fontId="2" fillId="0" borderId="0" xfId="0" applyFont="1" applyFill="1" applyBorder="1" applyAlignment="1">
      <alignment vertical="center"/>
    </xf>
    <xf numFmtId="0" fontId="2" fillId="0" borderId="0" xfId="0" applyFont="1" applyFill="1" applyBorder="1"/>
    <xf numFmtId="0" fontId="2" fillId="0" borderId="0" xfId="0" applyFont="1"/>
    <xf numFmtId="0" fontId="3" fillId="0" borderId="0" xfId="0" applyFont="1"/>
    <xf numFmtId="0" fontId="2" fillId="0" borderId="1" xfId="0" applyFont="1" applyBorder="1"/>
    <xf numFmtId="0" fontId="4" fillId="2" borderId="2" xfId="0" applyFont="1" applyFill="1" applyBorder="1" applyAlignment="1" applyProtection="1">
      <alignment horizontal="center" vertical="center"/>
      <protection locked="0"/>
    </xf>
    <xf numFmtId="0" fontId="2" fillId="0" borderId="0" xfId="0" applyFont="1" applyAlignment="1">
      <alignment horizontal="left" indent="2"/>
    </xf>
    <xf numFmtId="0" fontId="2" fillId="0" borderId="1" xfId="0" applyFont="1" applyFill="1" applyBorder="1"/>
    <xf numFmtId="0" fontId="5" fillId="0" borderId="1" xfId="0" applyFont="1" applyFill="1" applyBorder="1"/>
    <xf numFmtId="0" fontId="8" fillId="0" borderId="0" xfId="0" applyFont="1"/>
    <xf numFmtId="2" fontId="2" fillId="0" borderId="0" xfId="0" applyNumberFormat="1" applyFont="1" applyFill="1" applyBorder="1" applyAlignment="1">
      <alignment vertical="center"/>
    </xf>
    <xf numFmtId="0" fontId="12" fillId="0" borderId="0" xfId="0" applyFont="1"/>
    <xf numFmtId="0" fontId="4" fillId="2" borderId="1" xfId="0" applyFont="1" applyFill="1" applyBorder="1" applyAlignment="1" applyProtection="1">
      <alignment horizontal="center"/>
      <protection locked="0"/>
    </xf>
    <xf numFmtId="0" fontId="4" fillId="2" borderId="1" xfId="0" applyFont="1" applyFill="1" applyBorder="1" applyAlignment="1" applyProtection="1">
      <alignment horizontal="center" vertical="center"/>
      <protection locked="0"/>
    </xf>
    <xf numFmtId="0" fontId="2" fillId="0" borderId="1" xfId="0" quotePrefix="1" applyFont="1" applyFill="1" applyBorder="1" applyAlignment="1">
      <alignment horizontal="center" vertical="center"/>
    </xf>
    <xf numFmtId="0" fontId="5" fillId="0" borderId="1" xfId="0" quotePrefix="1" applyFont="1" applyFill="1" applyBorder="1" applyAlignment="1">
      <alignment horizontal="center" vertical="center"/>
    </xf>
    <xf numFmtId="0" fontId="2" fillId="0" borderId="1" xfId="0" quotePrefix="1" applyFont="1" applyBorder="1" applyAlignment="1">
      <alignment horizontal="center" vertical="center"/>
    </xf>
    <xf numFmtId="0" fontId="2" fillId="0" borderId="0" xfId="0" applyFont="1" applyProtection="1"/>
    <xf numFmtId="0" fontId="2" fillId="0" borderId="1" xfId="0" applyFont="1" applyBorder="1" applyAlignment="1">
      <alignment horizontal="center"/>
    </xf>
    <xf numFmtId="0" fontId="8" fillId="0" borderId="0" xfId="0" applyFont="1" applyFill="1" applyBorder="1" applyAlignment="1">
      <alignment vertical="center"/>
    </xf>
    <xf numFmtId="0" fontId="2" fillId="0" borderId="0" xfId="0" applyFont="1" applyProtection="1">
      <protection locked="0"/>
    </xf>
    <xf numFmtId="0" fontId="15" fillId="0" borderId="0" xfId="1" applyFont="1">
      <alignment vertical="center"/>
    </xf>
    <xf numFmtId="0" fontId="8" fillId="0" borderId="1" xfId="1" applyFont="1" applyBorder="1" applyAlignment="1">
      <alignment horizontal="center" vertical="center"/>
    </xf>
    <xf numFmtId="0" fontId="8" fillId="0" borderId="2" xfId="1" applyFont="1" applyBorder="1" applyAlignment="1">
      <alignment horizontal="center" vertical="center"/>
    </xf>
    <xf numFmtId="0" fontId="17" fillId="2" borderId="1" xfId="1" applyFont="1" applyFill="1" applyBorder="1" applyAlignment="1" applyProtection="1">
      <alignment horizontal="center" vertical="center"/>
      <protection locked="0"/>
    </xf>
    <xf numFmtId="0" fontId="5" fillId="0" borderId="0" xfId="1" applyFont="1" applyAlignment="1">
      <alignment horizontal="center" vertical="center"/>
    </xf>
    <xf numFmtId="0" fontId="9" fillId="0" borderId="0" xfId="1" applyFont="1">
      <alignment vertical="center"/>
    </xf>
    <xf numFmtId="0" fontId="9" fillId="0" borderId="0" xfId="1" applyFont="1" applyAlignment="1">
      <alignment horizontal="center" vertical="center"/>
    </xf>
    <xf numFmtId="0" fontId="5" fillId="0" borderId="0" xfId="1" applyFont="1">
      <alignment vertical="center"/>
    </xf>
    <xf numFmtId="0" fontId="8" fillId="3" borderId="1" xfId="1" applyFont="1" applyFill="1" applyBorder="1" applyAlignment="1">
      <alignment horizontal="center" vertical="center"/>
    </xf>
    <xf numFmtId="0" fontId="4" fillId="0" borderId="3" xfId="1" applyFont="1" applyBorder="1" applyAlignment="1">
      <alignment horizontal="center" vertical="center"/>
    </xf>
    <xf numFmtId="0" fontId="8" fillId="0" borderId="4" xfId="1" applyFont="1" applyBorder="1" applyAlignment="1">
      <alignment horizontal="center" vertical="center"/>
    </xf>
    <xf numFmtId="0" fontId="4" fillId="0" borderId="5" xfId="1" applyFont="1" applyBorder="1" applyAlignment="1">
      <alignment horizontal="center" vertical="center"/>
    </xf>
    <xf numFmtId="0" fontId="8" fillId="0" borderId="6" xfId="1" applyFont="1" applyBorder="1" applyAlignment="1">
      <alignment horizontal="center" vertical="center"/>
    </xf>
    <xf numFmtId="0" fontId="11" fillId="6" borderId="3" xfId="0" applyFont="1" applyFill="1" applyBorder="1" applyAlignment="1">
      <alignment horizontal="center" vertical="center"/>
    </xf>
    <xf numFmtId="0" fontId="9" fillId="6" borderId="2" xfId="0" applyFont="1" applyFill="1" applyBorder="1" applyAlignment="1">
      <alignment horizontal="center" vertical="center"/>
    </xf>
    <xf numFmtId="0" fontId="29" fillId="0" borderId="0" xfId="0" applyFont="1"/>
    <xf numFmtId="0" fontId="5" fillId="0" borderId="1" xfId="1" applyFont="1" applyBorder="1">
      <alignment vertical="center"/>
    </xf>
    <xf numFmtId="0" fontId="29" fillId="0" borderId="1" xfId="0" applyFont="1" applyBorder="1"/>
    <xf numFmtId="0" fontId="30" fillId="7" borderId="3" xfId="0" applyFont="1" applyFill="1" applyBorder="1" applyAlignment="1">
      <alignment horizontal="center"/>
    </xf>
    <xf numFmtId="0" fontId="9" fillId="8" borderId="1" xfId="1" applyFont="1" applyFill="1" applyBorder="1">
      <alignment vertical="center"/>
    </xf>
    <xf numFmtId="0" fontId="5" fillId="9" borderId="1" xfId="1" applyFont="1" applyFill="1" applyBorder="1">
      <alignment vertical="center"/>
    </xf>
    <xf numFmtId="0" fontId="9" fillId="8" borderId="2" xfId="1" applyFont="1" applyFill="1" applyBorder="1">
      <alignment vertical="center"/>
    </xf>
    <xf numFmtId="0" fontId="5" fillId="0" borderId="1" xfId="1" applyFont="1" applyBorder="1" applyAlignment="1">
      <alignment horizontal="center" vertical="center"/>
    </xf>
    <xf numFmtId="0" fontId="4" fillId="2" borderId="1" xfId="1" applyFont="1" applyFill="1" applyBorder="1" applyProtection="1">
      <alignment vertical="center"/>
      <protection locked="0"/>
    </xf>
    <xf numFmtId="56" fontId="5" fillId="0" borderId="1" xfId="1" quotePrefix="1" applyNumberFormat="1" applyFont="1" applyBorder="1">
      <alignment vertical="center"/>
    </xf>
    <xf numFmtId="0" fontId="5" fillId="0" borderId="1" xfId="1" applyFont="1" applyFill="1" applyBorder="1" applyAlignment="1">
      <alignment horizontal="center" vertical="center"/>
    </xf>
    <xf numFmtId="0" fontId="5" fillId="0" borderId="7" xfId="1" applyFont="1" applyFill="1" applyBorder="1">
      <alignment vertical="center"/>
    </xf>
    <xf numFmtId="0" fontId="5" fillId="0" borderId="0" xfId="1" applyFont="1" applyFill="1" applyBorder="1">
      <alignment vertical="center"/>
    </xf>
    <xf numFmtId="0" fontId="5" fillId="0" borderId="2" xfId="1" applyFont="1" applyBorder="1">
      <alignment vertical="center"/>
    </xf>
    <xf numFmtId="0" fontId="4" fillId="2" borderId="1" xfId="1" applyFont="1" applyFill="1" applyBorder="1" applyAlignment="1" applyProtection="1">
      <alignment horizontal="center" vertical="center"/>
      <protection locked="0"/>
    </xf>
    <xf numFmtId="0" fontId="9" fillId="8" borderId="8" xfId="1" applyFont="1" applyFill="1" applyBorder="1">
      <alignment vertical="center"/>
    </xf>
    <xf numFmtId="0" fontId="9" fillId="8" borderId="5" xfId="1" applyFont="1" applyFill="1" applyBorder="1">
      <alignment vertical="center"/>
    </xf>
    <xf numFmtId="0" fontId="5" fillId="0" borderId="3" xfId="1" applyFont="1" applyBorder="1">
      <alignment vertical="center"/>
    </xf>
    <xf numFmtId="0" fontId="5" fillId="0" borderId="4" xfId="1" applyFont="1" applyBorder="1">
      <alignment vertical="center"/>
    </xf>
    <xf numFmtId="0" fontId="9" fillId="8" borderId="6" xfId="1" applyFont="1" applyFill="1" applyBorder="1" applyAlignment="1">
      <alignment vertical="center" wrapText="1"/>
    </xf>
    <xf numFmtId="0" fontId="4" fillId="2" borderId="2" xfId="1" applyFont="1" applyFill="1" applyBorder="1" applyProtection="1">
      <alignment vertical="center"/>
      <protection locked="0"/>
    </xf>
    <xf numFmtId="0" fontId="5" fillId="0" borderId="9" xfId="1" applyFont="1" applyBorder="1">
      <alignment vertical="center"/>
    </xf>
    <xf numFmtId="176" fontId="5" fillId="0" borderId="1" xfId="1" applyNumberFormat="1" applyFont="1" applyBorder="1" applyAlignment="1">
      <alignment horizontal="center" vertical="center"/>
    </xf>
    <xf numFmtId="0" fontId="9" fillId="8" borderId="3" xfId="1" applyFont="1" applyFill="1" applyBorder="1">
      <alignment vertical="center"/>
    </xf>
    <xf numFmtId="0" fontId="9" fillId="8" borderId="2" xfId="1" applyFont="1" applyFill="1" applyBorder="1" applyAlignment="1">
      <alignment vertical="center" wrapText="1"/>
    </xf>
    <xf numFmtId="0" fontId="5" fillId="9" borderId="8" xfId="1" applyFont="1" applyFill="1" applyBorder="1">
      <alignment vertical="center"/>
    </xf>
    <xf numFmtId="0" fontId="4" fillId="9" borderId="1" xfId="1" applyFont="1" applyFill="1" applyBorder="1" applyAlignment="1" applyProtection="1">
      <alignment horizontal="center" vertical="center"/>
    </xf>
    <xf numFmtId="0" fontId="4" fillId="9" borderId="1" xfId="1" applyFont="1" applyFill="1" applyBorder="1" applyAlignment="1">
      <alignment horizontal="center" vertical="center"/>
    </xf>
    <xf numFmtId="0" fontId="5" fillId="9" borderId="1" xfId="1" applyFont="1" applyFill="1" applyBorder="1" applyAlignment="1">
      <alignment horizontal="center" vertical="center"/>
    </xf>
    <xf numFmtId="0" fontId="5" fillId="10" borderId="1" xfId="1" applyFont="1" applyFill="1" applyBorder="1" applyAlignment="1">
      <alignment horizontal="center" vertical="center"/>
    </xf>
    <xf numFmtId="0" fontId="5" fillId="10" borderId="1" xfId="1" applyFont="1" applyFill="1" applyBorder="1">
      <alignment vertical="center"/>
    </xf>
    <xf numFmtId="0" fontId="4" fillId="0" borderId="0" xfId="1" applyFont="1">
      <alignment vertical="center"/>
    </xf>
    <xf numFmtId="0" fontId="5" fillId="0" borderId="1" xfId="1" quotePrefix="1" applyFont="1" applyBorder="1" applyAlignment="1">
      <alignment horizontal="right" vertical="center"/>
    </xf>
    <xf numFmtId="0" fontId="11" fillId="6" borderId="10" xfId="0" applyFont="1" applyFill="1" applyBorder="1" applyAlignment="1">
      <alignment horizontal="center" vertical="center"/>
    </xf>
    <xf numFmtId="0" fontId="9" fillId="6" borderId="11" xfId="0" applyFont="1" applyFill="1" applyBorder="1" applyAlignment="1">
      <alignment horizontal="center" vertical="center"/>
    </xf>
    <xf numFmtId="0" fontId="0" fillId="7" borderId="2" xfId="0" applyFill="1" applyBorder="1"/>
    <xf numFmtId="0" fontId="31" fillId="0" borderId="1" xfId="1" applyFont="1" applyBorder="1" applyAlignment="1">
      <alignment horizontal="center" vertical="center"/>
    </xf>
    <xf numFmtId="0" fontId="6" fillId="0" borderId="0" xfId="1" applyFont="1">
      <alignment vertical="center"/>
    </xf>
    <xf numFmtId="0" fontId="5" fillId="0" borderId="10" xfId="1" applyFont="1" applyBorder="1">
      <alignment vertical="center"/>
    </xf>
    <xf numFmtId="0" fontId="32" fillId="0" borderId="12" xfId="1" applyFont="1" applyBorder="1">
      <alignment vertical="center"/>
    </xf>
    <xf numFmtId="0" fontId="5" fillId="0" borderId="0" xfId="1" applyFont="1" applyBorder="1">
      <alignment vertical="center"/>
    </xf>
    <xf numFmtId="0" fontId="5" fillId="0" borderId="13" xfId="1" applyFont="1" applyBorder="1">
      <alignment vertical="center"/>
    </xf>
    <xf numFmtId="0" fontId="5" fillId="0" borderId="12" xfId="1" applyFont="1" applyBorder="1">
      <alignment vertical="center"/>
    </xf>
    <xf numFmtId="0" fontId="5" fillId="0" borderId="6" xfId="1" applyFont="1" applyBorder="1">
      <alignment vertical="center"/>
    </xf>
    <xf numFmtId="0" fontId="5" fillId="0" borderId="11" xfId="1" applyFont="1" applyBorder="1">
      <alignment vertical="center"/>
    </xf>
    <xf numFmtId="0" fontId="6" fillId="0" borderId="5" xfId="1" applyFont="1" applyBorder="1">
      <alignment vertical="center"/>
    </xf>
    <xf numFmtId="0" fontId="9" fillId="8" borderId="1" xfId="1" applyFont="1" applyFill="1" applyBorder="1" applyAlignment="1">
      <alignment horizontal="right" vertical="center"/>
    </xf>
    <xf numFmtId="0" fontId="5" fillId="11" borderId="1" xfId="1" applyFont="1" applyFill="1" applyBorder="1" applyAlignment="1">
      <alignment horizontal="right" vertical="center"/>
    </xf>
    <xf numFmtId="0" fontId="33" fillId="0" borderId="0" xfId="1" applyFont="1">
      <alignment vertical="center"/>
    </xf>
    <xf numFmtId="0" fontId="2" fillId="12" borderId="1" xfId="0" applyFont="1" applyFill="1" applyBorder="1" applyAlignment="1">
      <alignment horizontal="center"/>
    </xf>
    <xf numFmtId="0" fontId="2" fillId="12" borderId="1" xfId="0" applyFont="1" applyFill="1" applyBorder="1"/>
    <xf numFmtId="0" fontId="2" fillId="12" borderId="1" xfId="0" applyFont="1" applyFill="1" applyBorder="1" applyAlignment="1">
      <alignment horizontal="left"/>
    </xf>
    <xf numFmtId="0" fontId="5" fillId="0" borderId="1" xfId="0" quotePrefix="1" applyFont="1" applyFill="1" applyBorder="1" applyAlignment="1">
      <alignment horizontal="center"/>
    </xf>
    <xf numFmtId="0" fontId="2" fillId="12" borderId="1" xfId="0" applyFont="1" applyFill="1" applyBorder="1" applyAlignment="1">
      <alignment horizontal="left" vertical="center"/>
    </xf>
    <xf numFmtId="0" fontId="2" fillId="12" borderId="1" xfId="0" applyFont="1" applyFill="1" applyBorder="1" applyAlignment="1">
      <alignment horizontal="center" vertical="center"/>
    </xf>
    <xf numFmtId="0" fontId="3" fillId="13" borderId="2" xfId="0" applyFont="1" applyFill="1" applyBorder="1" applyAlignment="1">
      <alignment horizontal="center" vertical="center"/>
    </xf>
    <xf numFmtId="0" fontId="3" fillId="13" borderId="2" xfId="0" applyFont="1" applyFill="1" applyBorder="1" applyAlignment="1">
      <alignment horizontal="center"/>
    </xf>
    <xf numFmtId="0" fontId="34" fillId="14" borderId="14" xfId="0" applyFont="1" applyFill="1" applyBorder="1"/>
    <xf numFmtId="0" fontId="2" fillId="14" borderId="15" xfId="0" applyFont="1" applyFill="1" applyBorder="1"/>
    <xf numFmtId="0" fontId="35" fillId="14" borderId="7" xfId="0" applyFont="1" applyFill="1" applyBorder="1"/>
    <xf numFmtId="0" fontId="2" fillId="9" borderId="1" xfId="0" applyFont="1" applyFill="1" applyBorder="1" applyAlignment="1">
      <alignment horizontal="center"/>
    </xf>
    <xf numFmtId="0" fontId="29" fillId="0" borderId="1" xfId="0" applyFont="1" applyBorder="1" applyAlignment="1">
      <alignment horizontal="center"/>
    </xf>
    <xf numFmtId="0" fontId="29" fillId="15" borderId="1" xfId="0" applyFont="1" applyFill="1" applyBorder="1" applyAlignment="1">
      <alignment horizontal="center"/>
    </xf>
    <xf numFmtId="0" fontId="33" fillId="7" borderId="1" xfId="0" applyFont="1" applyFill="1" applyBorder="1" applyAlignment="1">
      <alignment horizontal="center"/>
    </xf>
    <xf numFmtId="0" fontId="36" fillId="7" borderId="1" xfId="0" applyFont="1" applyFill="1" applyBorder="1" applyAlignment="1">
      <alignment horizontal="center"/>
    </xf>
    <xf numFmtId="0" fontId="33" fillId="15" borderId="1" xfId="0" applyFont="1" applyFill="1" applyBorder="1" applyAlignment="1">
      <alignment horizontal="center"/>
    </xf>
    <xf numFmtId="0" fontId="29" fillId="12" borderId="1" xfId="0" applyFont="1" applyFill="1" applyBorder="1"/>
    <xf numFmtId="0" fontId="33" fillId="7" borderId="1" xfId="0" applyFont="1" applyFill="1" applyBorder="1" applyAlignment="1">
      <alignment horizontal="center" vertical="center"/>
    </xf>
    <xf numFmtId="0" fontId="37" fillId="7" borderId="0" xfId="0" applyFont="1" applyFill="1" applyAlignment="1">
      <alignment horizontal="center" vertical="center"/>
    </xf>
    <xf numFmtId="0" fontId="33" fillId="7" borderId="15" xfId="0" applyFont="1" applyFill="1" applyBorder="1" applyAlignment="1">
      <alignment horizontal="right"/>
    </xf>
    <xf numFmtId="0" fontId="33" fillId="7" borderId="7" xfId="0" applyFont="1" applyFill="1" applyBorder="1"/>
    <xf numFmtId="0" fontId="33" fillId="7" borderId="14" xfId="0" applyFont="1" applyFill="1" applyBorder="1"/>
    <xf numFmtId="0" fontId="5" fillId="9" borderId="1" xfId="0" quotePrefix="1" applyFont="1" applyFill="1" applyBorder="1" applyAlignment="1">
      <alignment horizontal="center"/>
    </xf>
    <xf numFmtId="0" fontId="0" fillId="15" borderId="1" xfId="0" applyFill="1" applyBorder="1"/>
    <xf numFmtId="0" fontId="38" fillId="0" borderId="0" xfId="0" applyFont="1"/>
    <xf numFmtId="0" fontId="39" fillId="7" borderId="1" xfId="0" applyFont="1" applyFill="1" applyBorder="1" applyAlignment="1">
      <alignment horizontal="center"/>
    </xf>
    <xf numFmtId="178" fontId="5" fillId="9" borderId="1" xfId="1" applyNumberFormat="1" applyFont="1" applyFill="1" applyBorder="1" applyAlignment="1">
      <alignment horizontal="center" vertical="center"/>
    </xf>
    <xf numFmtId="0" fontId="30" fillId="16" borderId="1" xfId="1" applyFont="1" applyFill="1" applyBorder="1" applyAlignment="1">
      <alignment horizontal="center" vertical="center"/>
    </xf>
    <xf numFmtId="0" fontId="20" fillId="2" borderId="2" xfId="0" applyFont="1" applyFill="1" applyBorder="1" applyAlignment="1" applyProtection="1">
      <alignment horizontal="center" vertical="center"/>
      <protection locked="0"/>
    </xf>
    <xf numFmtId="0" fontId="5" fillId="0" borderId="0" xfId="0" applyFont="1"/>
    <xf numFmtId="0" fontId="5" fillId="0" borderId="0" xfId="0" applyFont="1" applyFill="1" applyBorder="1" applyAlignment="1">
      <alignment vertical="center"/>
    </xf>
    <xf numFmtId="0" fontId="21" fillId="14" borderId="14" xfId="0" applyFont="1" applyFill="1" applyBorder="1"/>
    <xf numFmtId="0" fontId="4" fillId="13" borderId="2" xfId="0" applyFont="1" applyFill="1" applyBorder="1" applyAlignment="1">
      <alignment horizontal="center" vertical="center"/>
    </xf>
    <xf numFmtId="0" fontId="5" fillId="12" borderId="1" xfId="0" applyFont="1" applyFill="1" applyBorder="1"/>
    <xf numFmtId="0" fontId="5" fillId="9" borderId="1" xfId="0" applyFont="1" applyFill="1" applyBorder="1" applyAlignment="1">
      <alignment horizontal="center" vertical="center"/>
    </xf>
    <xf numFmtId="0" fontId="5" fillId="9" borderId="1" xfId="0" applyFont="1" applyFill="1" applyBorder="1" applyAlignment="1">
      <alignment horizontal="center"/>
    </xf>
    <xf numFmtId="0" fontId="5" fillId="12" borderId="1" xfId="0" applyFont="1" applyFill="1" applyBorder="1" applyAlignment="1">
      <alignment horizontal="center"/>
    </xf>
    <xf numFmtId="0" fontId="5" fillId="12" borderId="1" xfId="0" applyFont="1" applyFill="1" applyBorder="1" applyAlignment="1">
      <alignment horizontal="center" vertical="center"/>
    </xf>
    <xf numFmtId="0" fontId="5" fillId="0" borderId="1" xfId="0" applyFont="1" applyBorder="1" applyAlignment="1">
      <alignment horizontal="center"/>
    </xf>
    <xf numFmtId="0" fontId="29" fillId="17" borderId="1" xfId="0" applyFont="1" applyFill="1" applyBorder="1"/>
    <xf numFmtId="0" fontId="29" fillId="14" borderId="1" xfId="0" applyFont="1" applyFill="1" applyBorder="1"/>
    <xf numFmtId="0" fontId="2" fillId="17" borderId="1" xfId="0" applyFont="1" applyFill="1" applyBorder="1"/>
    <xf numFmtId="0" fontId="2" fillId="14" borderId="1" xfId="0" applyFont="1" applyFill="1" applyBorder="1"/>
    <xf numFmtId="0" fontId="5" fillId="17" borderId="1" xfId="0" applyFont="1" applyFill="1" applyBorder="1"/>
    <xf numFmtId="0" fontId="33" fillId="7" borderId="1" xfId="1" applyFont="1" applyFill="1" applyBorder="1">
      <alignment vertical="center"/>
    </xf>
    <xf numFmtId="0" fontId="31" fillId="0" borderId="1" xfId="0" applyFont="1" applyBorder="1" applyAlignment="1">
      <alignment horizontal="center"/>
    </xf>
    <xf numFmtId="0" fontId="29" fillId="18" borderId="1" xfId="0" applyFont="1" applyFill="1" applyBorder="1" applyAlignment="1">
      <alignment horizontal="center"/>
    </xf>
    <xf numFmtId="0" fontId="29" fillId="14" borderId="1" xfId="0" applyFont="1" applyFill="1" applyBorder="1" applyAlignment="1">
      <alignment horizontal="center"/>
    </xf>
    <xf numFmtId="0" fontId="3" fillId="19" borderId="1" xfId="0" applyFont="1" applyFill="1" applyBorder="1" applyAlignment="1">
      <alignment horizontal="center"/>
    </xf>
    <xf numFmtId="0" fontId="33" fillId="20" borderId="1" xfId="0" applyFont="1" applyFill="1" applyBorder="1" applyAlignment="1">
      <alignment horizontal="center"/>
    </xf>
    <xf numFmtId="0" fontId="33" fillId="20" borderId="1" xfId="0" applyFont="1" applyFill="1" applyBorder="1" applyAlignment="1">
      <alignment horizontal="left" vertical="center"/>
    </xf>
    <xf numFmtId="0" fontId="33" fillId="20" borderId="1" xfId="0" applyFont="1" applyFill="1" applyBorder="1" applyAlignment="1">
      <alignment horizontal="center" vertical="center"/>
    </xf>
    <xf numFmtId="0" fontId="33" fillId="20" borderId="1" xfId="0" applyFont="1" applyFill="1" applyBorder="1"/>
    <xf numFmtId="0" fontId="28" fillId="0" borderId="0" xfId="0" applyFont="1"/>
    <xf numFmtId="0" fontId="33" fillId="0" borderId="0" xfId="0" applyFont="1"/>
    <xf numFmtId="0" fontId="40" fillId="21" borderId="1" xfId="0" applyFont="1" applyFill="1" applyBorder="1" applyProtection="1">
      <protection locked="0"/>
    </xf>
    <xf numFmtId="0" fontId="40" fillId="21" borderId="2" xfId="0" applyFont="1" applyFill="1" applyBorder="1" applyProtection="1">
      <protection locked="0"/>
    </xf>
    <xf numFmtId="49" fontId="40" fillId="21" borderId="1" xfId="0" applyNumberFormat="1" applyFont="1" applyFill="1" applyBorder="1" applyAlignment="1" applyProtection="1">
      <alignment horizontal="center"/>
      <protection locked="0"/>
    </xf>
    <xf numFmtId="49" fontId="41" fillId="21" borderId="1" xfId="0" applyNumberFormat="1" applyFont="1" applyFill="1" applyBorder="1" applyAlignment="1" applyProtection="1">
      <alignment horizontal="center"/>
      <protection locked="0"/>
    </xf>
    <xf numFmtId="0" fontId="11" fillId="5" borderId="0" xfId="0" applyFont="1" applyFill="1" applyAlignment="1">
      <alignment horizontal="center"/>
    </xf>
    <xf numFmtId="0" fontId="9" fillId="4" borderId="1" xfId="0" applyFont="1" applyFill="1" applyBorder="1" applyAlignment="1">
      <alignment horizontal="center"/>
    </xf>
    <xf numFmtId="0" fontId="5" fillId="22" borderId="1" xfId="0" applyFont="1" applyFill="1" applyBorder="1" applyAlignment="1">
      <alignment horizontal="center"/>
    </xf>
    <xf numFmtId="0" fontId="9" fillId="23" borderId="1" xfId="0" applyFont="1" applyFill="1" applyBorder="1" applyAlignment="1">
      <alignment horizontal="center"/>
    </xf>
    <xf numFmtId="0" fontId="4" fillId="21" borderId="1" xfId="1" applyFont="1" applyFill="1" applyBorder="1" applyAlignment="1" applyProtection="1">
      <alignment horizontal="center" vertical="center"/>
      <protection locked="0"/>
    </xf>
    <xf numFmtId="0" fontId="5" fillId="0" borderId="0" xfId="1" applyFont="1" applyProtection="1">
      <alignment vertical="center"/>
      <protection locked="0"/>
    </xf>
    <xf numFmtId="0" fontId="42" fillId="0" borderId="0" xfId="0" applyFont="1"/>
    <xf numFmtId="0" fontId="4" fillId="19" borderId="1" xfId="1" applyFont="1" applyFill="1" applyBorder="1" applyAlignment="1">
      <alignment horizontal="center" vertical="center"/>
    </xf>
    <xf numFmtId="0" fontId="2" fillId="0" borderId="0" xfId="0" applyNumberFormat="1" applyFont="1" applyAlignment="1">
      <alignment horizontal="right"/>
    </xf>
    <xf numFmtId="0" fontId="2" fillId="0" borderId="0" xfId="0" quotePrefix="1" applyNumberFormat="1" applyFont="1" applyAlignment="1">
      <alignment horizontal="right" vertical="top"/>
    </xf>
    <xf numFmtId="0" fontId="2" fillId="0" borderId="0" xfId="0" applyFont="1" applyAlignment="1">
      <alignment vertical="top"/>
    </xf>
    <xf numFmtId="0" fontId="2" fillId="0" borderId="0" xfId="0" applyNumberFormat="1" applyFont="1" applyAlignment="1">
      <alignment horizontal="left" vertical="top"/>
    </xf>
    <xf numFmtId="56" fontId="2" fillId="0" borderId="0" xfId="0" quotePrefix="1" applyNumberFormat="1" applyFont="1" applyAlignment="1">
      <alignment horizontal="right" vertical="top"/>
    </xf>
    <xf numFmtId="56" fontId="2" fillId="0" borderId="0" xfId="0" quotePrefix="1" applyNumberFormat="1" applyFont="1" applyAlignment="1">
      <alignment horizontal="left" vertical="top"/>
    </xf>
    <xf numFmtId="0" fontId="2" fillId="0" borderId="0" xfId="0" quotePrefix="1" applyFont="1" applyAlignment="1">
      <alignment vertical="top"/>
    </xf>
    <xf numFmtId="0" fontId="2" fillId="0" borderId="0" xfId="0" applyNumberFormat="1" applyFont="1" applyAlignment="1">
      <alignment horizontal="right" vertical="top"/>
    </xf>
    <xf numFmtId="0" fontId="2" fillId="0" borderId="0" xfId="0" applyFont="1" applyAlignment="1">
      <alignment vertical="top" wrapText="1"/>
    </xf>
    <xf numFmtId="0" fontId="2" fillId="0" borderId="0" xfId="0" quotePrefix="1" applyNumberFormat="1" applyFont="1" applyAlignment="1">
      <alignment horizontal="left" vertical="top"/>
    </xf>
    <xf numFmtId="0" fontId="2" fillId="0" borderId="0" xfId="0" applyNumberFormat="1" applyFont="1" applyAlignment="1">
      <alignment vertical="center"/>
    </xf>
    <xf numFmtId="0" fontId="2" fillId="0" borderId="0" xfId="0" applyNumberFormat="1" applyFont="1" applyAlignment="1">
      <alignment horizontal="left" vertical="center"/>
    </xf>
    <xf numFmtId="0" fontId="9" fillId="19" borderId="1" xfId="0" applyFont="1" applyFill="1" applyBorder="1" applyAlignment="1">
      <alignment horizontal="center"/>
    </xf>
    <xf numFmtId="0" fontId="13" fillId="0" borderId="0" xfId="0" applyFont="1" applyAlignment="1">
      <alignment horizontal="right"/>
    </xf>
    <xf numFmtId="0" fontId="32" fillId="0" borderId="0" xfId="0" applyFont="1"/>
    <xf numFmtId="0" fontId="2" fillId="0" borderId="0" xfId="0" applyNumberFormat="1" applyFont="1" applyAlignment="1">
      <alignment horizontal="center"/>
    </xf>
    <xf numFmtId="0" fontId="0" fillId="0" borderId="0" xfId="0" applyFont="1"/>
    <xf numFmtId="0" fontId="4" fillId="9" borderId="1" xfId="0" applyFont="1" applyFill="1" applyBorder="1" applyAlignment="1" applyProtection="1">
      <alignment horizontal="center"/>
    </xf>
    <xf numFmtId="0" fontId="33" fillId="7" borderId="2" xfId="0" applyFont="1" applyFill="1" applyBorder="1" applyAlignment="1">
      <alignment horizontal="right"/>
    </xf>
    <xf numFmtId="0" fontId="33" fillId="0" borderId="0" xfId="1" applyFont="1" applyAlignment="1">
      <alignment horizontal="left" vertical="center"/>
    </xf>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2" fillId="20" borderId="1" xfId="0" applyFont="1" applyFill="1" applyBorder="1" applyAlignment="1">
      <alignment horizontal="center" vertical="center"/>
    </xf>
    <xf numFmtId="0" fontId="5" fillId="20" borderId="1" xfId="0" applyFont="1" applyFill="1" applyBorder="1" applyAlignment="1">
      <alignment horizontal="center" vertical="center"/>
    </xf>
    <xf numFmtId="0" fontId="29" fillId="20" borderId="1" xfId="0" applyFont="1" applyFill="1" applyBorder="1"/>
    <xf numFmtId="0" fontId="29" fillId="0" borderId="1" xfId="0" applyFont="1" applyFill="1" applyBorder="1"/>
    <xf numFmtId="0" fontId="23" fillId="2" borderId="2" xfId="0" applyFont="1" applyFill="1" applyBorder="1" applyAlignment="1" applyProtection="1">
      <alignment horizontal="center" vertical="center"/>
      <protection locked="0"/>
    </xf>
    <xf numFmtId="0" fontId="4" fillId="0" borderId="0" xfId="0" applyFont="1" applyFill="1" applyBorder="1" applyAlignment="1" applyProtection="1">
      <alignment horizontal="center"/>
    </xf>
    <xf numFmtId="178" fontId="5" fillId="0" borderId="0" xfId="1" applyNumberFormat="1" applyFont="1" applyFill="1" applyBorder="1" applyAlignment="1">
      <alignment vertical="center"/>
    </xf>
    <xf numFmtId="0" fontId="0" fillId="0" borderId="1" xfId="0" applyBorder="1"/>
    <xf numFmtId="0" fontId="28" fillId="8" borderId="1" xfId="0" applyFont="1" applyFill="1" applyBorder="1"/>
    <xf numFmtId="0" fontId="33" fillId="8" borderId="1" xfId="1" applyFont="1" applyFill="1" applyBorder="1">
      <alignment vertical="center"/>
    </xf>
    <xf numFmtId="176" fontId="4" fillId="9" borderId="1" xfId="0" applyNumberFormat="1" applyFont="1" applyFill="1" applyBorder="1" applyAlignment="1" applyProtection="1">
      <alignment horizontal="center"/>
    </xf>
    <xf numFmtId="176" fontId="5" fillId="9" borderId="1" xfId="1" applyNumberFormat="1" applyFont="1" applyFill="1" applyBorder="1" applyAlignment="1">
      <alignment horizontal="center" vertical="center"/>
    </xf>
    <xf numFmtId="0" fontId="30" fillId="8" borderId="1" xfId="0" applyFont="1" applyFill="1" applyBorder="1" applyAlignment="1">
      <alignment horizontal="center"/>
    </xf>
    <xf numFmtId="0" fontId="29" fillId="7" borderId="5" xfId="0" applyFont="1" applyFill="1" applyBorder="1" applyAlignment="1">
      <alignment horizontal="center"/>
    </xf>
    <xf numFmtId="0" fontId="30" fillId="7" borderId="12" xfId="0" applyFont="1" applyFill="1" applyBorder="1" applyAlignment="1">
      <alignment horizontal="center"/>
    </xf>
    <xf numFmtId="0" fontId="4" fillId="2" borderId="2" xfId="0" applyFont="1" applyFill="1" applyBorder="1" applyAlignment="1" applyProtection="1">
      <alignment horizontal="center"/>
      <protection locked="0"/>
    </xf>
    <xf numFmtId="0" fontId="30" fillId="7" borderId="2" xfId="0" applyFont="1" applyFill="1" applyBorder="1" applyAlignment="1">
      <alignment horizontal="center"/>
    </xf>
    <xf numFmtId="0" fontId="30" fillId="7" borderId="5" xfId="0" applyFont="1" applyFill="1" applyBorder="1" applyAlignment="1">
      <alignment horizontal="center"/>
    </xf>
    <xf numFmtId="0" fontId="30" fillId="7" borderId="6" xfId="0" applyFont="1" applyFill="1" applyBorder="1" applyAlignment="1">
      <alignment horizontal="center"/>
    </xf>
    <xf numFmtId="0" fontId="4" fillId="2" borderId="7" xfId="0" applyFont="1" applyFill="1" applyBorder="1" applyAlignment="1" applyProtection="1">
      <alignment horizontal="center"/>
      <protection locked="0"/>
    </xf>
    <xf numFmtId="0" fontId="0" fillId="0" borderId="0" xfId="0" applyBorder="1"/>
    <xf numFmtId="0" fontId="11" fillId="7" borderId="8" xfId="0" applyFont="1" applyFill="1" applyBorder="1" applyAlignment="1">
      <alignment horizontal="center" vertical="center"/>
    </xf>
    <xf numFmtId="0" fontId="0" fillId="7" borderId="3" xfId="0" applyFill="1" applyBorder="1"/>
    <xf numFmtId="0" fontId="5" fillId="0" borderId="1" xfId="0" applyFont="1" applyFill="1" applyBorder="1" applyAlignment="1" applyProtection="1">
      <alignment horizontal="center"/>
    </xf>
    <xf numFmtId="0" fontId="17" fillId="10" borderId="1" xfId="1" applyFont="1" applyFill="1" applyBorder="1" applyAlignment="1">
      <alignment horizontal="center" vertical="center"/>
    </xf>
    <xf numFmtId="177" fontId="43" fillId="24" borderId="15" xfId="1" applyNumberFormat="1" applyFont="1" applyFill="1" applyBorder="1" applyAlignment="1">
      <alignment horizontal="center" vertical="center"/>
    </xf>
    <xf numFmtId="177" fontId="5" fillId="0" borderId="1" xfId="1" applyNumberFormat="1" applyFont="1" applyBorder="1" applyAlignment="1">
      <alignment horizontal="center" vertical="center"/>
    </xf>
    <xf numFmtId="0" fontId="29" fillId="10" borderId="5" xfId="0" applyFont="1" applyFill="1" applyBorder="1"/>
    <xf numFmtId="0" fontId="0" fillId="10" borderId="4" xfId="0" applyFill="1" applyBorder="1"/>
    <xf numFmtId="0" fontId="0" fillId="10" borderId="10" xfId="0" applyFill="1" applyBorder="1"/>
    <xf numFmtId="0" fontId="0" fillId="10" borderId="12" xfId="0" applyFill="1" applyBorder="1"/>
    <xf numFmtId="0" fontId="0" fillId="10" borderId="0" xfId="0" applyFill="1" applyBorder="1"/>
    <xf numFmtId="0" fontId="0" fillId="10" borderId="13" xfId="0" applyFill="1" applyBorder="1"/>
    <xf numFmtId="0" fontId="5" fillId="10" borderId="6" xfId="1" applyFont="1" applyFill="1" applyBorder="1">
      <alignment vertical="center"/>
    </xf>
    <xf numFmtId="0" fontId="5" fillId="10" borderId="9" xfId="1" applyFont="1" applyFill="1" applyBorder="1">
      <alignment vertical="center"/>
    </xf>
    <xf numFmtId="0" fontId="5" fillId="10" borderId="11" xfId="1" applyFont="1" applyFill="1" applyBorder="1">
      <alignment vertical="center"/>
    </xf>
    <xf numFmtId="177" fontId="43" fillId="25" borderId="15" xfId="1" applyNumberFormat="1" applyFont="1" applyFill="1" applyBorder="1" applyAlignment="1">
      <alignment horizontal="center" vertical="center"/>
    </xf>
    <xf numFmtId="0" fontId="9" fillId="8" borderId="8" xfId="1" applyFont="1" applyFill="1" applyBorder="1" applyAlignment="1">
      <alignment vertical="center" wrapText="1"/>
    </xf>
    <xf numFmtId="0" fontId="9" fillId="8" borderId="3" xfId="1" applyFont="1" applyFill="1" applyBorder="1" applyAlignment="1">
      <alignment vertical="center" wrapText="1"/>
    </xf>
    <xf numFmtId="0" fontId="30" fillId="26" borderId="1" xfId="1" applyFont="1" applyFill="1" applyBorder="1">
      <alignment vertical="center"/>
    </xf>
    <xf numFmtId="178" fontId="5" fillId="9" borderId="2" xfId="0" applyNumberFormat="1" applyFont="1" applyFill="1" applyBorder="1" applyAlignment="1" applyProtection="1">
      <alignment horizontal="center"/>
    </xf>
    <xf numFmtId="0" fontId="5" fillId="9" borderId="11" xfId="1" applyFont="1" applyFill="1" applyBorder="1">
      <alignment vertical="center"/>
    </xf>
    <xf numFmtId="0" fontId="31" fillId="0" borderId="15" xfId="0" applyFont="1" applyFill="1" applyBorder="1" applyAlignment="1">
      <alignment horizontal="center"/>
    </xf>
    <xf numFmtId="0" fontId="2" fillId="0" borderId="1" xfId="0" applyFont="1" applyFill="1" applyBorder="1" applyAlignment="1">
      <alignment horizontal="center"/>
    </xf>
    <xf numFmtId="0" fontId="44" fillId="0" borderId="0" xfId="0" applyFont="1"/>
    <xf numFmtId="0" fontId="30" fillId="8" borderId="7" xfId="0" applyFont="1" applyFill="1" applyBorder="1" applyAlignment="1">
      <alignment horizontal="center"/>
    </xf>
    <xf numFmtId="0" fontId="23" fillId="2" borderId="6" xfId="0" applyFont="1" applyFill="1" applyBorder="1" applyAlignment="1" applyProtection="1">
      <alignment horizontal="center" vertical="center"/>
      <protection locked="0"/>
    </xf>
    <xf numFmtId="0" fontId="4" fillId="21" borderId="7" xfId="1" applyFont="1" applyFill="1" applyBorder="1" applyAlignment="1" applyProtection="1">
      <alignment horizontal="center" vertical="center"/>
      <protection locked="0"/>
    </xf>
    <xf numFmtId="179" fontId="5" fillId="9" borderId="2" xfId="1" applyNumberFormat="1" applyFont="1" applyFill="1" applyBorder="1" applyAlignment="1">
      <alignment horizontal="center" vertical="center"/>
    </xf>
    <xf numFmtId="0" fontId="0" fillId="8" borderId="3" xfId="0" applyFill="1" applyBorder="1"/>
    <xf numFmtId="0" fontId="0" fillId="8" borderId="5" xfId="0" applyFill="1" applyBorder="1"/>
    <xf numFmtId="0" fontId="30" fillId="8" borderId="12" xfId="1" applyFont="1" applyFill="1" applyBorder="1" applyAlignment="1">
      <alignment horizontal="center" vertical="center"/>
    </xf>
    <xf numFmtId="0" fontId="30" fillId="8" borderId="6" xfId="1" applyFont="1" applyFill="1" applyBorder="1" applyAlignment="1">
      <alignment horizontal="center" vertical="center"/>
    </xf>
    <xf numFmtId="0" fontId="33" fillId="16" borderId="1" xfId="1" applyFont="1" applyFill="1" applyBorder="1" applyAlignment="1">
      <alignment horizontal="center" vertical="center"/>
    </xf>
    <xf numFmtId="0" fontId="2" fillId="27" borderId="1" xfId="0" applyFont="1" applyFill="1" applyBorder="1" applyAlignment="1" applyProtection="1">
      <alignment horizontal="center"/>
      <protection locked="0"/>
    </xf>
    <xf numFmtId="0" fontId="2" fillId="27" borderId="1" xfId="0" applyFont="1" applyFill="1" applyBorder="1" applyProtection="1">
      <protection locked="0"/>
    </xf>
    <xf numFmtId="0" fontId="2" fillId="27" borderId="1" xfId="0" quotePrefix="1" applyFont="1" applyFill="1" applyBorder="1" applyAlignment="1" applyProtection="1">
      <alignment horizontal="center" vertical="center"/>
      <protection locked="0"/>
    </xf>
    <xf numFmtId="0" fontId="5" fillId="27" borderId="1" xfId="0" quotePrefix="1" applyFont="1" applyFill="1" applyBorder="1" applyAlignment="1" applyProtection="1">
      <alignment horizontal="center"/>
      <protection locked="0"/>
    </xf>
    <xf numFmtId="0" fontId="29" fillId="27" borderId="1" xfId="0" applyFont="1" applyFill="1" applyBorder="1" applyProtection="1">
      <protection locked="0"/>
    </xf>
    <xf numFmtId="0" fontId="33" fillId="27" borderId="1" xfId="0" applyFont="1" applyFill="1" applyBorder="1" applyAlignment="1" applyProtection="1">
      <alignment horizontal="center"/>
      <protection locked="0"/>
    </xf>
    <xf numFmtId="0" fontId="33" fillId="27" borderId="1" xfId="0" applyFont="1" applyFill="1" applyBorder="1" applyAlignment="1" applyProtection="1">
      <alignment horizontal="left" vertical="center"/>
      <protection locked="0"/>
    </xf>
    <xf numFmtId="0" fontId="2" fillId="27" borderId="1" xfId="0" applyFont="1" applyFill="1" applyBorder="1" applyAlignment="1" applyProtection="1">
      <alignment horizontal="center" vertical="center"/>
      <protection locked="0"/>
    </xf>
    <xf numFmtId="0" fontId="5" fillId="27" borderId="1" xfId="0" applyFont="1" applyFill="1" applyBorder="1" applyAlignment="1" applyProtection="1">
      <alignment horizontal="center" vertical="center"/>
      <protection locked="0"/>
    </xf>
    <xf numFmtId="0" fontId="4" fillId="21" borderId="2" xfId="1" applyFont="1" applyFill="1" applyBorder="1" applyProtection="1">
      <alignment vertical="center"/>
      <protection locked="0"/>
    </xf>
    <xf numFmtId="0" fontId="33" fillId="0" borderId="0" xfId="0" applyFont="1" applyProtection="1"/>
    <xf numFmtId="0" fontId="30" fillId="8" borderId="8" xfId="1" applyFont="1" applyFill="1" applyBorder="1" applyAlignment="1">
      <alignment horizontal="center" vertical="center"/>
    </xf>
    <xf numFmtId="0" fontId="30" fillId="8" borderId="2" xfId="1" applyFont="1" applyFill="1" applyBorder="1" applyAlignment="1">
      <alignment horizontal="center" vertical="center"/>
    </xf>
    <xf numFmtId="0" fontId="4" fillId="0" borderId="0" xfId="0" applyFont="1" applyFill="1" applyBorder="1" applyAlignment="1" applyProtection="1">
      <alignment horizontal="center" vertical="center"/>
      <protection locked="0"/>
    </xf>
    <xf numFmtId="0" fontId="33" fillId="0" borderId="0" xfId="1" applyFont="1" applyFill="1" applyBorder="1">
      <alignment vertical="center"/>
    </xf>
    <xf numFmtId="176" fontId="5" fillId="9" borderId="1" xfId="1" applyNumberFormat="1" applyFont="1" applyFill="1" applyBorder="1" applyAlignment="1">
      <alignment horizontal="right" vertical="center"/>
    </xf>
    <xf numFmtId="0" fontId="5" fillId="0" borderId="0" xfId="1" applyFont="1" applyBorder="1" applyAlignment="1">
      <alignment horizontal="center" vertical="center"/>
    </xf>
    <xf numFmtId="0" fontId="4" fillId="9" borderId="1" xfId="1" applyFont="1" applyFill="1" applyBorder="1">
      <alignment vertical="center"/>
    </xf>
    <xf numFmtId="0" fontId="30" fillId="8" borderId="1" xfId="0" applyFont="1" applyFill="1" applyBorder="1" applyAlignment="1">
      <alignment horizontal="center" wrapText="1"/>
    </xf>
    <xf numFmtId="0" fontId="30" fillId="8" borderId="1" xfId="1" applyFont="1" applyFill="1" applyBorder="1" applyAlignment="1">
      <alignment horizontal="center" vertical="center" wrapText="1"/>
    </xf>
    <xf numFmtId="0" fontId="30" fillId="8" borderId="1" xfId="1" applyFont="1" applyFill="1" applyBorder="1" applyAlignment="1">
      <alignment horizontal="center" vertical="center"/>
    </xf>
    <xf numFmtId="0" fontId="5" fillId="0" borderId="0" xfId="1" quotePrefix="1" applyFont="1" applyBorder="1" applyAlignment="1">
      <alignment horizontal="right" vertical="center"/>
    </xf>
    <xf numFmtId="0" fontId="5" fillId="0" borderId="0" xfId="1" applyFont="1" applyFill="1" applyBorder="1" applyAlignment="1">
      <alignment horizontal="right" vertical="center"/>
    </xf>
    <xf numFmtId="0" fontId="5" fillId="0" borderId="0" xfId="0" applyFont="1" applyFill="1" applyBorder="1" applyAlignment="1" applyProtection="1">
      <alignment horizontal="center"/>
    </xf>
    <xf numFmtId="0" fontId="2" fillId="0" borderId="1" xfId="0" applyFont="1" applyFill="1" applyBorder="1" applyAlignment="1">
      <alignment horizontal="left"/>
    </xf>
    <xf numFmtId="0" fontId="2" fillId="0" borderId="1" xfId="0" quotePrefix="1" applyFont="1" applyFill="1" applyBorder="1" applyAlignment="1">
      <alignment horizontal="center"/>
    </xf>
    <xf numFmtId="0" fontId="0" fillId="0" borderId="0" xfId="0" applyProtection="1"/>
    <xf numFmtId="0" fontId="33" fillId="7" borderId="1" xfId="0" applyFont="1" applyFill="1" applyBorder="1" applyAlignment="1" applyProtection="1">
      <alignment horizontal="center"/>
    </xf>
    <xf numFmtId="0" fontId="37" fillId="7" borderId="1" xfId="0" applyFont="1" applyFill="1" applyBorder="1" applyAlignment="1" applyProtection="1">
      <alignment horizontal="center"/>
    </xf>
    <xf numFmtId="0" fontId="0" fillId="7" borderId="14" xfId="0" applyFill="1" applyBorder="1" applyProtection="1"/>
    <xf numFmtId="0" fontId="0" fillId="7" borderId="15" xfId="0" applyFill="1" applyBorder="1" applyProtection="1"/>
    <xf numFmtId="0" fontId="37" fillId="7" borderId="15" xfId="0" applyFont="1" applyFill="1" applyBorder="1" applyAlignment="1" applyProtection="1">
      <alignment horizontal="center"/>
    </xf>
    <xf numFmtId="0" fontId="17" fillId="9" borderId="15" xfId="0" applyFont="1" applyFill="1" applyBorder="1" applyAlignment="1" applyProtection="1">
      <alignment horizontal="center"/>
    </xf>
    <xf numFmtId="0" fontId="30" fillId="7" borderId="1" xfId="0" applyFont="1" applyFill="1" applyBorder="1" applyAlignment="1">
      <alignment horizontal="center"/>
    </xf>
    <xf numFmtId="0" fontId="31" fillId="0" borderId="1" xfId="0" applyFont="1" applyFill="1" applyBorder="1" applyAlignment="1" applyProtection="1">
      <alignment horizontal="center"/>
    </xf>
    <xf numFmtId="0" fontId="33" fillId="7" borderId="7" xfId="0" applyFont="1" applyFill="1" applyBorder="1" applyAlignment="1" applyProtection="1">
      <alignment horizontal="center"/>
    </xf>
    <xf numFmtId="0" fontId="33" fillId="7" borderId="15" xfId="0" applyFont="1" applyFill="1" applyBorder="1" applyAlignment="1" applyProtection="1">
      <alignment horizontal="center"/>
    </xf>
    <xf numFmtId="0" fontId="31" fillId="0" borderId="7" xfId="0" applyFont="1" applyFill="1" applyBorder="1" applyAlignment="1" applyProtection="1">
      <alignment horizontal="center"/>
    </xf>
    <xf numFmtId="0" fontId="33" fillId="7" borderId="14" xfId="0" applyFont="1" applyFill="1" applyBorder="1" applyAlignment="1" applyProtection="1">
      <alignment horizontal="center"/>
    </xf>
    <xf numFmtId="0" fontId="33" fillId="7" borderId="5" xfId="0" applyFont="1" applyFill="1" applyBorder="1" applyAlignment="1" applyProtection="1">
      <alignment horizontal="center"/>
    </xf>
    <xf numFmtId="0" fontId="33" fillId="7" borderId="4" xfId="0" applyFont="1" applyFill="1" applyBorder="1" applyAlignment="1" applyProtection="1">
      <alignment horizontal="center"/>
    </xf>
    <xf numFmtId="0" fontId="33" fillId="7" borderId="10" xfId="0" applyFont="1" applyFill="1" applyBorder="1" applyAlignment="1" applyProtection="1">
      <alignment horizontal="center"/>
    </xf>
    <xf numFmtId="0" fontId="33" fillId="7" borderId="3" xfId="0" applyFont="1" applyFill="1" applyBorder="1" applyAlignment="1" applyProtection="1">
      <alignment horizontal="center"/>
    </xf>
    <xf numFmtId="0" fontId="37" fillId="7" borderId="14" xfId="0" applyFont="1" applyFill="1" applyBorder="1" applyAlignment="1" applyProtection="1">
      <alignment horizontal="center"/>
    </xf>
    <xf numFmtId="0" fontId="37" fillId="7" borderId="4" xfId="0" applyFont="1" applyFill="1" applyBorder="1" applyAlignment="1" applyProtection="1">
      <alignment horizontal="center"/>
    </xf>
    <xf numFmtId="0" fontId="37" fillId="7" borderId="10" xfId="0" applyFont="1" applyFill="1" applyBorder="1" applyAlignment="1" applyProtection="1">
      <alignment horizontal="center"/>
    </xf>
    <xf numFmtId="0" fontId="37" fillId="7" borderId="3" xfId="0" applyFont="1" applyFill="1" applyBorder="1" applyAlignment="1" applyProtection="1">
      <alignment horizontal="center"/>
    </xf>
    <xf numFmtId="0" fontId="37" fillId="7" borderId="7" xfId="0" applyFont="1" applyFill="1" applyBorder="1" applyAlignment="1" applyProtection="1">
      <alignment horizontal="center"/>
    </xf>
    <xf numFmtId="0" fontId="37" fillId="7" borderId="5" xfId="0" applyFont="1" applyFill="1" applyBorder="1" applyAlignment="1" applyProtection="1">
      <alignment horizontal="center"/>
    </xf>
    <xf numFmtId="0" fontId="33" fillId="7" borderId="14" xfId="0" applyFont="1" applyFill="1" applyBorder="1" applyAlignment="1" applyProtection="1">
      <alignment horizontal="right"/>
    </xf>
    <xf numFmtId="0" fontId="5" fillId="28" borderId="1" xfId="1" applyFont="1" applyFill="1" applyBorder="1" applyAlignment="1" applyProtection="1">
      <alignment horizontal="center" vertical="center"/>
      <protection locked="0"/>
    </xf>
    <xf numFmtId="0" fontId="5" fillId="28" borderId="7" xfId="1" applyFont="1" applyFill="1" applyBorder="1" applyAlignment="1" applyProtection="1">
      <alignment horizontal="center" vertical="center"/>
      <protection locked="0"/>
    </xf>
    <xf numFmtId="0" fontId="5" fillId="28" borderId="6" xfId="1" applyFont="1" applyFill="1" applyBorder="1" applyAlignment="1" applyProtection="1">
      <alignment horizontal="center" vertical="center"/>
      <protection locked="0"/>
    </xf>
    <xf numFmtId="0" fontId="5" fillId="28" borderId="1" xfId="0" quotePrefix="1" applyFont="1" applyFill="1" applyBorder="1" applyAlignment="1" applyProtection="1">
      <alignment horizontal="center"/>
      <protection locked="0"/>
    </xf>
    <xf numFmtId="0" fontId="5" fillId="28" borderId="5" xfId="1" applyFont="1" applyFill="1" applyBorder="1" applyAlignment="1" applyProtection="1">
      <alignment horizontal="center" vertical="center"/>
      <protection locked="0"/>
    </xf>
    <xf numFmtId="0" fontId="5" fillId="28" borderId="3" xfId="1" applyFont="1" applyFill="1" applyBorder="1" applyAlignment="1" applyProtection="1">
      <alignment horizontal="center" vertical="center"/>
      <protection locked="0"/>
    </xf>
    <xf numFmtId="0" fontId="29" fillId="28" borderId="1" xfId="0" applyFont="1" applyFill="1" applyBorder="1" applyAlignment="1" applyProtection="1">
      <alignment horizontal="center"/>
      <protection locked="0"/>
    </xf>
    <xf numFmtId="0" fontId="29" fillId="28" borderId="1" xfId="0" applyFont="1" applyFill="1" applyBorder="1" applyAlignment="1">
      <alignment horizontal="center"/>
    </xf>
    <xf numFmtId="0" fontId="5" fillId="11" borderId="1" xfId="1" quotePrefix="1" applyFont="1" applyFill="1" applyBorder="1" applyAlignment="1">
      <alignment horizontal="right" vertical="center"/>
    </xf>
    <xf numFmtId="0" fontId="33" fillId="8" borderId="3" xfId="0" applyFont="1" applyFill="1" applyBorder="1" applyAlignment="1">
      <alignment horizontal="center"/>
    </xf>
    <xf numFmtId="0" fontId="45" fillId="6" borderId="1" xfId="1" applyFont="1" applyFill="1" applyBorder="1" applyAlignment="1">
      <alignment horizontal="center" vertical="center"/>
    </xf>
    <xf numFmtId="0" fontId="0" fillId="8" borderId="0" xfId="0" applyFill="1"/>
    <xf numFmtId="0" fontId="5" fillId="8" borderId="0" xfId="1" applyFont="1" applyFill="1">
      <alignment vertical="center"/>
    </xf>
    <xf numFmtId="0" fontId="0" fillId="0" borderId="0" xfId="0" applyFill="1"/>
    <xf numFmtId="0" fontId="46" fillId="8" borderId="0" xfId="1" applyFont="1" applyFill="1" applyAlignment="1">
      <alignment horizontal="center" vertical="center"/>
    </xf>
    <xf numFmtId="0" fontId="47" fillId="8" borderId="0" xfId="1" applyFont="1" applyFill="1" applyAlignment="1">
      <alignment horizontal="center" vertical="center"/>
    </xf>
    <xf numFmtId="0" fontId="23" fillId="2" borderId="1" xfId="0" applyFont="1" applyFill="1" applyBorder="1" applyAlignment="1" applyProtection="1">
      <alignment horizontal="center" vertical="center"/>
      <protection locked="0"/>
    </xf>
    <xf numFmtId="0" fontId="33" fillId="8" borderId="8" xfId="1" applyFont="1" applyFill="1" applyBorder="1" applyAlignment="1">
      <alignment horizontal="center" vertical="center" wrapText="1"/>
    </xf>
    <xf numFmtId="0" fontId="28" fillId="0" borderId="0" xfId="0" applyFont="1" applyFill="1"/>
    <xf numFmtId="180" fontId="4" fillId="9" borderId="1" xfId="1" applyNumberFormat="1" applyFont="1" applyFill="1" applyBorder="1" applyAlignment="1">
      <alignment horizontal="center" vertical="center"/>
    </xf>
    <xf numFmtId="0" fontId="3" fillId="0" borderId="0" xfId="0" applyNumberFormat="1" applyFont="1" applyAlignment="1">
      <alignment horizontal="left"/>
    </xf>
    <xf numFmtId="0" fontId="48" fillId="8" borderId="0" xfId="0" applyFont="1" applyFill="1"/>
    <xf numFmtId="0" fontId="29" fillId="9" borderId="7" xfId="0" applyFont="1" applyFill="1" applyBorder="1" applyAlignment="1" applyProtection="1">
      <alignment horizontal="center"/>
    </xf>
    <xf numFmtId="0" fontId="36" fillId="7" borderId="1" xfId="0" applyFont="1" applyFill="1" applyBorder="1" applyAlignment="1" applyProtection="1">
      <alignment horizontal="center"/>
    </xf>
    <xf numFmtId="0" fontId="36" fillId="7" borderId="15" xfId="0" applyFont="1" applyFill="1" applyBorder="1" applyAlignment="1" applyProtection="1">
      <alignment horizontal="center"/>
    </xf>
    <xf numFmtId="0" fontId="36" fillId="7" borderId="10" xfId="0" applyFont="1" applyFill="1" applyBorder="1" applyAlignment="1" applyProtection="1">
      <alignment horizontal="center"/>
    </xf>
    <xf numFmtId="0" fontId="37" fillId="7" borderId="8" xfId="0" applyFont="1" applyFill="1" applyBorder="1" applyAlignment="1" applyProtection="1">
      <alignment horizontal="center"/>
    </xf>
    <xf numFmtId="0" fontId="5" fillId="28" borderId="8" xfId="1" applyFont="1" applyFill="1" applyBorder="1" applyAlignment="1" applyProtection="1">
      <alignment horizontal="center" vertical="center"/>
      <protection locked="0"/>
    </xf>
    <xf numFmtId="0" fontId="37" fillId="7" borderId="2" xfId="0" applyFont="1" applyFill="1" applyBorder="1" applyAlignment="1" applyProtection="1">
      <alignment horizontal="center"/>
    </xf>
    <xf numFmtId="0" fontId="5" fillId="28" borderId="2" xfId="1" applyFont="1" applyFill="1" applyBorder="1" applyAlignment="1" applyProtection="1">
      <alignment horizontal="center" vertical="center"/>
      <protection locked="0"/>
    </xf>
    <xf numFmtId="0" fontId="5" fillId="0" borderId="1" xfId="0" applyFont="1" applyFill="1" applyBorder="1" applyAlignment="1">
      <alignment horizontal="center"/>
    </xf>
    <xf numFmtId="0" fontId="49" fillId="0" borderId="1" xfId="0" applyFont="1" applyBorder="1" applyAlignment="1">
      <alignment horizontal="center"/>
    </xf>
    <xf numFmtId="0" fontId="27" fillId="0" borderId="1" xfId="0" applyFont="1" applyBorder="1" applyAlignment="1">
      <alignment horizontal="center"/>
    </xf>
    <xf numFmtId="176" fontId="5" fillId="0" borderId="1" xfId="1" applyNumberFormat="1" applyFont="1" applyFill="1" applyBorder="1" applyAlignment="1">
      <alignment horizontal="center" vertical="center"/>
    </xf>
    <xf numFmtId="0" fontId="4" fillId="0" borderId="1" xfId="1" applyFont="1" applyFill="1" applyBorder="1" applyAlignment="1" applyProtection="1">
      <alignment horizontal="center" vertical="center"/>
    </xf>
    <xf numFmtId="0" fontId="29" fillId="28" borderId="14" xfId="0" applyFont="1" applyFill="1" applyBorder="1" applyAlignment="1" applyProtection="1">
      <alignment horizontal="center"/>
      <protection locked="0"/>
    </xf>
    <xf numFmtId="0" fontId="28" fillId="0" borderId="0" xfId="0" applyFont="1" applyProtection="1"/>
    <xf numFmtId="0" fontId="33" fillId="29" borderId="1" xfId="0" applyFont="1" applyFill="1" applyBorder="1" applyAlignment="1">
      <alignment horizontal="center"/>
    </xf>
    <xf numFmtId="0" fontId="33" fillId="0" borderId="0" xfId="1" applyFont="1" applyAlignment="1">
      <alignment horizontal="center" vertical="center"/>
    </xf>
    <xf numFmtId="0" fontId="33" fillId="0" borderId="0" xfId="1" applyFont="1" applyAlignment="1">
      <alignment horizontal="right" vertical="center"/>
    </xf>
    <xf numFmtId="0" fontId="12" fillId="0" borderId="0" xfId="0" applyFont="1" applyProtection="1"/>
    <xf numFmtId="0" fontId="5" fillId="0" borderId="0" xfId="0" applyFont="1" applyProtection="1"/>
    <xf numFmtId="0" fontId="42" fillId="0" borderId="0" xfId="0" applyFont="1" applyProtection="1"/>
    <xf numFmtId="0" fontId="3" fillId="19" borderId="1" xfId="0" applyFont="1" applyFill="1" applyBorder="1" applyAlignment="1" applyProtection="1">
      <alignment horizontal="center"/>
    </xf>
    <xf numFmtId="0" fontId="3" fillId="0" borderId="0" xfId="0" applyFont="1" applyProtection="1"/>
    <xf numFmtId="2" fontId="2" fillId="0" borderId="0" xfId="0" applyNumberFormat="1" applyFont="1" applyFill="1" applyBorder="1" applyAlignment="1" applyProtection="1">
      <alignment vertical="center"/>
    </xf>
    <xf numFmtId="0" fontId="2" fillId="0" borderId="0" xfId="0" applyFont="1" applyFill="1" applyBorder="1" applyAlignment="1" applyProtection="1">
      <alignment vertical="center"/>
    </xf>
    <xf numFmtId="0" fontId="5" fillId="0" borderId="0" xfId="0" applyFont="1" applyFill="1" applyBorder="1" applyAlignment="1" applyProtection="1">
      <alignment vertical="center"/>
    </xf>
    <xf numFmtId="0" fontId="29" fillId="0" borderId="0" xfId="0" applyFont="1" applyProtection="1"/>
    <xf numFmtId="0" fontId="8" fillId="0" borderId="0" xfId="0" applyFont="1" applyProtection="1"/>
    <xf numFmtId="0" fontId="8" fillId="0" borderId="0" xfId="0" applyFont="1" applyFill="1" applyBorder="1" applyAlignment="1" applyProtection="1">
      <alignment vertical="center"/>
    </xf>
    <xf numFmtId="0" fontId="35" fillId="14" borderId="7" xfId="0" applyFont="1" applyFill="1" applyBorder="1" applyProtection="1"/>
    <xf numFmtId="0" fontId="34" fillId="14" borderId="14" xfId="0" applyFont="1" applyFill="1" applyBorder="1" applyProtection="1"/>
    <xf numFmtId="0" fontId="21" fillId="14" borderId="14" xfId="0" applyFont="1" applyFill="1" applyBorder="1" applyProtection="1"/>
    <xf numFmtId="0" fontId="2" fillId="14" borderId="15" xfId="0" applyFont="1" applyFill="1" applyBorder="1" applyProtection="1"/>
    <xf numFmtId="0" fontId="3" fillId="13" borderId="2" xfId="0" applyFont="1" applyFill="1" applyBorder="1" applyAlignment="1" applyProtection="1">
      <alignment horizontal="center" vertical="center"/>
    </xf>
    <xf numFmtId="0" fontId="4" fillId="13" borderId="2" xfId="0" applyFont="1" applyFill="1" applyBorder="1" applyAlignment="1" applyProtection="1">
      <alignment horizontal="center" vertical="center"/>
    </xf>
    <xf numFmtId="0" fontId="3" fillId="13" borderId="2" xfId="0" applyFont="1" applyFill="1" applyBorder="1" applyAlignment="1" applyProtection="1">
      <alignment horizontal="center"/>
    </xf>
    <xf numFmtId="0" fontId="2" fillId="0" borderId="0" xfId="0" applyFont="1" applyAlignment="1" applyProtection="1">
      <alignment horizontal="left" indent="2"/>
    </xf>
    <xf numFmtId="0" fontId="2" fillId="12" borderId="1" xfId="0" applyFont="1" applyFill="1" applyBorder="1" applyAlignment="1" applyProtection="1">
      <alignment horizontal="center"/>
    </xf>
    <xf numFmtId="0" fontId="2" fillId="12" borderId="1" xfId="0" applyFont="1" applyFill="1" applyBorder="1" applyProtection="1"/>
    <xf numFmtId="0" fontId="5" fillId="12" borderId="1" xfId="0" applyFont="1" applyFill="1" applyBorder="1" applyProtection="1"/>
    <xf numFmtId="0" fontId="29" fillId="12" borderId="1" xfId="0" applyFont="1" applyFill="1" applyBorder="1" applyProtection="1"/>
    <xf numFmtId="0" fontId="33" fillId="30" borderId="1" xfId="0" applyFont="1" applyFill="1" applyBorder="1" applyProtection="1"/>
    <xf numFmtId="0" fontId="2" fillId="0" borderId="1" xfId="0" applyFont="1" applyBorder="1" applyAlignment="1" applyProtection="1">
      <alignment horizontal="center"/>
    </xf>
    <xf numFmtId="0" fontId="2" fillId="0" borderId="1" xfId="0" applyFont="1" applyFill="1" applyBorder="1" applyProtection="1"/>
    <xf numFmtId="0" fontId="2" fillId="0" borderId="1" xfId="0" quotePrefix="1" applyFont="1" applyFill="1" applyBorder="1" applyAlignment="1" applyProtection="1">
      <alignment horizontal="center" vertical="center"/>
    </xf>
    <xf numFmtId="0" fontId="5" fillId="21" borderId="1" xfId="0" quotePrefix="1" applyFont="1" applyFill="1" applyBorder="1" applyAlignment="1" applyProtection="1">
      <alignment horizontal="center"/>
      <protection locked="0"/>
    </xf>
    <xf numFmtId="0" fontId="29" fillId="0" borderId="1" xfId="0" applyFont="1" applyBorder="1" applyProtection="1"/>
    <xf numFmtId="0" fontId="33" fillId="30" borderId="1" xfId="0" applyFont="1" applyFill="1" applyBorder="1" applyAlignment="1" applyProtection="1">
      <alignment horizontal="center"/>
    </xf>
    <xf numFmtId="0" fontId="29" fillId="13" borderId="1" xfId="0" applyFont="1" applyFill="1" applyBorder="1" applyProtection="1"/>
    <xf numFmtId="0" fontId="29" fillId="0" borderId="1" xfId="0" applyFont="1" applyFill="1" applyBorder="1" applyProtection="1"/>
    <xf numFmtId="0" fontId="5" fillId="0" borderId="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2" fillId="0" borderId="2" xfId="0" applyFont="1" applyFill="1" applyBorder="1" applyAlignment="1" applyProtection="1">
      <alignment horizontal="left" vertical="center"/>
    </xf>
    <xf numFmtId="0" fontId="2" fillId="0" borderId="2" xfId="0" applyFont="1" applyFill="1" applyBorder="1" applyAlignment="1" applyProtection="1">
      <alignment horizontal="center"/>
    </xf>
    <xf numFmtId="0" fontId="5" fillId="9" borderId="2" xfId="0" applyFont="1" applyFill="1" applyBorder="1" applyAlignment="1" applyProtection="1">
      <alignment horizontal="center" vertical="center"/>
    </xf>
    <xf numFmtId="0" fontId="5" fillId="0" borderId="1" xfId="0" quotePrefix="1" applyFont="1" applyFill="1" applyBorder="1" applyAlignment="1" applyProtection="1">
      <alignment horizontal="center" vertical="center"/>
    </xf>
    <xf numFmtId="0" fontId="5" fillId="0" borderId="2" xfId="0" quotePrefix="1" applyFont="1" applyFill="1" applyBorder="1" applyAlignment="1" applyProtection="1">
      <alignment horizontal="center" vertical="center"/>
    </xf>
    <xf numFmtId="0" fontId="33" fillId="0" borderId="0" xfId="0" applyFont="1" applyAlignment="1" applyProtection="1">
      <alignment horizontal="left"/>
    </xf>
    <xf numFmtId="0" fontId="0" fillId="7" borderId="7" xfId="0" applyFill="1" applyBorder="1" applyProtection="1"/>
    <xf numFmtId="0" fontId="9" fillId="8" borderId="7" xfId="1" applyFont="1" applyFill="1" applyBorder="1">
      <alignment vertical="center"/>
    </xf>
    <xf numFmtId="0" fontId="5" fillId="10" borderId="1" xfId="0" applyFont="1" applyFill="1" applyBorder="1" applyAlignment="1">
      <alignment horizontal="center"/>
    </xf>
    <xf numFmtId="181" fontId="4" fillId="9" borderId="1" xfId="1" applyNumberFormat="1" applyFont="1" applyFill="1" applyBorder="1" applyAlignment="1">
      <alignment horizontal="center" vertical="center"/>
    </xf>
    <xf numFmtId="0" fontId="44" fillId="0" borderId="0" xfId="0" applyFont="1" applyFill="1"/>
    <xf numFmtId="180" fontId="5" fillId="9" borderId="6" xfId="1" applyNumberFormat="1" applyFont="1" applyFill="1" applyBorder="1">
      <alignment vertical="center"/>
    </xf>
    <xf numFmtId="0" fontId="5" fillId="9" borderId="13" xfId="1" applyFont="1" applyFill="1" applyBorder="1">
      <alignment vertical="center"/>
    </xf>
    <xf numFmtId="0" fontId="5" fillId="0" borderId="8" xfId="1" applyFont="1" applyBorder="1">
      <alignment vertical="center"/>
    </xf>
    <xf numFmtId="0" fontId="8" fillId="0" borderId="8" xfId="1" applyFont="1" applyBorder="1" applyAlignment="1">
      <alignment horizontal="center" vertical="center"/>
    </xf>
    <xf numFmtId="0" fontId="9" fillId="8" borderId="4" xfId="1" applyFont="1" applyFill="1" applyBorder="1">
      <alignment vertical="center"/>
    </xf>
    <xf numFmtId="0" fontId="5" fillId="8" borderId="14" xfId="1" applyFont="1" applyFill="1" applyBorder="1">
      <alignment vertical="center"/>
    </xf>
    <xf numFmtId="0" fontId="9" fillId="8" borderId="10" xfId="1" applyFont="1" applyFill="1" applyBorder="1">
      <alignment vertical="center"/>
    </xf>
    <xf numFmtId="0" fontId="5" fillId="8" borderId="15" xfId="1" applyFont="1" applyFill="1" applyBorder="1">
      <alignment vertical="center"/>
    </xf>
    <xf numFmtId="0" fontId="2" fillId="0" borderId="1" xfId="0" applyFont="1" applyFill="1" applyBorder="1" applyAlignment="1">
      <alignment horizontal="left" vertical="center"/>
    </xf>
    <xf numFmtId="0" fontId="33" fillId="7" borderId="14" xfId="0" applyFont="1" applyFill="1" applyBorder="1" applyAlignment="1" applyProtection="1">
      <alignment horizontal="right"/>
    </xf>
    <xf numFmtId="0" fontId="4" fillId="2" borderId="1" xfId="0" applyFont="1" applyFill="1" applyBorder="1" applyAlignment="1" applyProtection="1">
      <alignment horizontal="center" vertical="center"/>
      <protection locked="0"/>
    </xf>
    <xf numFmtId="0" fontId="54" fillId="0" borderId="0" xfId="0" applyFont="1"/>
    <xf numFmtId="0" fontId="23" fillId="9" borderId="1" xfId="0" applyFont="1" applyFill="1" applyBorder="1" applyAlignment="1" applyProtection="1">
      <alignment horizontal="center" vertical="center"/>
    </xf>
    <xf numFmtId="0" fontId="2" fillId="0" borderId="0" xfId="0" quotePrefix="1" applyFont="1" applyAlignment="1">
      <alignment vertical="top" wrapText="1"/>
    </xf>
    <xf numFmtId="0" fontId="12" fillId="0" borderId="0" xfId="0" applyNumberFormat="1" applyFont="1" applyAlignment="1">
      <alignment horizontal="left"/>
    </xf>
    <xf numFmtId="0" fontId="13" fillId="0" borderId="0" xfId="0" applyNumberFormat="1" applyFont="1" applyAlignment="1">
      <alignment horizontal="center"/>
    </xf>
    <xf numFmtId="0" fontId="13" fillId="0" borderId="0" xfId="0" applyNumberFormat="1" applyFont="1" applyAlignment="1">
      <alignment horizontal="right"/>
    </xf>
    <xf numFmtId="0" fontId="13" fillId="0" borderId="0" xfId="0" applyFont="1"/>
    <xf numFmtId="0" fontId="4" fillId="28" borderId="1" xfId="0" applyFont="1" applyFill="1" applyBorder="1" applyAlignment="1" applyProtection="1">
      <alignment horizontal="center" vertical="center"/>
      <protection locked="0"/>
    </xf>
    <xf numFmtId="0" fontId="40" fillId="28" borderId="1" xfId="0" applyFont="1" applyFill="1" applyBorder="1" applyProtection="1">
      <protection locked="0"/>
    </xf>
    <xf numFmtId="0" fontId="32" fillId="0" borderId="0" xfId="1" applyFont="1">
      <alignment vertical="center"/>
    </xf>
    <xf numFmtId="0" fontId="32" fillId="0" borderId="0" xfId="1" applyFont="1" applyProtection="1">
      <alignment vertical="center"/>
    </xf>
    <xf numFmtId="0" fontId="32" fillId="0" borderId="0" xfId="0" applyFont="1" applyFill="1" applyBorder="1" applyAlignment="1">
      <alignment horizontal="center"/>
    </xf>
    <xf numFmtId="0" fontId="31" fillId="0" borderId="0" xfId="0" applyFont="1" applyBorder="1" applyAlignment="1">
      <alignment horizontal="center"/>
    </xf>
    <xf numFmtId="0" fontId="32" fillId="0" borderId="0" xfId="0" applyFont="1" applyAlignment="1">
      <alignment horizontal="center"/>
    </xf>
    <xf numFmtId="0" fontId="55" fillId="0" borderId="0" xfId="0" applyFont="1" applyAlignment="1">
      <alignment horizontal="center"/>
    </xf>
    <xf numFmtId="0" fontId="31" fillId="0" borderId="0" xfId="0" applyFont="1" applyFill="1" applyBorder="1" applyAlignment="1">
      <alignment horizontal="center"/>
    </xf>
    <xf numFmtId="0" fontId="54" fillId="0" borderId="0" xfId="0" applyFont="1" applyFill="1"/>
    <xf numFmtId="0" fontId="54" fillId="0" borderId="0" xfId="0" applyFont="1" applyAlignment="1">
      <alignment horizontal="center"/>
    </xf>
    <xf numFmtId="0" fontId="40" fillId="21" borderId="1" xfId="0" applyFont="1" applyFill="1" applyBorder="1" applyAlignment="1" applyProtection="1">
      <alignment horizontal="center"/>
      <protection locked="0"/>
    </xf>
    <xf numFmtId="0" fontId="54" fillId="0" borderId="0" xfId="0" applyFont="1" applyProtection="1"/>
    <xf numFmtId="0" fontId="32" fillId="0" borderId="0" xfId="0" applyFont="1" applyProtection="1"/>
    <xf numFmtId="0" fontId="33" fillId="7" borderId="0" xfId="0" applyFont="1" applyFill="1" applyBorder="1" applyAlignment="1" applyProtection="1">
      <alignment horizontal="center"/>
    </xf>
    <xf numFmtId="0" fontId="50" fillId="20" borderId="1" xfId="0" applyFont="1" applyFill="1" applyBorder="1" applyAlignment="1">
      <alignment horizontal="center"/>
    </xf>
    <xf numFmtId="0" fontId="50" fillId="20" borderId="1" xfId="0" applyFont="1" applyFill="1" applyBorder="1" applyAlignment="1">
      <alignment horizontal="left" vertical="center"/>
    </xf>
    <xf numFmtId="0" fontId="50" fillId="20" borderId="1" xfId="0" applyFont="1" applyFill="1" applyBorder="1" applyAlignment="1">
      <alignment horizontal="center" vertical="center"/>
    </xf>
    <xf numFmtId="0" fontId="50" fillId="20" borderId="1" xfId="0" applyFont="1" applyFill="1" applyBorder="1"/>
    <xf numFmtId="0" fontId="56" fillId="0" borderId="1" xfId="0" applyFont="1" applyBorder="1" applyAlignment="1">
      <alignment horizontal="center"/>
    </xf>
    <xf numFmtId="0" fontId="56" fillId="0" borderId="1" xfId="0" applyFont="1" applyBorder="1"/>
    <xf numFmtId="0" fontId="56" fillId="0" borderId="1" xfId="0" quotePrefix="1" applyFont="1" applyBorder="1" applyAlignment="1">
      <alignment horizontal="center" vertical="center"/>
    </xf>
    <xf numFmtId="0" fontId="6" fillId="0" borderId="1" xfId="0" applyFont="1" applyBorder="1" applyAlignment="1">
      <alignment horizontal="center"/>
    </xf>
    <xf numFmtId="0" fontId="57" fillId="0" borderId="1" xfId="0" applyFont="1" applyBorder="1"/>
    <xf numFmtId="0" fontId="2" fillId="0" borderId="0" xfId="0" applyFont="1" applyAlignment="1">
      <alignment horizontal="center"/>
    </xf>
    <xf numFmtId="0" fontId="2" fillId="0" borderId="0" xfId="0" applyFont="1" applyAlignment="1" applyProtection="1">
      <alignment horizontal="center"/>
    </xf>
    <xf numFmtId="0" fontId="5" fillId="31" borderId="1" xfId="0" applyFont="1" applyFill="1" applyBorder="1" applyAlignment="1" applyProtection="1">
      <alignment horizontal="center"/>
    </xf>
    <xf numFmtId="0" fontId="29" fillId="13" borderId="1" xfId="0" applyFont="1" applyFill="1" applyBorder="1" applyAlignment="1" applyProtection="1">
      <alignment horizontal="center"/>
    </xf>
    <xf numFmtId="0" fontId="30" fillId="8" borderId="10" xfId="0" applyFont="1" applyFill="1" applyBorder="1" applyAlignment="1">
      <alignment horizontal="center" wrapText="1"/>
    </xf>
    <xf numFmtId="0" fontId="8" fillId="18" borderId="0" xfId="0" applyFont="1" applyFill="1" applyBorder="1" applyAlignment="1">
      <alignment vertical="center"/>
    </xf>
    <xf numFmtId="0" fontId="50" fillId="25" borderId="1" xfId="0" applyFont="1" applyFill="1" applyBorder="1" applyAlignment="1">
      <alignment horizontal="center"/>
    </xf>
    <xf numFmtId="0" fontId="50" fillId="25" borderId="1" xfId="0" applyFont="1" applyFill="1" applyBorder="1" applyAlignment="1">
      <alignment horizontal="left" vertical="center"/>
    </xf>
    <xf numFmtId="0" fontId="50" fillId="25" borderId="1" xfId="0" applyFont="1" applyFill="1" applyBorder="1" applyAlignment="1">
      <alignment horizontal="center" vertical="center"/>
    </xf>
    <xf numFmtId="0" fontId="50" fillId="25" borderId="1" xfId="0" applyFont="1" applyFill="1" applyBorder="1"/>
    <xf numFmtId="0" fontId="29" fillId="0" borderId="1" xfId="0" applyFont="1" applyBorder="1" applyAlignment="1">
      <alignment wrapText="1"/>
    </xf>
    <xf numFmtId="0" fontId="50" fillId="32" borderId="1" xfId="0" applyFont="1" applyFill="1" applyBorder="1" applyAlignment="1">
      <alignment horizontal="center"/>
    </xf>
    <xf numFmtId="0" fontId="50" fillId="32" borderId="1" xfId="0" applyFont="1" applyFill="1" applyBorder="1" applyAlignment="1">
      <alignment horizontal="left" vertical="center"/>
    </xf>
    <xf numFmtId="0" fontId="50" fillId="32" borderId="1" xfId="0" applyFont="1" applyFill="1" applyBorder="1" applyAlignment="1">
      <alignment horizontal="center" vertical="center"/>
    </xf>
    <xf numFmtId="0" fontId="50" fillId="32" borderId="1" xfId="0" applyFont="1" applyFill="1" applyBorder="1"/>
    <xf numFmtId="0" fontId="50" fillId="33" borderId="1" xfId="0" applyFont="1" applyFill="1" applyBorder="1" applyAlignment="1">
      <alignment horizontal="center"/>
    </xf>
    <xf numFmtId="0" fontId="50" fillId="33" borderId="1" xfId="0" applyFont="1" applyFill="1" applyBorder="1" applyAlignment="1">
      <alignment horizontal="left" vertical="center"/>
    </xf>
    <xf numFmtId="0" fontId="50" fillId="33" borderId="1" xfId="0" applyFont="1" applyFill="1" applyBorder="1" applyAlignment="1">
      <alignment horizontal="center" vertical="center"/>
    </xf>
    <xf numFmtId="0" fontId="50" fillId="33" borderId="1" xfId="0" applyFont="1" applyFill="1" applyBorder="1"/>
    <xf numFmtId="0" fontId="6" fillId="18" borderId="1" xfId="0" applyFont="1" applyFill="1" applyBorder="1" applyAlignment="1">
      <alignment horizontal="center"/>
    </xf>
    <xf numFmtId="0" fontId="6" fillId="18" borderId="1" xfId="0" applyFont="1" applyFill="1" applyBorder="1" applyAlignment="1">
      <alignment horizontal="left" vertical="center"/>
    </xf>
    <xf numFmtId="0" fontId="6" fillId="18" borderId="1" xfId="0" applyFont="1" applyFill="1" applyBorder="1" applyAlignment="1">
      <alignment horizontal="center" vertical="center"/>
    </xf>
    <xf numFmtId="0" fontId="6" fillId="18" borderId="1" xfId="0" applyFont="1" applyFill="1" applyBorder="1"/>
    <xf numFmtId="0" fontId="2" fillId="18" borderId="1" xfId="0" applyFont="1" applyFill="1" applyBorder="1" applyAlignment="1">
      <alignment horizontal="center"/>
    </xf>
    <xf numFmtId="0" fontId="5" fillId="18" borderId="1" xfId="0" applyFont="1" applyFill="1" applyBorder="1"/>
    <xf numFmtId="0" fontId="5" fillId="18" borderId="1" xfId="0" quotePrefix="1" applyFont="1" applyFill="1" applyBorder="1" applyAlignment="1">
      <alignment horizontal="center" vertical="center"/>
    </xf>
    <xf numFmtId="0" fontId="5" fillId="18" borderId="1" xfId="0" quotePrefix="1" applyFont="1" applyFill="1" applyBorder="1" applyAlignment="1">
      <alignment horizontal="center"/>
    </xf>
    <xf numFmtId="0" fontId="29" fillId="18" borderId="1" xfId="0" applyFont="1" applyFill="1" applyBorder="1" applyAlignment="1">
      <alignment wrapText="1"/>
    </xf>
    <xf numFmtId="0" fontId="2" fillId="18" borderId="1" xfId="0" applyFont="1" applyFill="1" applyBorder="1"/>
    <xf numFmtId="0" fontId="2" fillId="18" borderId="1" xfId="0" quotePrefix="1" applyFont="1" applyFill="1" applyBorder="1" applyAlignment="1">
      <alignment horizontal="center" vertical="center"/>
    </xf>
    <xf numFmtId="0" fontId="29" fillId="18" borderId="1" xfId="0" applyFont="1" applyFill="1" applyBorder="1"/>
    <xf numFmtId="0" fontId="4" fillId="10" borderId="1" xfId="0" applyFont="1" applyFill="1" applyBorder="1" applyAlignment="1">
      <alignment horizontal="center"/>
    </xf>
    <xf numFmtId="0" fontId="11" fillId="4" borderId="1" xfId="0" applyFont="1" applyFill="1" applyBorder="1" applyAlignment="1">
      <alignment horizontal="center"/>
    </xf>
    <xf numFmtId="0" fontId="4" fillId="22" borderId="1" xfId="0" applyFont="1" applyFill="1" applyBorder="1" applyAlignment="1">
      <alignment horizontal="center"/>
    </xf>
    <xf numFmtId="0" fontId="30" fillId="29" borderId="1" xfId="0" applyFont="1" applyFill="1" applyBorder="1" applyAlignment="1">
      <alignment horizontal="center"/>
    </xf>
    <xf numFmtId="0" fontId="11" fillId="23" borderId="1" xfId="0" applyFont="1" applyFill="1" applyBorder="1" applyAlignment="1">
      <alignment horizontal="center"/>
    </xf>
    <xf numFmtId="0" fontId="11" fillId="19" borderId="1" xfId="0" applyFont="1" applyFill="1" applyBorder="1" applyAlignment="1">
      <alignment horizontal="center"/>
    </xf>
    <xf numFmtId="0" fontId="40" fillId="14" borderId="1" xfId="0" applyFont="1" applyFill="1" applyBorder="1" applyAlignment="1">
      <alignment horizontal="center"/>
    </xf>
    <xf numFmtId="0" fontId="2" fillId="0" borderId="0" xfId="0" applyFont="1" applyAlignment="1">
      <alignment horizontal="left" vertical="top"/>
    </xf>
    <xf numFmtId="0" fontId="2" fillId="0" borderId="0" xfId="0" applyFont="1" applyAlignment="1">
      <alignment horizontal="left" vertical="top" wrapText="1"/>
    </xf>
    <xf numFmtId="180" fontId="5" fillId="9" borderId="7" xfId="1" applyNumberFormat="1" applyFont="1" applyFill="1" applyBorder="1" applyAlignment="1">
      <alignment horizontal="center" vertical="center"/>
    </xf>
    <xf numFmtId="180" fontId="5" fillId="9" borderId="15" xfId="1" applyNumberFormat="1" applyFont="1" applyFill="1" applyBorder="1" applyAlignment="1">
      <alignment horizontal="center" vertical="center"/>
    </xf>
    <xf numFmtId="0" fontId="4" fillId="2" borderId="1" xfId="0" applyFont="1" applyFill="1" applyBorder="1" applyAlignment="1" applyProtection="1">
      <alignment horizontal="center" vertical="center"/>
      <protection locked="0"/>
    </xf>
    <xf numFmtId="0" fontId="4" fillId="2" borderId="7" xfId="0" applyFont="1" applyFill="1" applyBorder="1" applyAlignment="1" applyProtection="1">
      <alignment horizontal="center" vertical="center"/>
      <protection locked="0"/>
    </xf>
    <xf numFmtId="0" fontId="4" fillId="2" borderId="15" xfId="0" applyFont="1" applyFill="1" applyBorder="1" applyAlignment="1" applyProtection="1">
      <alignment horizontal="center" vertical="center"/>
      <protection locked="0"/>
    </xf>
    <xf numFmtId="0" fontId="4" fillId="0" borderId="1" xfId="1" applyFont="1" applyBorder="1" applyAlignment="1">
      <alignment horizontal="center" vertical="center"/>
    </xf>
    <xf numFmtId="0" fontId="9" fillId="8" borderId="5" xfId="1" applyFont="1" applyFill="1" applyBorder="1" applyAlignment="1">
      <alignment horizontal="left" vertical="center"/>
    </xf>
    <xf numFmtId="0" fontId="9" fillId="8" borderId="10" xfId="1" applyFont="1" applyFill="1" applyBorder="1" applyAlignment="1">
      <alignment horizontal="left" vertical="center"/>
    </xf>
    <xf numFmtId="0" fontId="9" fillId="8" borderId="6" xfId="1" applyFont="1" applyFill="1" applyBorder="1" applyAlignment="1">
      <alignment horizontal="left" vertical="center" wrapText="1"/>
    </xf>
    <xf numFmtId="0" fontId="9" fillId="8" borderId="11" xfId="1" applyFont="1" applyFill="1" applyBorder="1" applyAlignment="1">
      <alignment horizontal="left" vertical="center" wrapText="1"/>
    </xf>
    <xf numFmtId="0" fontId="9" fillId="8" borderId="1" xfId="1" applyFont="1" applyFill="1" applyBorder="1" applyAlignment="1">
      <alignment horizontal="left" vertical="center"/>
    </xf>
    <xf numFmtId="0" fontId="30" fillId="26" borderId="1" xfId="1" applyFont="1" applyFill="1" applyBorder="1" applyAlignment="1">
      <alignment horizontal="left" vertical="center"/>
    </xf>
    <xf numFmtId="0" fontId="5" fillId="10" borderId="6" xfId="1" applyFont="1" applyFill="1" applyBorder="1" applyAlignment="1">
      <alignment horizontal="center" vertical="center"/>
    </xf>
    <xf numFmtId="0" fontId="5" fillId="10" borderId="9" xfId="1" applyFont="1" applyFill="1" applyBorder="1" applyAlignment="1">
      <alignment horizontal="center" vertical="center"/>
    </xf>
    <xf numFmtId="0" fontId="5" fillId="10" borderId="11" xfId="1" applyFont="1" applyFill="1" applyBorder="1" applyAlignment="1">
      <alignment horizontal="center" vertical="center"/>
    </xf>
    <xf numFmtId="0" fontId="50" fillId="7" borderId="1" xfId="1" applyFont="1" applyFill="1" applyBorder="1" applyAlignment="1">
      <alignment horizontal="center" vertical="center"/>
    </xf>
    <xf numFmtId="0" fontId="5" fillId="10" borderId="7" xfId="1" applyFont="1" applyFill="1" applyBorder="1" applyAlignment="1">
      <alignment horizontal="center" vertical="center"/>
    </xf>
    <xf numFmtId="0" fontId="5" fillId="10" borderId="14" xfId="1" applyFont="1" applyFill="1" applyBorder="1" applyAlignment="1">
      <alignment horizontal="center" vertical="center"/>
    </xf>
    <xf numFmtId="0" fontId="5" fillId="10" borderId="15" xfId="1" applyFont="1" applyFill="1" applyBorder="1" applyAlignment="1">
      <alignment horizontal="center" vertical="center"/>
    </xf>
    <xf numFmtId="0" fontId="33" fillId="7" borderId="7" xfId="1" applyFont="1" applyFill="1" applyBorder="1" applyAlignment="1">
      <alignment horizontal="center" vertical="center"/>
    </xf>
    <xf numFmtId="0" fontId="33" fillId="7" borderId="15" xfId="1" applyFont="1" applyFill="1" applyBorder="1" applyAlignment="1">
      <alignment horizontal="center" vertical="center"/>
    </xf>
    <xf numFmtId="0" fontId="50" fillId="16" borderId="1" xfId="1" applyFont="1" applyFill="1" applyBorder="1" applyAlignment="1">
      <alignment horizontal="center" vertical="center"/>
    </xf>
    <xf numFmtId="0" fontId="51" fillId="8" borderId="6" xfId="0" applyFont="1" applyFill="1" applyBorder="1" applyAlignment="1">
      <alignment horizontal="center"/>
    </xf>
    <xf numFmtId="0" fontId="51" fillId="8" borderId="9" xfId="0" applyFont="1" applyFill="1" applyBorder="1" applyAlignment="1">
      <alignment horizontal="center"/>
    </xf>
    <xf numFmtId="0" fontId="5" fillId="10" borderId="5"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10" xfId="1" applyFont="1" applyFill="1" applyBorder="1" applyAlignment="1">
      <alignment horizontal="center" vertical="center"/>
    </xf>
    <xf numFmtId="0" fontId="9" fillId="8" borderId="5" xfId="1" applyFont="1" applyFill="1" applyBorder="1" applyAlignment="1">
      <alignment horizontal="left" vertical="center" wrapText="1"/>
    </xf>
    <xf numFmtId="0" fontId="9" fillId="8" borderId="10" xfId="1" applyFont="1" applyFill="1" applyBorder="1" applyAlignment="1">
      <alignment horizontal="left" vertical="center" wrapText="1"/>
    </xf>
    <xf numFmtId="0" fontId="51" fillId="7" borderId="1" xfId="1" applyFont="1" applyFill="1" applyBorder="1" applyAlignment="1">
      <alignment horizontal="center" vertical="center"/>
    </xf>
    <xf numFmtId="0" fontId="30" fillId="6" borderId="14" xfId="1" applyFont="1" applyFill="1" applyBorder="1" applyAlignment="1">
      <alignment horizontal="center" vertical="center"/>
    </xf>
    <xf numFmtId="0" fontId="30" fillId="6" borderId="15" xfId="1" applyFont="1" applyFill="1" applyBorder="1" applyAlignment="1">
      <alignment horizontal="center" vertical="center"/>
    </xf>
    <xf numFmtId="0" fontId="50" fillId="8" borderId="7" xfId="0" applyFont="1" applyFill="1" applyBorder="1" applyAlignment="1">
      <alignment horizontal="center"/>
    </xf>
    <xf numFmtId="0" fontId="50" fillId="8" borderId="14" xfId="0" applyFont="1" applyFill="1" applyBorder="1" applyAlignment="1">
      <alignment horizontal="center"/>
    </xf>
    <xf numFmtId="0" fontId="50" fillId="8" borderId="15" xfId="0" applyFont="1" applyFill="1" applyBorder="1" applyAlignment="1">
      <alignment horizontal="center"/>
    </xf>
    <xf numFmtId="0" fontId="4" fillId="2" borderId="3" xfId="1" applyFont="1" applyFill="1" applyBorder="1" applyAlignment="1" applyProtection="1">
      <alignment horizontal="right" vertical="center"/>
      <protection locked="0"/>
    </xf>
    <xf numFmtId="0" fontId="4" fillId="2" borderId="2" xfId="1" applyFont="1" applyFill="1" applyBorder="1" applyAlignment="1" applyProtection="1">
      <alignment horizontal="right" vertical="center"/>
      <protection locked="0"/>
    </xf>
    <xf numFmtId="0" fontId="5" fillId="0" borderId="1" xfId="1" applyFont="1" applyBorder="1" applyAlignment="1">
      <alignment horizontal="center" vertical="center"/>
    </xf>
    <xf numFmtId="0" fontId="10" fillId="8" borderId="3" xfId="1" applyFont="1" applyFill="1" applyBorder="1" applyAlignment="1">
      <alignment horizontal="left" vertical="center"/>
    </xf>
    <xf numFmtId="0" fontId="10" fillId="8" borderId="2" xfId="1" applyFont="1" applyFill="1" applyBorder="1" applyAlignment="1">
      <alignment horizontal="left" vertical="center"/>
    </xf>
    <xf numFmtId="0" fontId="30" fillId="8" borderId="0" xfId="0" applyFont="1" applyFill="1" applyAlignment="1">
      <alignment horizontal="right"/>
    </xf>
    <xf numFmtId="0" fontId="30" fillId="8" borderId="13" xfId="0" applyFont="1" applyFill="1" applyBorder="1" applyAlignment="1">
      <alignment horizontal="right"/>
    </xf>
    <xf numFmtId="0" fontId="51" fillId="8" borderId="0" xfId="1" applyFont="1" applyFill="1" applyBorder="1" applyAlignment="1">
      <alignment horizontal="center" vertical="center"/>
    </xf>
    <xf numFmtId="0" fontId="51" fillId="8" borderId="13" xfId="1" applyFont="1" applyFill="1" applyBorder="1" applyAlignment="1">
      <alignment horizontal="center" vertical="center"/>
    </xf>
    <xf numFmtId="0" fontId="51" fillId="8" borderId="0" xfId="0" applyFont="1" applyFill="1" applyAlignment="1">
      <alignment horizontal="center"/>
    </xf>
    <xf numFmtId="0" fontId="10" fillId="8" borderId="1" xfId="1" applyFont="1" applyFill="1" applyBorder="1" applyAlignment="1">
      <alignment horizontal="left" vertical="center"/>
    </xf>
    <xf numFmtId="0" fontId="33" fillId="7" borderId="7" xfId="0" applyFont="1" applyFill="1" applyBorder="1" applyAlignment="1">
      <alignment horizontal="center"/>
    </xf>
    <xf numFmtId="0" fontId="33" fillId="7" borderId="15" xfId="0" applyFont="1" applyFill="1" applyBorder="1" applyAlignment="1">
      <alignment horizontal="center"/>
    </xf>
    <xf numFmtId="0" fontId="33" fillId="7" borderId="7" xfId="0" applyFont="1" applyFill="1" applyBorder="1" applyAlignment="1" applyProtection="1">
      <alignment horizontal="right"/>
    </xf>
    <xf numFmtId="0" fontId="33" fillId="7" borderId="14" xfId="0" applyFont="1" applyFill="1" applyBorder="1" applyAlignment="1" applyProtection="1">
      <alignment horizontal="right"/>
    </xf>
    <xf numFmtId="0" fontId="33" fillId="7" borderId="15" xfId="0" applyFont="1" applyFill="1" applyBorder="1" applyAlignment="1" applyProtection="1">
      <alignment horizontal="right"/>
    </xf>
    <xf numFmtId="0" fontId="33" fillId="7" borderId="5" xfId="0" applyFont="1" applyFill="1" applyBorder="1" applyAlignment="1" applyProtection="1">
      <alignment horizontal="right"/>
    </xf>
    <xf numFmtId="0" fontId="33" fillId="7" borderId="10" xfId="0" applyFont="1" applyFill="1" applyBorder="1" applyAlignment="1" applyProtection="1">
      <alignment horizontal="right"/>
    </xf>
    <xf numFmtId="0" fontId="33" fillId="7" borderId="14" xfId="0" applyFont="1" applyFill="1" applyBorder="1" applyAlignment="1">
      <alignment horizontal="center"/>
    </xf>
    <xf numFmtId="0" fontId="33" fillId="7" borderId="7" xfId="0" applyFont="1" applyFill="1" applyBorder="1" applyAlignment="1">
      <alignment horizontal="right"/>
    </xf>
    <xf numFmtId="0" fontId="33" fillId="7" borderId="14" xfId="0" applyFont="1" applyFill="1" applyBorder="1" applyAlignment="1">
      <alignment horizontal="right"/>
    </xf>
    <xf numFmtId="0" fontId="33" fillId="7" borderId="15" xfId="0" applyFont="1" applyFill="1" applyBorder="1" applyAlignment="1">
      <alignment horizontal="right"/>
    </xf>
    <xf numFmtId="0" fontId="5" fillId="18" borderId="1" xfId="0" applyFont="1" applyFill="1" applyBorder="1" applyAlignment="1">
      <alignment horizontal="right"/>
    </xf>
    <xf numFmtId="0" fontId="19" fillId="14" borderId="1" xfId="0" applyFont="1" applyFill="1" applyBorder="1" applyAlignment="1">
      <alignment horizontal="center"/>
    </xf>
    <xf numFmtId="0" fontId="5" fillId="14" borderId="1" xfId="0" applyFont="1" applyFill="1" applyBorder="1" applyAlignment="1">
      <alignment horizontal="right"/>
    </xf>
    <xf numFmtId="0" fontId="19" fillId="18" borderId="1" xfId="0" applyFont="1" applyFill="1" applyBorder="1" applyAlignment="1">
      <alignment horizontal="center"/>
    </xf>
    <xf numFmtId="0" fontId="29" fillId="14" borderId="1" xfId="0" applyFont="1" applyFill="1" applyBorder="1" applyAlignment="1">
      <alignment horizontal="right"/>
    </xf>
    <xf numFmtId="0" fontId="29" fillId="18" borderId="1" xfId="0" applyFont="1" applyFill="1" applyBorder="1" applyAlignment="1">
      <alignment horizontal="center"/>
    </xf>
  </cellXfs>
  <cellStyles count="2">
    <cellStyle name="標準" xfId="0" builtinId="0"/>
    <cellStyle name="標準 2" xfId="1"/>
  </cellStyles>
  <dxfs count="9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6350</xdr:colOff>
      <xdr:row>5</xdr:row>
      <xdr:rowOff>25400</xdr:rowOff>
    </xdr:from>
    <xdr:to>
      <xdr:col>11</xdr:col>
      <xdr:colOff>384175</xdr:colOff>
      <xdr:row>44</xdr:row>
      <xdr:rowOff>114300</xdr:rowOff>
    </xdr:to>
    <xdr:grpSp>
      <xdr:nvGrpSpPr>
        <xdr:cNvPr id="2" name="グループ化 1"/>
        <xdr:cNvGrpSpPr/>
      </xdr:nvGrpSpPr>
      <xdr:grpSpPr>
        <a:xfrm>
          <a:off x="11131550" y="1092200"/>
          <a:ext cx="4797425" cy="7835900"/>
          <a:chOff x="12693650" y="2222500"/>
          <a:chExt cx="4797425" cy="7835900"/>
        </a:xfrm>
      </xdr:grpSpPr>
      <xdr:sp macro="" textlink="">
        <xdr:nvSpPr>
          <xdr:cNvPr id="3" name="フローチャート: 処理 2"/>
          <xdr:cNvSpPr/>
        </xdr:nvSpPr>
        <xdr:spPr>
          <a:xfrm>
            <a:off x="12712700" y="2927350"/>
            <a:ext cx="2057400" cy="279400"/>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RD16 0x0014</a:t>
            </a:r>
            <a:endParaRPr kumimoji="1" lang="ja-JP" altLang="en-US" sz="1200">
              <a:solidFill>
                <a:sysClr val="windowText" lastClr="000000"/>
              </a:solidFill>
            </a:endParaRPr>
          </a:p>
        </xdr:txBody>
      </xdr:sp>
      <xdr:sp macro="" textlink="">
        <xdr:nvSpPr>
          <xdr:cNvPr id="4" name="フローチャート : 代替処理 3"/>
          <xdr:cNvSpPr/>
        </xdr:nvSpPr>
        <xdr:spPr>
          <a:xfrm>
            <a:off x="12712700" y="2222500"/>
            <a:ext cx="2057400" cy="4349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Interrupt Routine</a:t>
            </a:r>
          </a:p>
          <a:p>
            <a:pPr algn="ctr"/>
            <a:r>
              <a:rPr kumimoji="1" lang="en-US" altLang="ja-JP" sz="1200"/>
              <a:t>Start</a:t>
            </a:r>
            <a:endParaRPr kumimoji="1" lang="ja-JP" altLang="en-US" sz="1200"/>
          </a:p>
        </xdr:txBody>
      </xdr:sp>
      <xdr:sp macro="" textlink="">
        <xdr:nvSpPr>
          <xdr:cNvPr id="5" name="フローチャート: 処理 4"/>
          <xdr:cNvSpPr/>
        </xdr:nvSpPr>
        <xdr:spPr>
          <a:xfrm>
            <a:off x="12722225" y="4524375"/>
            <a:ext cx="2057400" cy="288925"/>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RD8 0x8502</a:t>
            </a:r>
            <a:endParaRPr kumimoji="1" lang="ja-JP" altLang="en-US" sz="1200">
              <a:solidFill>
                <a:sysClr val="windowText" lastClr="000000"/>
              </a:solidFill>
            </a:endParaRPr>
          </a:p>
        </xdr:txBody>
      </xdr:sp>
      <xdr:sp macro="" textlink="">
        <xdr:nvSpPr>
          <xdr:cNvPr id="6" name="フローチャート : 判断 5"/>
          <xdr:cNvSpPr/>
        </xdr:nvSpPr>
        <xdr:spPr>
          <a:xfrm>
            <a:off x="12703175" y="5038724"/>
            <a:ext cx="2095500" cy="815976"/>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0x8502&lt;bit1&gt;</a:t>
            </a:r>
          </a:p>
          <a:p>
            <a:pPr algn="ctr"/>
            <a:r>
              <a:rPr kumimoji="1" lang="en-US" altLang="ja-JP" sz="1200">
                <a:solidFill>
                  <a:sysClr val="windowText" lastClr="000000"/>
                </a:solidFill>
              </a:rPr>
              <a:t>or &lt;bit0&gt;=1?</a:t>
            </a:r>
          </a:p>
        </xdr:txBody>
      </xdr:sp>
      <xdr:sp macro="" textlink="">
        <xdr:nvSpPr>
          <xdr:cNvPr id="7" name="フローチャート: 処理 6"/>
          <xdr:cNvSpPr/>
        </xdr:nvSpPr>
        <xdr:spPr>
          <a:xfrm>
            <a:off x="12722225" y="6134100"/>
            <a:ext cx="2057400" cy="279400"/>
          </a:xfrm>
          <a:prstGeom prst="flowChartProcess">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RD8 0x8520</a:t>
            </a:r>
            <a:endParaRPr kumimoji="1" lang="ja-JP" altLang="en-US" sz="1200">
              <a:solidFill>
                <a:sysClr val="windowText" lastClr="000000"/>
              </a:solidFill>
            </a:endParaRPr>
          </a:p>
        </xdr:txBody>
      </xdr:sp>
      <xdr:sp macro="" textlink="">
        <xdr:nvSpPr>
          <xdr:cNvPr id="8" name="フローチャート : 判断 7"/>
          <xdr:cNvSpPr/>
        </xdr:nvSpPr>
        <xdr:spPr>
          <a:xfrm>
            <a:off x="12703175" y="6696074"/>
            <a:ext cx="2095500" cy="812801"/>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0x8520&lt;bit1&gt;</a:t>
            </a:r>
          </a:p>
          <a:p>
            <a:pPr algn="ctr"/>
            <a:r>
              <a:rPr kumimoji="1" lang="en-US" altLang="ja-JP" sz="1200">
                <a:solidFill>
                  <a:sysClr val="windowText" lastClr="000000"/>
                </a:solidFill>
              </a:rPr>
              <a:t>or &lt;bit0&gt;=0?</a:t>
            </a:r>
          </a:p>
        </xdr:txBody>
      </xdr:sp>
      <xdr:sp macro="" textlink="">
        <xdr:nvSpPr>
          <xdr:cNvPr id="9" name="フローチャート : 判断 8"/>
          <xdr:cNvSpPr/>
        </xdr:nvSpPr>
        <xdr:spPr>
          <a:xfrm>
            <a:off x="12693650" y="3438524"/>
            <a:ext cx="2095500" cy="835026"/>
          </a:xfrm>
          <a:prstGeom prst="flowChartDecisi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solidFill>
                  <a:sysClr val="windowText" lastClr="000000"/>
                </a:solidFill>
              </a:rPr>
              <a:t>0x0014&lt;bit9&gt;</a:t>
            </a:r>
          </a:p>
          <a:p>
            <a:pPr algn="ctr"/>
            <a:r>
              <a:rPr kumimoji="1" lang="en-US" altLang="ja-JP" sz="1200">
                <a:solidFill>
                  <a:sysClr val="windowText" lastClr="000000"/>
                </a:solidFill>
              </a:rPr>
              <a:t>=1?</a:t>
            </a:r>
          </a:p>
        </xdr:txBody>
      </xdr:sp>
      <xdr:sp macro="" textlink="">
        <xdr:nvSpPr>
          <xdr:cNvPr id="10" name="フローチャート: 処理 9"/>
          <xdr:cNvSpPr/>
        </xdr:nvSpPr>
        <xdr:spPr>
          <a:xfrm>
            <a:off x="12731750" y="7791450"/>
            <a:ext cx="2057400" cy="488950"/>
          </a:xfrm>
          <a:prstGeom prst="flowChartProces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b="1">
                <a:solidFill>
                  <a:schemeClr val="bg1"/>
                </a:solidFill>
              </a:rPr>
              <a:t>- Stop</a:t>
            </a:r>
            <a:r>
              <a:rPr kumimoji="1" lang="en-US" altLang="ja-JP" sz="1200" b="1" baseline="0">
                <a:solidFill>
                  <a:schemeClr val="bg1"/>
                </a:solidFill>
              </a:rPr>
              <a:t> LCD Display</a:t>
            </a:r>
          </a:p>
          <a:p>
            <a:pPr algn="ctr"/>
            <a:r>
              <a:rPr kumimoji="1" lang="en-US" altLang="ja-JP" sz="1200" b="1" baseline="0">
                <a:solidFill>
                  <a:schemeClr val="bg1"/>
                </a:solidFill>
              </a:rPr>
              <a:t>- Assert Hardware Reset</a:t>
            </a:r>
          </a:p>
          <a:p>
            <a:pPr algn="ctr"/>
            <a:endParaRPr kumimoji="1" lang="ja-JP" altLang="en-US" sz="1200">
              <a:solidFill>
                <a:schemeClr val="bg1"/>
              </a:solidFill>
            </a:endParaRPr>
          </a:p>
        </xdr:txBody>
      </xdr:sp>
      <xdr:sp macro="" textlink="">
        <xdr:nvSpPr>
          <xdr:cNvPr id="11" name="フローチャート: 処理 10"/>
          <xdr:cNvSpPr/>
        </xdr:nvSpPr>
        <xdr:spPr>
          <a:xfrm>
            <a:off x="12741275" y="9531350"/>
            <a:ext cx="2057400" cy="527050"/>
          </a:xfrm>
          <a:prstGeom prst="flowChartProcess">
            <a:avLst/>
          </a:prstGeom>
          <a:solidFill>
            <a:srgbClr val="CC0099"/>
          </a:solidFill>
          <a:ln>
            <a:solidFill>
              <a:srgbClr val="CC00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baseline="0">
                <a:solidFill>
                  <a:schemeClr val="bg1"/>
                </a:solidFill>
              </a:rPr>
              <a:t>Execute "Source_Startup"</a:t>
            </a:r>
          </a:p>
          <a:p>
            <a:pPr algn="ctr"/>
            <a:r>
              <a:rPr kumimoji="1" lang="en-US" altLang="ja-JP" sz="1200" baseline="0">
                <a:solidFill>
                  <a:schemeClr val="bg1"/>
                </a:solidFill>
              </a:rPr>
              <a:t>Sequence</a:t>
            </a:r>
          </a:p>
          <a:p>
            <a:pPr algn="ctr"/>
            <a:endParaRPr kumimoji="1" lang="ja-JP" altLang="en-US" sz="1200">
              <a:solidFill>
                <a:sysClr val="windowText" lastClr="000000"/>
              </a:solidFill>
            </a:endParaRPr>
          </a:p>
        </xdr:txBody>
      </xdr:sp>
      <xdr:sp macro="" textlink="">
        <xdr:nvSpPr>
          <xdr:cNvPr id="12" name="フローチャート : 代替処理 11"/>
          <xdr:cNvSpPr/>
        </xdr:nvSpPr>
        <xdr:spPr>
          <a:xfrm>
            <a:off x="12731750" y="8601075"/>
            <a:ext cx="2057400" cy="425450"/>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Return</a:t>
            </a:r>
            <a:r>
              <a:rPr kumimoji="1" lang="en-US" altLang="ja-JP" sz="1200" baseline="0"/>
              <a:t> from</a:t>
            </a:r>
          </a:p>
          <a:p>
            <a:pPr algn="ctr"/>
            <a:r>
              <a:rPr kumimoji="1" lang="en-US" altLang="ja-JP" sz="1200"/>
              <a:t>Interrupt Routine</a:t>
            </a:r>
          </a:p>
          <a:p>
            <a:pPr algn="ctr"/>
            <a:r>
              <a:rPr kumimoji="1" lang="en-US" altLang="ja-JP" sz="1200"/>
              <a:t>Start</a:t>
            </a:r>
            <a:endParaRPr kumimoji="1" lang="ja-JP" altLang="en-US" sz="1200"/>
          </a:p>
        </xdr:txBody>
      </xdr:sp>
      <xdr:sp macro="" textlink="">
        <xdr:nvSpPr>
          <xdr:cNvPr id="13" name="フローチャート: 処理 12"/>
          <xdr:cNvSpPr/>
        </xdr:nvSpPr>
        <xdr:spPr>
          <a:xfrm>
            <a:off x="15414625" y="6864350"/>
            <a:ext cx="2066925" cy="476250"/>
          </a:xfrm>
          <a:prstGeom prst="flowChartProcess">
            <a:avLst/>
          </a:prstGeom>
          <a:solidFill>
            <a:schemeClr val="accent3">
              <a:lumMod val="40000"/>
              <a:lumOff val="60000"/>
            </a:schemeClr>
          </a:solidFill>
          <a:ln>
            <a:solidFill>
              <a:schemeClr val="accent3">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200">
                <a:solidFill>
                  <a:sysClr val="windowText" lastClr="000000"/>
                </a:solidFill>
              </a:rPr>
              <a:t>WR8 0x8502 0xFF</a:t>
            </a:r>
          </a:p>
          <a:p>
            <a:pPr algn="ctr"/>
            <a:r>
              <a:rPr kumimoji="1" lang="en-US" altLang="ja-JP" sz="1200">
                <a:solidFill>
                  <a:sysClr val="windowText" lastClr="000000"/>
                </a:solidFill>
              </a:rPr>
              <a:t>WR16 0x0014 0x0FBF</a:t>
            </a:r>
            <a:endParaRPr kumimoji="1" lang="ja-JP" altLang="en-US" sz="1200">
              <a:solidFill>
                <a:sysClr val="windowText" lastClr="000000"/>
              </a:solidFill>
            </a:endParaRPr>
          </a:p>
        </xdr:txBody>
      </xdr:sp>
      <xdr:sp macro="" textlink="">
        <xdr:nvSpPr>
          <xdr:cNvPr id="14" name="フローチャート : 代替処理 13"/>
          <xdr:cNvSpPr/>
        </xdr:nvSpPr>
        <xdr:spPr>
          <a:xfrm>
            <a:off x="15424150" y="8601075"/>
            <a:ext cx="2066925" cy="425450"/>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kumimoji="1" lang="en-US" altLang="ja-JP" sz="1200"/>
              <a:t>Return</a:t>
            </a:r>
            <a:r>
              <a:rPr kumimoji="1" lang="en-US" altLang="ja-JP" sz="1200" baseline="0"/>
              <a:t> from</a:t>
            </a:r>
          </a:p>
          <a:p>
            <a:pPr algn="ctr"/>
            <a:r>
              <a:rPr kumimoji="1" lang="en-US" altLang="ja-JP" sz="1200"/>
              <a:t>Interrupt Routine</a:t>
            </a:r>
          </a:p>
          <a:p>
            <a:pPr algn="ctr"/>
            <a:r>
              <a:rPr kumimoji="1" lang="en-US" altLang="ja-JP" sz="1200"/>
              <a:t>Start</a:t>
            </a:r>
            <a:endParaRPr kumimoji="1" lang="ja-JP" altLang="en-US" sz="1200"/>
          </a:p>
        </xdr:txBody>
      </xdr:sp>
      <xdr:cxnSp macro="">
        <xdr:nvCxnSpPr>
          <xdr:cNvPr id="15" name="直線矢印コネクタ 14"/>
          <xdr:cNvCxnSpPr>
            <a:stCxn id="4" idx="2"/>
            <a:endCxn id="3" idx="0"/>
          </xdr:cNvCxnSpPr>
        </xdr:nvCxnSpPr>
        <xdr:spPr>
          <a:xfrm>
            <a:off x="13741400" y="2657475"/>
            <a:ext cx="0" cy="2698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xdr:cNvCxnSpPr>
            <a:stCxn id="3" idx="2"/>
            <a:endCxn id="9" idx="0"/>
          </xdr:cNvCxnSpPr>
        </xdr:nvCxnSpPr>
        <xdr:spPr>
          <a:xfrm>
            <a:off x="13741400" y="3206750"/>
            <a:ext cx="0" cy="23177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直線矢印コネクタ 16"/>
          <xdr:cNvCxnSpPr>
            <a:stCxn id="9" idx="2"/>
            <a:endCxn id="5" idx="0"/>
          </xdr:cNvCxnSpPr>
        </xdr:nvCxnSpPr>
        <xdr:spPr>
          <a:xfrm>
            <a:off x="13741400" y="4273550"/>
            <a:ext cx="9525" cy="25082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8" name="直線矢印コネクタ 17"/>
          <xdr:cNvCxnSpPr>
            <a:stCxn id="5" idx="2"/>
            <a:endCxn id="6" idx="0"/>
          </xdr:cNvCxnSpPr>
        </xdr:nvCxnSpPr>
        <xdr:spPr>
          <a:xfrm>
            <a:off x="13750925" y="4813300"/>
            <a:ext cx="0" cy="22542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直線矢印コネクタ 18"/>
          <xdr:cNvCxnSpPr>
            <a:stCxn id="6" idx="2"/>
            <a:endCxn id="7" idx="0"/>
          </xdr:cNvCxnSpPr>
        </xdr:nvCxnSpPr>
        <xdr:spPr>
          <a:xfrm>
            <a:off x="13750925" y="5854700"/>
            <a:ext cx="0" cy="27940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xdr:cNvCxnSpPr>
            <a:stCxn id="7" idx="2"/>
            <a:endCxn id="8" idx="0"/>
          </xdr:cNvCxnSpPr>
        </xdr:nvCxnSpPr>
        <xdr:spPr>
          <a:xfrm>
            <a:off x="13750925" y="6413500"/>
            <a:ext cx="0" cy="282574"/>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xdr:cNvCxnSpPr>
            <a:stCxn id="8" idx="2"/>
            <a:endCxn id="10" idx="0"/>
          </xdr:cNvCxnSpPr>
        </xdr:nvCxnSpPr>
        <xdr:spPr>
          <a:xfrm>
            <a:off x="13750925" y="7508875"/>
            <a:ext cx="9525" cy="2825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2" name="直線矢印コネクタ 21"/>
          <xdr:cNvCxnSpPr>
            <a:stCxn id="10" idx="2"/>
            <a:endCxn id="12" idx="0"/>
          </xdr:cNvCxnSpPr>
        </xdr:nvCxnSpPr>
        <xdr:spPr>
          <a:xfrm>
            <a:off x="13760450" y="8280400"/>
            <a:ext cx="0" cy="3206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xdr:cNvCxnSpPr>
            <a:stCxn id="8" idx="3"/>
            <a:endCxn id="13" idx="1"/>
          </xdr:cNvCxnSpPr>
        </xdr:nvCxnSpPr>
        <xdr:spPr>
          <a:xfrm>
            <a:off x="14798675" y="7104062"/>
            <a:ext cx="615950" cy="1"/>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4" name="直線矢印コネクタ 23"/>
          <xdr:cNvCxnSpPr>
            <a:stCxn id="12" idx="2"/>
            <a:endCxn id="11" idx="0"/>
          </xdr:cNvCxnSpPr>
        </xdr:nvCxnSpPr>
        <xdr:spPr>
          <a:xfrm>
            <a:off x="13760450" y="9026525"/>
            <a:ext cx="9525" cy="50482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25" name="テキスト ボックス 24"/>
          <xdr:cNvSpPr txBox="1"/>
        </xdr:nvSpPr>
        <xdr:spPr>
          <a:xfrm>
            <a:off x="13827126" y="4197350"/>
            <a:ext cx="438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26" name="テキスト ボックス 25"/>
          <xdr:cNvSpPr txBox="1"/>
        </xdr:nvSpPr>
        <xdr:spPr>
          <a:xfrm>
            <a:off x="14493876" y="3549650"/>
            <a:ext cx="4445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cxnSp macro="">
        <xdr:nvCxnSpPr>
          <xdr:cNvPr id="27" name="カギ線コネクタ 26"/>
          <xdr:cNvCxnSpPr>
            <a:stCxn id="9" idx="3"/>
            <a:endCxn id="13" idx="0"/>
          </xdr:cNvCxnSpPr>
        </xdr:nvCxnSpPr>
        <xdr:spPr>
          <a:xfrm>
            <a:off x="14789150" y="3856037"/>
            <a:ext cx="1657350" cy="3008313"/>
          </a:xfrm>
          <a:prstGeom prst="bentConnector2">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8" name="直線矢印コネクタ 27"/>
          <xdr:cNvCxnSpPr>
            <a:stCxn id="6" idx="3"/>
          </xdr:cNvCxnSpPr>
        </xdr:nvCxnSpPr>
        <xdr:spPr>
          <a:xfrm>
            <a:off x="14798675" y="5446712"/>
            <a:ext cx="1628775" cy="0"/>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cxnSp macro="">
        <xdr:nvCxnSpPr>
          <xdr:cNvPr id="29" name="直線矢印コネクタ 28"/>
          <xdr:cNvCxnSpPr>
            <a:stCxn id="13" idx="2"/>
            <a:endCxn id="14" idx="0"/>
          </xdr:cNvCxnSpPr>
        </xdr:nvCxnSpPr>
        <xdr:spPr>
          <a:xfrm>
            <a:off x="16446500" y="7340600"/>
            <a:ext cx="9525" cy="1260475"/>
          </a:xfrm>
          <a:prstGeom prst="straightConnector1">
            <a:avLst/>
          </a:prstGeom>
          <a:ln w="19050">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0" name="テキスト ボックス 29"/>
          <xdr:cNvSpPr txBox="1"/>
        </xdr:nvSpPr>
        <xdr:spPr>
          <a:xfrm>
            <a:off x="13798551" y="5778500"/>
            <a:ext cx="43815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31" name="テキスト ボックス 30"/>
          <xdr:cNvSpPr txBox="1"/>
        </xdr:nvSpPr>
        <xdr:spPr>
          <a:xfrm>
            <a:off x="14522451" y="5143500"/>
            <a:ext cx="44450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sp macro="" textlink="">
        <xdr:nvSpPr>
          <xdr:cNvPr id="32" name="テキスト ボックス 31"/>
          <xdr:cNvSpPr txBox="1"/>
        </xdr:nvSpPr>
        <xdr:spPr>
          <a:xfrm>
            <a:off x="13827126" y="7407275"/>
            <a:ext cx="43815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YES</a:t>
            </a:r>
            <a:endParaRPr kumimoji="1" lang="ja-JP" altLang="en-US" sz="1200"/>
          </a:p>
        </xdr:txBody>
      </xdr:sp>
      <xdr:sp macro="" textlink="">
        <xdr:nvSpPr>
          <xdr:cNvPr id="33" name="テキスト ボックス 32"/>
          <xdr:cNvSpPr txBox="1"/>
        </xdr:nvSpPr>
        <xdr:spPr>
          <a:xfrm>
            <a:off x="14512926" y="6797675"/>
            <a:ext cx="4445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a:t>NO</a:t>
            </a:r>
            <a:endParaRPr kumimoji="1" lang="ja-JP" altLang="en-US" sz="12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xdr:cNvSpPr txBox="1">
          <a:spLocks noChangeArrowheads="1"/>
        </xdr:cNvSpPr>
      </xdr:nvSpPr>
      <xdr:spPr bwMode="auto">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2</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ja-JP" alt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8"/>
  </sheetPr>
  <dimension ref="A1:R29"/>
  <sheetViews>
    <sheetView showGridLines="0" zoomScale="80" zoomScaleNormal="80" workbookViewId="0">
      <selection activeCell="A31" sqref="A31"/>
    </sheetView>
  </sheetViews>
  <sheetFormatPr defaultRowHeight="14.25"/>
  <cols>
    <col min="1" max="1" width="9" style="37"/>
    <col min="2" max="2" width="2.5" style="37" customWidth="1"/>
    <col min="3" max="3" width="5" style="37" customWidth="1"/>
    <col min="4" max="4" width="49.5" style="37" customWidth="1"/>
    <col min="5" max="5" width="4.5" style="37" customWidth="1"/>
    <col min="6" max="6" width="57" style="37" customWidth="1"/>
    <col min="7" max="7" width="4.625" style="37" customWidth="1"/>
    <col min="8" max="8" width="43.375" style="37" customWidth="1"/>
    <col min="9" max="9" width="4.625" style="37" customWidth="1"/>
    <col min="10" max="10" width="51.25" style="37" bestFit="1" customWidth="1"/>
    <col min="11" max="11" width="4.625" style="37" customWidth="1"/>
    <col min="12" max="12" width="51.25" style="37" bestFit="1" customWidth="1"/>
    <col min="13" max="13" width="4.625" style="37" customWidth="1"/>
    <col min="14" max="14" width="51.25" style="37" bestFit="1" customWidth="1"/>
    <col min="15" max="15" width="4.625" style="37" customWidth="1"/>
    <col min="16" max="16" width="41.25" style="37" customWidth="1"/>
    <col min="17" max="17" width="5.625" style="37" customWidth="1"/>
    <col min="18" max="18" width="42.875" style="37" customWidth="1"/>
    <col min="19" max="16384" width="9" style="37"/>
  </cols>
  <sheetData>
    <row r="1" spans="1:18" ht="15">
      <c r="A1" s="146" t="s">
        <v>12</v>
      </c>
      <c r="C1" s="439" t="s">
        <v>3</v>
      </c>
      <c r="D1" s="439"/>
      <c r="E1" s="440" t="s">
        <v>723</v>
      </c>
      <c r="F1" s="440"/>
      <c r="G1" s="443" t="s">
        <v>107</v>
      </c>
      <c r="H1" s="443"/>
      <c r="I1" s="441" t="s">
        <v>837</v>
      </c>
      <c r="J1" s="441"/>
      <c r="K1" s="441" t="s">
        <v>1599</v>
      </c>
      <c r="L1" s="441"/>
      <c r="M1" s="444" t="s">
        <v>1529</v>
      </c>
      <c r="N1" s="444"/>
      <c r="O1" s="438" t="s">
        <v>1499</v>
      </c>
      <c r="P1" s="438"/>
      <c r="Q1" s="442" t="s">
        <v>10</v>
      </c>
      <c r="R1" s="442"/>
    </row>
    <row r="2" spans="1:18" ht="15">
      <c r="A2" s="146"/>
      <c r="C2" s="147" t="s">
        <v>5</v>
      </c>
      <c r="D2" s="147" t="s">
        <v>7</v>
      </c>
      <c r="E2" s="148" t="s">
        <v>5</v>
      </c>
      <c r="F2" s="148" t="s">
        <v>7</v>
      </c>
      <c r="G2" s="166" t="s">
        <v>5</v>
      </c>
      <c r="H2" s="166" t="s">
        <v>7</v>
      </c>
      <c r="I2" s="317" t="s">
        <v>8</v>
      </c>
      <c r="J2" s="317" t="s">
        <v>9</v>
      </c>
      <c r="K2" s="317" t="s">
        <v>8</v>
      </c>
      <c r="L2" s="317" t="s">
        <v>9</v>
      </c>
      <c r="M2" s="134" t="s">
        <v>5</v>
      </c>
      <c r="N2" s="134" t="s">
        <v>7</v>
      </c>
      <c r="O2" s="362" t="s">
        <v>8</v>
      </c>
      <c r="P2" s="362" t="s">
        <v>9</v>
      </c>
      <c r="Q2" s="149" t="s">
        <v>8</v>
      </c>
      <c r="R2" s="149" t="s">
        <v>9</v>
      </c>
    </row>
    <row r="3" spans="1:18">
      <c r="A3" s="37" t="s">
        <v>4</v>
      </c>
      <c r="C3" s="37" t="s">
        <v>6</v>
      </c>
      <c r="D3" s="37" t="s">
        <v>11</v>
      </c>
      <c r="E3" s="37" t="s">
        <v>6</v>
      </c>
      <c r="F3" s="37" t="s">
        <v>11</v>
      </c>
      <c r="G3" s="37" t="s">
        <v>6</v>
      </c>
      <c r="H3" s="37" t="s">
        <v>11</v>
      </c>
      <c r="I3" s="37" t="s">
        <v>6</v>
      </c>
      <c r="J3" s="37" t="s">
        <v>11</v>
      </c>
      <c r="Q3" s="37" t="s">
        <v>6</v>
      </c>
      <c r="R3" s="37" t="s">
        <v>11</v>
      </c>
    </row>
    <row r="5" spans="1:18">
      <c r="A5" s="37" t="s">
        <v>1389</v>
      </c>
      <c r="C5" s="37" t="s">
        <v>1394</v>
      </c>
      <c r="D5" s="37" t="s">
        <v>1395</v>
      </c>
      <c r="G5" s="37" t="s">
        <v>1390</v>
      </c>
      <c r="H5" s="37" t="s">
        <v>1391</v>
      </c>
      <c r="I5" s="37" t="s">
        <v>1394</v>
      </c>
      <c r="J5" s="37" t="s">
        <v>1396</v>
      </c>
    </row>
    <row r="6" spans="1:18">
      <c r="H6" s="37" t="s">
        <v>1407</v>
      </c>
    </row>
    <row r="8" spans="1:18">
      <c r="A8" s="37" t="s">
        <v>1399</v>
      </c>
      <c r="E8" s="37" t="s">
        <v>1398</v>
      </c>
      <c r="F8" s="37" t="s">
        <v>1400</v>
      </c>
      <c r="I8" s="37" t="s">
        <v>1402</v>
      </c>
      <c r="J8" s="37" t="s">
        <v>1403</v>
      </c>
    </row>
    <row r="9" spans="1:18">
      <c r="F9" s="37" t="s">
        <v>1401</v>
      </c>
    </row>
    <row r="10" spans="1:18">
      <c r="F10" s="37" t="s">
        <v>1406</v>
      </c>
    </row>
    <row r="12" spans="1:18">
      <c r="A12" s="37" t="s">
        <v>1493</v>
      </c>
      <c r="C12" s="37" t="s">
        <v>1550</v>
      </c>
      <c r="D12" s="37" t="s">
        <v>1552</v>
      </c>
      <c r="E12" s="37" t="s">
        <v>1497</v>
      </c>
      <c r="F12" s="37" t="s">
        <v>1496</v>
      </c>
      <c r="G12" s="37" t="s">
        <v>1550</v>
      </c>
      <c r="H12" s="37" t="s">
        <v>1557</v>
      </c>
      <c r="I12" s="37" t="s">
        <v>1494</v>
      </c>
      <c r="J12" s="37" t="s">
        <v>1495</v>
      </c>
      <c r="M12" s="37" t="s">
        <v>6</v>
      </c>
      <c r="N12" s="37" t="s">
        <v>1500</v>
      </c>
      <c r="O12" s="37" t="s">
        <v>6</v>
      </c>
      <c r="P12" s="37" t="s">
        <v>1500</v>
      </c>
    </row>
    <row r="13" spans="1:18">
      <c r="D13" s="37" t="s">
        <v>1551</v>
      </c>
      <c r="F13" s="37" t="s">
        <v>1509</v>
      </c>
      <c r="J13" s="37" t="s">
        <v>1526</v>
      </c>
    </row>
    <row r="14" spans="1:18">
      <c r="F14" s="37" t="s">
        <v>1498</v>
      </c>
      <c r="J14" s="37" t="s">
        <v>1527</v>
      </c>
    </row>
    <row r="15" spans="1:18">
      <c r="F15" s="37" t="s">
        <v>1503</v>
      </c>
      <c r="J15" s="37" t="s">
        <v>1528</v>
      </c>
    </row>
    <row r="16" spans="1:18">
      <c r="F16" s="37" t="s">
        <v>1541</v>
      </c>
    </row>
    <row r="17" spans="1:18">
      <c r="F17" s="37" t="s">
        <v>1555</v>
      </c>
    </row>
    <row r="18" spans="1:18">
      <c r="F18" s="37" t="s">
        <v>1561</v>
      </c>
    </row>
    <row r="20" spans="1:18">
      <c r="A20" s="37" t="s">
        <v>1563</v>
      </c>
      <c r="E20" s="37" t="s">
        <v>1564</v>
      </c>
      <c r="F20" s="37" t="s">
        <v>1565</v>
      </c>
      <c r="I20" s="37" t="s">
        <v>1572</v>
      </c>
      <c r="J20" s="37" t="s">
        <v>1574</v>
      </c>
      <c r="M20" s="37" t="s">
        <v>1575</v>
      </c>
      <c r="N20" s="37" t="s">
        <v>1573</v>
      </c>
    </row>
    <row r="21" spans="1:18">
      <c r="F21" s="37" t="s">
        <v>1570</v>
      </c>
      <c r="J21" s="37" t="s">
        <v>1577</v>
      </c>
      <c r="N21" s="37" t="s">
        <v>1574</v>
      </c>
    </row>
    <row r="23" spans="1:18">
      <c r="A23" s="37" t="s">
        <v>1591</v>
      </c>
      <c r="C23" s="37" t="s">
        <v>1613</v>
      </c>
      <c r="D23" s="37" t="s">
        <v>1614</v>
      </c>
      <c r="I23" s="37" t="s">
        <v>1592</v>
      </c>
      <c r="J23" s="37" t="s">
        <v>1593</v>
      </c>
      <c r="K23" s="37" t="s">
        <v>1600</v>
      </c>
      <c r="L23" s="37" t="s">
        <v>1601</v>
      </c>
      <c r="M23" s="37" t="s">
        <v>1596</v>
      </c>
      <c r="N23" s="37" t="s">
        <v>1593</v>
      </c>
    </row>
    <row r="24" spans="1:18">
      <c r="J24" s="37" t="s">
        <v>1594</v>
      </c>
      <c r="N24" s="37" t="s">
        <v>1594</v>
      </c>
    </row>
    <row r="25" spans="1:18">
      <c r="J25" s="37" t="s">
        <v>1598</v>
      </c>
    </row>
    <row r="27" spans="1:18">
      <c r="A27" s="37" t="s">
        <v>1624</v>
      </c>
      <c r="C27" s="37" t="s">
        <v>1637</v>
      </c>
      <c r="D27" s="37" t="s">
        <v>1690</v>
      </c>
      <c r="E27" s="37" t="s">
        <v>1631</v>
      </c>
      <c r="F27" s="37" t="s">
        <v>1632</v>
      </c>
      <c r="I27" s="37" t="s">
        <v>1625</v>
      </c>
      <c r="J27" s="37" t="s">
        <v>1626</v>
      </c>
      <c r="K27" s="37" t="s">
        <v>1675</v>
      </c>
      <c r="L27" s="37" t="s">
        <v>1676</v>
      </c>
      <c r="O27" s="37" t="s">
        <v>1627</v>
      </c>
      <c r="P27" s="37" t="s">
        <v>1628</v>
      </c>
      <c r="Q27" s="37" t="s">
        <v>2145</v>
      </c>
      <c r="R27" s="37" t="s">
        <v>2146</v>
      </c>
    </row>
    <row r="28" spans="1:18">
      <c r="F28" s="37" t="s">
        <v>1633</v>
      </c>
    </row>
    <row r="29" spans="1:18">
      <c r="F29" s="37" t="s">
        <v>1638</v>
      </c>
    </row>
  </sheetData>
  <sheetProtection password="EE8F" sheet="1" objects="1" scenarios="1"/>
  <mergeCells count="8">
    <mergeCell ref="O1:P1"/>
    <mergeCell ref="C1:D1"/>
    <mergeCell ref="E1:F1"/>
    <mergeCell ref="I1:J1"/>
    <mergeCell ref="Q1:R1"/>
    <mergeCell ref="G1:H1"/>
    <mergeCell ref="M1:N1"/>
    <mergeCell ref="K1:L1"/>
  </mergeCells>
  <phoneticPr fontId="7"/>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10"/>
  </sheetPr>
  <dimension ref="A1:D67"/>
  <sheetViews>
    <sheetView showGridLines="0" workbookViewId="0">
      <selection activeCell="C30" sqref="C30"/>
    </sheetView>
  </sheetViews>
  <sheetFormatPr defaultRowHeight="14.25"/>
  <cols>
    <col min="1" max="1" width="2.5" style="154" bestFit="1" customWidth="1"/>
    <col min="2" max="2" width="4.125" style="154" customWidth="1"/>
    <col min="3" max="3" width="5" style="154" customWidth="1"/>
    <col min="4" max="4" width="176.75" style="3" customWidth="1"/>
    <col min="5" max="5" width="96.375" style="3" customWidth="1"/>
    <col min="6" max="16384" width="9" style="3"/>
  </cols>
  <sheetData>
    <row r="1" spans="1:4" ht="18">
      <c r="B1" s="169" t="s">
        <v>1635</v>
      </c>
      <c r="D1" s="167"/>
    </row>
    <row r="2" spans="1:4" s="382" customFormat="1" ht="18">
      <c r="A2" s="379" t="s">
        <v>739</v>
      </c>
      <c r="B2" s="380"/>
      <c r="C2" s="381"/>
      <c r="D2" s="167"/>
    </row>
    <row r="3" spans="1:4" ht="20.100000000000001" customHeight="1">
      <c r="A3" s="157">
        <v>1</v>
      </c>
      <c r="B3" s="156" t="s">
        <v>1224</v>
      </c>
    </row>
    <row r="4" spans="1:4" ht="20.100000000000001" customHeight="1">
      <c r="A4" s="157">
        <v>2</v>
      </c>
      <c r="B4" s="156" t="s">
        <v>727</v>
      </c>
    </row>
    <row r="5" spans="1:4" ht="20.100000000000001" customHeight="1">
      <c r="A5" s="157"/>
      <c r="B5" s="159" t="s">
        <v>726</v>
      </c>
      <c r="C5" s="157" t="s">
        <v>1634</v>
      </c>
    </row>
    <row r="6" spans="1:4" ht="20.100000000000001" customHeight="1">
      <c r="A6" s="158"/>
      <c r="B6" s="159" t="s">
        <v>1194</v>
      </c>
      <c r="C6" s="160" t="s">
        <v>740</v>
      </c>
      <c r="D6" s="160"/>
    </row>
    <row r="7" spans="1:4" ht="20.100000000000001" customHeight="1">
      <c r="A7" s="158"/>
      <c r="B7" s="159"/>
      <c r="C7" s="160" t="s">
        <v>741</v>
      </c>
      <c r="D7" s="160" t="s">
        <v>1537</v>
      </c>
    </row>
    <row r="8" spans="1:4" ht="20.100000000000001" customHeight="1">
      <c r="A8" s="158"/>
      <c r="B8" s="159" t="s">
        <v>1195</v>
      </c>
      <c r="C8" s="156" t="s">
        <v>1193</v>
      </c>
      <c r="D8" s="156"/>
    </row>
    <row r="9" spans="1:4" ht="20.100000000000001" customHeight="1">
      <c r="A9" s="158"/>
      <c r="B9" s="159" t="s">
        <v>1196</v>
      </c>
      <c r="C9" s="156" t="s">
        <v>1200</v>
      </c>
      <c r="D9" s="156"/>
    </row>
    <row r="10" spans="1:4" ht="20.100000000000001" customHeight="1">
      <c r="A10" s="158"/>
      <c r="B10" s="159"/>
      <c r="C10" s="155" t="s">
        <v>1197</v>
      </c>
      <c r="D10" s="156" t="s">
        <v>1201</v>
      </c>
    </row>
    <row r="11" spans="1:4" ht="81" customHeight="1">
      <c r="A11" s="158"/>
      <c r="B11" s="159"/>
      <c r="C11" s="155" t="s">
        <v>1198</v>
      </c>
      <c r="D11" s="162" t="s">
        <v>1538</v>
      </c>
    </row>
    <row r="12" spans="1:4" ht="20.100000000000001" customHeight="1">
      <c r="A12" s="158"/>
      <c r="B12" s="159" t="s">
        <v>1202</v>
      </c>
      <c r="C12" s="156" t="s">
        <v>834</v>
      </c>
      <c r="D12" s="156"/>
    </row>
    <row r="13" spans="1:4" ht="49.5" customHeight="1">
      <c r="A13" s="158"/>
      <c r="B13" s="159"/>
      <c r="C13" s="155" t="s">
        <v>1204</v>
      </c>
      <c r="D13" s="162" t="s">
        <v>1539</v>
      </c>
    </row>
    <row r="14" spans="1:4" ht="20.100000000000001" customHeight="1">
      <c r="A14" s="161"/>
      <c r="B14" s="161"/>
      <c r="C14" s="155" t="s">
        <v>1205</v>
      </c>
      <c r="D14" s="156" t="s">
        <v>1203</v>
      </c>
    </row>
    <row r="15" spans="1:4" ht="148.5" customHeight="1">
      <c r="A15" s="161"/>
      <c r="B15" s="161"/>
      <c r="C15" s="155" t="s">
        <v>1206</v>
      </c>
      <c r="D15" s="162" t="s">
        <v>1207</v>
      </c>
    </row>
    <row r="16" spans="1:4" ht="108" customHeight="1">
      <c r="A16" s="161"/>
      <c r="B16" s="161"/>
      <c r="C16" s="155" t="s">
        <v>1208</v>
      </c>
      <c r="D16" s="162" t="s">
        <v>1540</v>
      </c>
    </row>
    <row r="17" spans="1:4" ht="26.25" customHeight="1">
      <c r="A17" s="161"/>
      <c r="B17" s="161"/>
      <c r="C17" s="155" t="s">
        <v>1209</v>
      </c>
      <c r="D17" s="162" t="s">
        <v>1210</v>
      </c>
    </row>
    <row r="18" spans="1:4" ht="20.100000000000001" customHeight="1">
      <c r="B18" s="163" t="s">
        <v>1211</v>
      </c>
      <c r="C18" s="445" t="s">
        <v>728</v>
      </c>
      <c r="D18" s="445"/>
    </row>
    <row r="19" spans="1:4" ht="101.25" customHeight="1">
      <c r="B19" s="163" t="s">
        <v>1199</v>
      </c>
      <c r="C19" s="446" t="s">
        <v>1542</v>
      </c>
      <c r="D19" s="446"/>
    </row>
    <row r="20" spans="1:4" ht="20.100000000000001" customHeight="1">
      <c r="A20" s="157"/>
      <c r="B20" s="163" t="s">
        <v>1212</v>
      </c>
      <c r="C20" s="165" t="s">
        <v>1392</v>
      </c>
      <c r="D20" s="162"/>
    </row>
    <row r="21" spans="1:4" ht="20.100000000000001" customHeight="1">
      <c r="A21" s="157">
        <v>3</v>
      </c>
      <c r="B21" s="157" t="s">
        <v>1213</v>
      </c>
    </row>
    <row r="22" spans="1:4" ht="20.100000000000001" customHeight="1">
      <c r="A22" s="157">
        <v>4</v>
      </c>
      <c r="B22" s="157" t="s">
        <v>1544</v>
      </c>
    </row>
    <row r="23" spans="1:4">
      <c r="A23" s="157">
        <v>5</v>
      </c>
      <c r="B23" s="164" t="s">
        <v>1545</v>
      </c>
    </row>
    <row r="24" spans="1:4" ht="20.100000000000001" customHeight="1">
      <c r="B24" s="157"/>
    </row>
    <row r="26" spans="1:4" s="382" customFormat="1" ht="18">
      <c r="A26" s="379" t="s">
        <v>1530</v>
      </c>
      <c r="B26" s="380"/>
      <c r="C26" s="381"/>
      <c r="D26" s="167"/>
    </row>
    <row r="27" spans="1:4" ht="20.100000000000001" customHeight="1">
      <c r="A27" s="157">
        <v>1</v>
      </c>
      <c r="B27" s="156" t="s">
        <v>1531</v>
      </c>
    </row>
    <row r="28" spans="1:4" ht="20.100000000000001" customHeight="1">
      <c r="A28" s="157">
        <v>2</v>
      </c>
      <c r="B28" s="156" t="s">
        <v>1532</v>
      </c>
    </row>
    <row r="29" spans="1:4" ht="20.100000000000001" customHeight="1">
      <c r="A29" s="157"/>
      <c r="B29" s="159" t="s">
        <v>1533</v>
      </c>
      <c r="C29" s="157" t="s">
        <v>1636</v>
      </c>
    </row>
    <row r="30" spans="1:4" ht="20.100000000000001" customHeight="1">
      <c r="A30" s="158"/>
      <c r="B30" s="159" t="s">
        <v>1534</v>
      </c>
      <c r="C30" s="160" t="s">
        <v>1535</v>
      </c>
      <c r="D30" s="160"/>
    </row>
    <row r="31" spans="1:4" ht="31.5" customHeight="1">
      <c r="A31" s="158"/>
      <c r="B31" s="159"/>
      <c r="C31" s="160" t="s">
        <v>1536</v>
      </c>
      <c r="D31" s="378" t="s">
        <v>1548</v>
      </c>
    </row>
    <row r="32" spans="1:4" ht="20.100000000000001" customHeight="1">
      <c r="A32" s="158"/>
      <c r="B32" s="159" t="s">
        <v>1195</v>
      </c>
      <c r="C32" s="156" t="s">
        <v>1193</v>
      </c>
      <c r="D32" s="156"/>
    </row>
    <row r="33" spans="1:4" ht="20.100000000000001" customHeight="1">
      <c r="A33" s="158"/>
      <c r="B33" s="159" t="s">
        <v>1196</v>
      </c>
      <c r="C33" s="156" t="s">
        <v>1200</v>
      </c>
      <c r="D33" s="156"/>
    </row>
    <row r="34" spans="1:4" ht="20.100000000000001" customHeight="1">
      <c r="A34" s="158"/>
      <c r="B34" s="159"/>
      <c r="C34" s="155" t="s">
        <v>1197</v>
      </c>
      <c r="D34" s="156" t="s">
        <v>1201</v>
      </c>
    </row>
    <row r="35" spans="1:4" ht="81" customHeight="1">
      <c r="A35" s="158"/>
      <c r="B35" s="159"/>
      <c r="C35" s="155" t="s">
        <v>1198</v>
      </c>
      <c r="D35" s="162" t="s">
        <v>1538</v>
      </c>
    </row>
    <row r="36" spans="1:4" ht="20.100000000000001" customHeight="1">
      <c r="A36" s="158"/>
      <c r="B36" s="159" t="s">
        <v>1202</v>
      </c>
      <c r="C36" s="156" t="s">
        <v>834</v>
      </c>
      <c r="D36" s="156"/>
    </row>
    <row r="37" spans="1:4" ht="49.5" customHeight="1">
      <c r="A37" s="158"/>
      <c r="B37" s="159"/>
      <c r="C37" s="155" t="s">
        <v>1204</v>
      </c>
      <c r="D37" s="162" t="s">
        <v>1539</v>
      </c>
    </row>
    <row r="38" spans="1:4" ht="20.100000000000001" customHeight="1">
      <c r="A38" s="161"/>
      <c r="B38" s="161"/>
      <c r="C38" s="155" t="s">
        <v>1205</v>
      </c>
      <c r="D38" s="156" t="s">
        <v>1203</v>
      </c>
    </row>
    <row r="39" spans="1:4" ht="148.5" customHeight="1">
      <c r="A39" s="161"/>
      <c r="B39" s="161"/>
      <c r="C39" s="155" t="s">
        <v>1206</v>
      </c>
      <c r="D39" s="162" t="s">
        <v>1207</v>
      </c>
    </row>
    <row r="40" spans="1:4" ht="108" customHeight="1">
      <c r="A40" s="161"/>
      <c r="B40" s="161"/>
      <c r="C40" s="155" t="s">
        <v>1208</v>
      </c>
      <c r="D40" s="162" t="s">
        <v>1540</v>
      </c>
    </row>
    <row r="41" spans="1:4" ht="26.25" customHeight="1">
      <c r="A41" s="161"/>
      <c r="B41" s="161"/>
      <c r="C41" s="155" t="s">
        <v>1209</v>
      </c>
      <c r="D41" s="162" t="s">
        <v>1210</v>
      </c>
    </row>
    <row r="42" spans="1:4" ht="20.100000000000001" customHeight="1">
      <c r="A42" s="157">
        <v>3</v>
      </c>
      <c r="B42" s="157" t="s">
        <v>1547</v>
      </c>
    </row>
    <row r="43" spans="1:4" ht="25.5" customHeight="1">
      <c r="A43" s="157">
        <v>4</v>
      </c>
      <c r="B43" s="157" t="s">
        <v>1549</v>
      </c>
    </row>
    <row r="44" spans="1:4">
      <c r="A44" s="157">
        <v>5</v>
      </c>
      <c r="B44" s="164" t="s">
        <v>1546</v>
      </c>
    </row>
    <row r="45" spans="1:4" ht="18">
      <c r="A45" s="300"/>
      <c r="B45" s="169"/>
      <c r="D45" s="167"/>
    </row>
    <row r="46" spans="1:4" ht="20.100000000000001" customHeight="1">
      <c r="A46" s="157"/>
      <c r="B46" s="156"/>
    </row>
    <row r="47" spans="1:4" ht="20.100000000000001" customHeight="1">
      <c r="A47" s="379" t="s">
        <v>1612</v>
      </c>
      <c r="B47" s="156"/>
    </row>
    <row r="48" spans="1:4" ht="20.100000000000001" customHeight="1">
      <c r="A48" s="157">
        <v>1</v>
      </c>
      <c r="B48" s="159" t="s">
        <v>1602</v>
      </c>
      <c r="C48" s="157"/>
    </row>
    <row r="49" spans="1:4" ht="20.100000000000001" customHeight="1">
      <c r="A49" s="157">
        <v>2</v>
      </c>
      <c r="B49" s="159" t="s">
        <v>1603</v>
      </c>
      <c r="C49" s="160"/>
      <c r="D49" s="160"/>
    </row>
    <row r="50" spans="1:4" ht="20.100000000000001" customHeight="1">
      <c r="A50" s="158"/>
      <c r="B50" s="159" t="s">
        <v>1604</v>
      </c>
      <c r="C50" s="160" t="s">
        <v>1605</v>
      </c>
      <c r="D50" s="160"/>
    </row>
    <row r="51" spans="1:4" ht="20.100000000000001" customHeight="1">
      <c r="A51" s="158"/>
      <c r="B51" s="159" t="s">
        <v>1607</v>
      </c>
      <c r="C51" s="156" t="s">
        <v>1606</v>
      </c>
      <c r="D51" s="156"/>
    </row>
    <row r="52" spans="1:4" ht="20.100000000000001" customHeight="1">
      <c r="A52" s="158"/>
      <c r="B52" s="159" t="s">
        <v>1608</v>
      </c>
      <c r="C52" s="156" t="s">
        <v>1609</v>
      </c>
      <c r="D52" s="156"/>
    </row>
    <row r="53" spans="1:4" ht="20.100000000000001" customHeight="1">
      <c r="A53" s="158"/>
      <c r="B53" s="159" t="s">
        <v>1610</v>
      </c>
      <c r="C53" s="163" t="s">
        <v>1611</v>
      </c>
      <c r="D53" s="156"/>
    </row>
    <row r="54" spans="1:4" ht="81" customHeight="1">
      <c r="A54" s="158"/>
      <c r="B54" s="159"/>
      <c r="C54" s="155"/>
      <c r="D54" s="162"/>
    </row>
    <row r="55" spans="1:4" ht="20.100000000000001" customHeight="1">
      <c r="A55" s="158"/>
      <c r="B55" s="159"/>
      <c r="C55" s="156"/>
      <c r="D55" s="156"/>
    </row>
    <row r="56" spans="1:4" ht="49.5" customHeight="1">
      <c r="A56" s="158"/>
      <c r="B56" s="159"/>
      <c r="C56" s="155"/>
      <c r="D56" s="162"/>
    </row>
    <row r="57" spans="1:4" ht="20.100000000000001" customHeight="1">
      <c r="A57" s="161"/>
      <c r="B57" s="161"/>
      <c r="C57" s="155"/>
      <c r="D57" s="156"/>
    </row>
    <row r="58" spans="1:4" ht="148.5" customHeight="1">
      <c r="A58" s="161"/>
      <c r="B58" s="161"/>
      <c r="C58" s="155"/>
      <c r="D58" s="162"/>
    </row>
    <row r="59" spans="1:4" ht="108" customHeight="1">
      <c r="A59" s="161"/>
      <c r="B59" s="161"/>
      <c r="C59" s="155"/>
      <c r="D59" s="162"/>
    </row>
    <row r="60" spans="1:4" ht="26.25" customHeight="1">
      <c r="A60" s="161"/>
      <c r="B60" s="161"/>
      <c r="C60" s="155"/>
      <c r="D60" s="162"/>
    </row>
    <row r="61" spans="1:4" ht="20.100000000000001" customHeight="1">
      <c r="B61" s="163"/>
      <c r="C61" s="445"/>
      <c r="D61" s="445"/>
    </row>
    <row r="62" spans="1:4" ht="101.25" customHeight="1">
      <c r="B62" s="163"/>
      <c r="C62" s="446"/>
      <c r="D62" s="446"/>
    </row>
    <row r="63" spans="1:4" ht="20.100000000000001" customHeight="1">
      <c r="A63" s="157"/>
      <c r="B63" s="163"/>
      <c r="C63" s="165"/>
      <c r="D63" s="162"/>
    </row>
    <row r="64" spans="1:4" ht="20.100000000000001" customHeight="1">
      <c r="A64" s="157"/>
      <c r="B64" s="157"/>
    </row>
    <row r="65" spans="1:2" ht="20.100000000000001" customHeight="1">
      <c r="A65" s="157"/>
      <c r="B65" s="157"/>
    </row>
    <row r="66" spans="1:2">
      <c r="A66" s="157"/>
      <c r="B66" s="164"/>
    </row>
    <row r="67" spans="1:2" ht="20.100000000000001" customHeight="1"/>
  </sheetData>
  <sheetProtection password="EE8F" sheet="1" objects="1" scenarios="1"/>
  <mergeCells count="4">
    <mergeCell ref="C18:D18"/>
    <mergeCell ref="C19:D19"/>
    <mergeCell ref="C61:D61"/>
    <mergeCell ref="C62:D62"/>
  </mergeCells>
  <phoneticPr fontId="7"/>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II294"/>
  <sheetViews>
    <sheetView showGridLines="0" tabSelected="1" topLeftCell="J1" zoomScale="75" zoomScaleNormal="75" workbookViewId="0">
      <selection activeCell="O4" sqref="O4"/>
    </sheetView>
  </sheetViews>
  <sheetFormatPr defaultRowHeight="14.25"/>
  <cols>
    <col min="1" max="1" width="2.875" style="29" customWidth="1"/>
    <col min="2" max="2" width="24.625" style="29" customWidth="1"/>
    <col min="3" max="3" width="15.5" style="29" customWidth="1"/>
    <col min="4" max="4" width="12.875" style="29" customWidth="1"/>
    <col min="5" max="5" width="13.625" style="29" customWidth="1"/>
    <col min="6" max="6" width="13" style="29" customWidth="1"/>
    <col min="7" max="7" width="13.125" style="29" customWidth="1"/>
    <col min="8" max="8" width="13.75" style="29" customWidth="1"/>
    <col min="9" max="9" width="12.75" style="29" customWidth="1"/>
    <col min="10" max="10" width="14.625" style="29" customWidth="1"/>
    <col min="11" max="11" width="12.75" style="29" customWidth="1"/>
    <col min="12" max="12" width="13.625" style="29" customWidth="1"/>
    <col min="13" max="13" width="11.375" style="29" customWidth="1"/>
    <col min="14" max="14" width="12.625" style="29" customWidth="1"/>
    <col min="15" max="15" width="13.875" style="29" customWidth="1"/>
    <col min="16" max="16" width="13.5" style="29" customWidth="1"/>
    <col min="17" max="17" width="13" style="29" customWidth="1"/>
    <col min="18" max="18" width="9.25" style="29" customWidth="1"/>
    <col min="19" max="19" width="11.125" style="29" customWidth="1"/>
    <col min="20" max="20" width="10.125" style="29" customWidth="1"/>
    <col min="21" max="21" width="12.25" style="29" customWidth="1"/>
    <col min="22" max="22" width="11.875" style="29" customWidth="1"/>
    <col min="23" max="23" width="12.125" style="29" customWidth="1"/>
    <col min="24" max="16384" width="9" style="29"/>
  </cols>
  <sheetData>
    <row r="1" spans="1:21" ht="15" customHeight="1">
      <c r="A1" s="22" t="s">
        <v>17</v>
      </c>
      <c r="C1" s="29" t="s">
        <v>1630</v>
      </c>
      <c r="D1" s="153" t="s">
        <v>724</v>
      </c>
      <c r="E1" s="151" t="s">
        <v>1583</v>
      </c>
      <c r="S1" s="68"/>
    </row>
    <row r="2" spans="1:21" ht="15" customHeight="1">
      <c r="A2" s="22"/>
      <c r="B2" s="74"/>
      <c r="M2" s="468" t="s">
        <v>528</v>
      </c>
      <c r="N2" s="468"/>
      <c r="O2" s="468"/>
      <c r="Q2" s="462" t="s">
        <v>673</v>
      </c>
      <c r="R2" s="462"/>
      <c r="S2" s="462"/>
      <c r="T2" s="462"/>
    </row>
    <row r="3" spans="1:21" ht="15" customHeight="1">
      <c r="A3" s="22"/>
      <c r="B3" s="82" t="s">
        <v>142</v>
      </c>
      <c r="C3" s="55"/>
      <c r="D3" s="55"/>
      <c r="E3" s="55"/>
      <c r="F3" s="55"/>
      <c r="G3" s="55"/>
      <c r="H3" s="55"/>
      <c r="I3" s="55"/>
      <c r="J3" s="55"/>
      <c r="K3" s="75"/>
      <c r="L3" s="77"/>
      <c r="M3" s="114" t="s">
        <v>524</v>
      </c>
      <c r="N3" s="114" t="s">
        <v>532</v>
      </c>
      <c r="O3" s="114" t="s">
        <v>525</v>
      </c>
      <c r="Q3" s="466" t="s">
        <v>668</v>
      </c>
      <c r="R3" s="467"/>
      <c r="S3" s="449" t="s">
        <v>1615</v>
      </c>
      <c r="T3" s="449"/>
      <c r="U3" s="85">
        <f>IF(S3="Original",1,IF(S3="New",1,0))</f>
        <v>0</v>
      </c>
    </row>
    <row r="4" spans="1:21" ht="15" customHeight="1">
      <c r="A4" s="22"/>
      <c r="B4" s="76" t="str">
        <f>IF(G63="NG","ERROR: DSI-TX0 cannot output all the data within 1line. Try faster DSI clock, more lanes, shorter HSW+HBPR(DSI side), shorter LP&lt;-&gt;HS transition","")</f>
        <v/>
      </c>
      <c r="C4" s="77"/>
      <c r="D4" s="77"/>
      <c r="E4" s="77"/>
      <c r="F4" s="77"/>
      <c r="G4" s="77"/>
      <c r="H4" s="77"/>
      <c r="I4" s="77"/>
      <c r="J4" s="77"/>
      <c r="K4" s="78"/>
      <c r="L4" s="77"/>
      <c r="M4" s="14" t="s">
        <v>477</v>
      </c>
      <c r="N4" s="14" t="s">
        <v>2</v>
      </c>
      <c r="O4" s="14">
        <v>2</v>
      </c>
      <c r="Q4" s="466" t="s">
        <v>669</v>
      </c>
      <c r="R4" s="467"/>
      <c r="S4" s="450" t="s">
        <v>1615</v>
      </c>
      <c r="T4" s="451"/>
      <c r="U4" s="85">
        <f>IF(S4="Original",1,IF(S4="New",1,0))</f>
        <v>0</v>
      </c>
    </row>
    <row r="5" spans="1:21" ht="15" customHeight="1">
      <c r="A5" s="22"/>
      <c r="B5" s="76" t="str">
        <f>IF(S63="NG","ERROR: DSI-TX1 cannot output all the data within 1line. Try faster DSI clock, more lanes, shorter HSW+HBPR(DSI side), shorter LP&lt;-&gt;HS transition","")</f>
        <v/>
      </c>
      <c r="C5" s="77"/>
      <c r="D5" s="77"/>
      <c r="E5" s="77"/>
      <c r="F5" s="77"/>
      <c r="G5" s="77"/>
      <c r="H5" s="77"/>
      <c r="I5" s="77"/>
      <c r="J5" s="77"/>
      <c r="K5" s="78"/>
      <c r="L5" s="77"/>
      <c r="N5" s="229" t="s">
        <v>526</v>
      </c>
      <c r="O5" s="229" t="s">
        <v>529</v>
      </c>
      <c r="Q5" s="131" t="s">
        <v>670</v>
      </c>
      <c r="R5" s="14" t="s">
        <v>36</v>
      </c>
      <c r="S5" s="452"/>
      <c r="T5" s="452"/>
      <c r="U5" s="85"/>
    </row>
    <row r="6" spans="1:21" ht="15" customHeight="1">
      <c r="A6" s="22"/>
      <c r="B6" s="79"/>
      <c r="C6" s="77"/>
      <c r="D6" s="77"/>
      <c r="E6" s="77"/>
      <c r="F6" s="77"/>
      <c r="G6" s="77"/>
      <c r="H6" s="77"/>
      <c r="I6" s="77"/>
      <c r="J6" s="77"/>
      <c r="K6" s="78"/>
      <c r="L6" s="77"/>
      <c r="M6" s="77"/>
      <c r="N6" s="6" t="s">
        <v>527</v>
      </c>
      <c r="O6" s="115" t="s">
        <v>533</v>
      </c>
      <c r="Q6" s="466" t="s">
        <v>671</v>
      </c>
      <c r="R6" s="467"/>
      <c r="S6" s="449" t="s">
        <v>1615</v>
      </c>
      <c r="T6" s="449"/>
      <c r="U6" s="85">
        <f>IF(S6="Original",1,IF(S6="New",1,0))</f>
        <v>0</v>
      </c>
    </row>
    <row r="7" spans="1:21" ht="15" customHeight="1">
      <c r="A7" s="22"/>
      <c r="B7" s="79"/>
      <c r="C7" s="77"/>
      <c r="D7" s="77"/>
      <c r="E7" s="77"/>
      <c r="F7" s="77"/>
      <c r="G7" s="77"/>
      <c r="H7" s="77"/>
      <c r="I7" s="77"/>
      <c r="J7" s="77"/>
      <c r="K7" s="78"/>
      <c r="L7" s="77"/>
      <c r="M7" s="77"/>
      <c r="N7" s="77"/>
      <c r="O7" s="77"/>
      <c r="Q7" s="466" t="s">
        <v>672</v>
      </c>
      <c r="R7" s="467"/>
      <c r="S7" s="449" t="s">
        <v>1615</v>
      </c>
      <c r="T7" s="449"/>
      <c r="U7" s="85">
        <f>IF(S7="Original",1,IF(S7="New",1,0))</f>
        <v>0</v>
      </c>
    </row>
    <row r="8" spans="1:21" ht="15">
      <c r="B8" s="79"/>
      <c r="C8" s="77"/>
      <c r="D8" s="77"/>
      <c r="E8" s="77"/>
      <c r="F8" s="77"/>
      <c r="G8" s="77"/>
      <c r="H8" s="77"/>
      <c r="I8" s="77"/>
      <c r="J8" s="77"/>
      <c r="K8" s="78"/>
      <c r="L8" s="77"/>
      <c r="M8" s="77"/>
      <c r="N8" s="290" t="s">
        <v>530</v>
      </c>
      <c r="O8" s="14" t="s">
        <v>531</v>
      </c>
      <c r="Q8" s="466" t="s">
        <v>799</v>
      </c>
      <c r="R8" s="467"/>
      <c r="S8" s="449" t="s">
        <v>1615</v>
      </c>
      <c r="T8" s="449"/>
      <c r="U8" s="85">
        <f>IF(S8="Original",1,IF(S8="New",1,0))</f>
        <v>0</v>
      </c>
    </row>
    <row r="9" spans="1:21" ht="15">
      <c r="B9" s="80"/>
      <c r="C9" s="58"/>
      <c r="D9" s="58"/>
      <c r="E9" s="58"/>
      <c r="F9" s="58"/>
      <c r="G9" s="58"/>
      <c r="H9" s="58"/>
      <c r="I9" s="58"/>
      <c r="J9" s="58"/>
      <c r="K9" s="81"/>
      <c r="L9" s="77"/>
      <c r="M9" s="77"/>
      <c r="N9" s="77"/>
      <c r="O9" s="77"/>
      <c r="Q9" s="466" t="s">
        <v>800</v>
      </c>
      <c r="R9" s="467"/>
      <c r="S9" s="449" t="s">
        <v>1615</v>
      </c>
      <c r="T9" s="449"/>
      <c r="U9" s="85">
        <f>IF(S9="Original",1,IF(S9="New",1,0))</f>
        <v>0</v>
      </c>
    </row>
    <row r="10" spans="1:21" ht="15">
      <c r="C10" s="85">
        <f>IF($B$20="640x480p60Hz (1)",EDID!$P100,IF($B$20="720x480p60Hz (2)",EDID!$Q100,IF($B$20="1280x720p60Hz (4)",EDID!$R100,IF($B$20="1920x1080p60Hz (16)",EDID!$S100,IF($B$20="1920x1200p60Hz (68)",EDID!$V100,IF($B$20="2560x1600p60Hz (76)",EDID!$W100,C19))))))</f>
        <v>268.60000000000002</v>
      </c>
      <c r="D10" s="85">
        <f>IF($B$20="640x480p60Hz (1)",EDID!$P101,IF($B$20="720x480p60Hz (2)",EDID!$Q101,IF($B$20="1280x720p60Hz (4)",EDID!$R101,IF($B$20="1920x1080p60Hz (16)",EDID!$S101,IF($B$20="1920x1200p60Hz (68)",EDID!$V101,IF($B$20="2560x1600p60Hz (76)",EDID!$W101,D19))))))</f>
        <v>32</v>
      </c>
      <c r="E10" s="85">
        <f>IF($B$20="640x480p60Hz (1)",EDID!$P102,IF($B$20="720x480p60Hz (2)",EDID!$Q102,IF($B$20="1280x720p60Hz (4)",EDID!$R102,IF($B$20="1920x1080p60Hz (16)",EDID!$S102,IF($B$20="1920x1200p60Hz (68)",EDID!$V102,IF($B$20="2560x1600p60Hz (76)",EDID!$W102,E19))))))</f>
        <v>80</v>
      </c>
      <c r="F10" s="85">
        <f>IF($B$20="640x480p60Hz (1)",EDID!$P103,IF($B$20="720x480p60Hz (2)",EDID!$Q103,IF($B$20="1280x720p60Hz (4)",EDID!$R103,IF($B$20="1920x1080p60Hz (16)",EDID!$S103,IF($B$20="1920x1200p60Hz (68)",EDID!$V103,IF($B$20="2560x1600p60Hz (76)",EDID!$W103,F19))))))</f>
        <v>2560</v>
      </c>
      <c r="G10" s="85">
        <f>IF($B$20="640x480p60Hz (1)",EDID!$P104,IF($B$20="720x480p60Hz (2)",EDID!$Q104,IF($B$20="1280x720p60Hz (4)",EDID!$R104,IF($B$20="1920x1080p60Hz (16)",EDID!$S104,IF($B$20="1920x1200p60Hz (68)",EDID!$V104,IF($B$20="2560x1600p60Hz (76)",EDID!$W104,G19))))))</f>
        <v>48</v>
      </c>
      <c r="H10" s="85">
        <f>IF($B$20="640x480p60Hz (1)",EDID!$P105,IF($B$20="720x480p60Hz (2)",EDID!$Q105,IF($B$20="1280x720p60Hz (4)",EDID!$R105,IF($B$20="1920x1080p60Hz (16)",EDID!$S105,IF($B$20="1920x1200p60Hz (68)",EDID!$V105,IF($B$20="2560x1600p60Hz (76)",EDID!$W105,H19))))))</f>
        <v>6</v>
      </c>
      <c r="I10" s="85">
        <f>IF($B$20="640x480p60Hz (1)",EDID!$P106,IF($B$20="720x480p60Hz (2)",EDID!$Q106,IF($B$20="1280x720p60Hz (4)",EDID!$R106,IF($B$20="1920x1080p60Hz (16)",EDID!$S106,IF($B$20="1920x1200p60Hz (68)",EDID!$V106,IF($B$20="2560x1600p60Hz (76)",EDID!$W106,I19))))))</f>
        <v>37</v>
      </c>
      <c r="J10" s="85">
        <f>IF($B$20="640x480p60Hz (1)",EDID!$P107,IF($B$20="720x480p60Hz (2)",EDID!$Q107,IF($B$20="1280x720p60Hz (4)",EDID!$R107,IF($B$20="1920x1080p60Hz (16)",EDID!$S107,IF($B$20="1920x1200p60Hz (68)",EDID!$V107,IF($B$20="2560x1600p60Hz (76)",EDID!$W107,J19))))))</f>
        <v>1600</v>
      </c>
      <c r="K10" s="85">
        <f>IF($B$20="640x480p60Hz (1)",EDID!$P108,IF($B$20="720x480p60Hz (2)",EDID!$Q108,IF($B$20="1280x720p60Hz (4)",EDID!$R108,IF($B$20="1920x1080p60Hz (16)",EDID!$S108,IF($B$20="1920x1200p60Hz (68)",EDID!$V108,IF($B$20="2560x1600p60Hz (76)",EDID!$W108,K19))))))</f>
        <v>3</v>
      </c>
      <c r="Q10" s="466" t="s">
        <v>801</v>
      </c>
      <c r="R10" s="467"/>
      <c r="S10" s="450" t="s">
        <v>1615</v>
      </c>
      <c r="T10" s="451"/>
      <c r="U10" s="85">
        <f>IF(S10="Original",1,IF(S10="New",1,0))</f>
        <v>0</v>
      </c>
    </row>
    <row r="11" spans="1:21" ht="15" hidden="1">
      <c r="C11" s="85"/>
      <c r="D11" s="85"/>
      <c r="E11" s="85"/>
      <c r="F11" s="85"/>
      <c r="G11" s="85"/>
      <c r="H11" s="85"/>
      <c r="I11" s="85"/>
      <c r="J11" s="85"/>
      <c r="K11" s="85"/>
      <c r="Q11" s="244"/>
      <c r="R11" s="243"/>
      <c r="S11" s="243"/>
      <c r="T11" s="243"/>
    </row>
    <row r="12" spans="1:21" ht="15" hidden="1">
      <c r="C12" s="85"/>
      <c r="D12" s="85"/>
      <c r="E12" s="85"/>
      <c r="F12" s="85"/>
      <c r="G12" s="85"/>
      <c r="H12" s="85"/>
      <c r="I12" s="85"/>
      <c r="J12" s="85"/>
      <c r="K12" s="85"/>
      <c r="Q12" s="244"/>
      <c r="R12" s="243"/>
      <c r="S12" s="243"/>
      <c r="T12" s="243"/>
    </row>
    <row r="13" spans="1:21" ht="15" hidden="1">
      <c r="C13" s="85"/>
      <c r="D13" s="85"/>
      <c r="E13" s="85"/>
      <c r="F13" s="85"/>
      <c r="G13" s="85"/>
      <c r="H13" s="85"/>
      <c r="I13" s="85"/>
      <c r="J13" s="85"/>
      <c r="K13" s="85"/>
      <c r="Q13" s="244"/>
      <c r="R13" s="243"/>
      <c r="S13" s="243"/>
      <c r="T13" s="243"/>
    </row>
    <row r="14" spans="1:21" ht="15" hidden="1">
      <c r="C14" s="85"/>
      <c r="D14" s="85"/>
      <c r="E14" s="85"/>
      <c r="F14" s="85"/>
      <c r="G14" s="85"/>
      <c r="H14" s="85"/>
      <c r="I14" s="85"/>
      <c r="J14" s="85"/>
      <c r="K14" s="85"/>
      <c r="Q14" s="244"/>
      <c r="R14" s="243"/>
      <c r="S14" s="243"/>
      <c r="T14" s="243"/>
    </row>
    <row r="15" spans="1:21" hidden="1">
      <c r="C15" s="85"/>
      <c r="D15" s="85"/>
      <c r="E15" s="85"/>
      <c r="F15" s="85"/>
      <c r="G15" s="85"/>
      <c r="H15" s="85"/>
      <c r="I15" s="85"/>
      <c r="J15" s="85"/>
      <c r="K15" s="85"/>
    </row>
    <row r="16" spans="1:21" ht="18">
      <c r="B16" s="476" t="s">
        <v>1214</v>
      </c>
      <c r="C16" s="476"/>
      <c r="D16" s="476"/>
      <c r="E16" s="476"/>
      <c r="F16" s="476"/>
      <c r="G16" s="476"/>
      <c r="H16" s="476"/>
      <c r="I16" s="476"/>
      <c r="J16" s="476"/>
      <c r="K16" s="476"/>
      <c r="L16" s="476"/>
    </row>
    <row r="17" spans="2:17" ht="15">
      <c r="B17" s="189"/>
      <c r="C17" s="40" t="s">
        <v>749</v>
      </c>
      <c r="D17" s="40" t="s">
        <v>1404</v>
      </c>
      <c r="E17" s="40" t="s">
        <v>752</v>
      </c>
      <c r="F17" s="40" t="s">
        <v>753</v>
      </c>
      <c r="G17" s="40" t="s">
        <v>754</v>
      </c>
      <c r="H17" s="40" t="s">
        <v>755</v>
      </c>
      <c r="I17" s="40" t="s">
        <v>757</v>
      </c>
      <c r="J17" s="40" t="s">
        <v>758</v>
      </c>
      <c r="K17" s="193" t="s">
        <v>759</v>
      </c>
      <c r="L17" s="198"/>
      <c r="M17" s="477" t="s">
        <v>143</v>
      </c>
      <c r="N17" s="477"/>
      <c r="O17" s="478"/>
    </row>
    <row r="18" spans="2:17" ht="15" customHeight="1">
      <c r="B18" s="190" t="s">
        <v>738</v>
      </c>
      <c r="C18" s="192" t="s">
        <v>750</v>
      </c>
      <c r="D18" s="192" t="s">
        <v>751</v>
      </c>
      <c r="E18" s="192" t="s">
        <v>751</v>
      </c>
      <c r="F18" s="192" t="s">
        <v>751</v>
      </c>
      <c r="G18" s="192" t="s">
        <v>751</v>
      </c>
      <c r="H18" s="192" t="s">
        <v>756</v>
      </c>
      <c r="I18" s="192" t="s">
        <v>756</v>
      </c>
      <c r="J18" s="192" t="s">
        <v>756</v>
      </c>
      <c r="K18" s="194" t="s">
        <v>756</v>
      </c>
      <c r="L18" s="197" t="s">
        <v>132</v>
      </c>
      <c r="M18" s="70"/>
      <c r="N18" s="35" t="s">
        <v>128</v>
      </c>
      <c r="O18" s="35" t="s">
        <v>130</v>
      </c>
      <c r="P18" s="37"/>
      <c r="Q18" s="37"/>
    </row>
    <row r="19" spans="2:17" ht="15">
      <c r="B19" s="172" t="s">
        <v>737</v>
      </c>
      <c r="C19" s="191">
        <v>134</v>
      </c>
      <c r="D19" s="13">
        <v>32</v>
      </c>
      <c r="E19" s="13">
        <v>80</v>
      </c>
      <c r="F19" s="13">
        <v>2560</v>
      </c>
      <c r="G19" s="375">
        <v>48</v>
      </c>
      <c r="H19" s="375">
        <v>6</v>
      </c>
      <c r="I19" s="375">
        <v>37</v>
      </c>
      <c r="J19" s="13">
        <v>1600</v>
      </c>
      <c r="K19" s="195">
        <v>3</v>
      </c>
      <c r="L19" s="72"/>
      <c r="M19" s="71" t="s">
        <v>127</v>
      </c>
      <c r="N19" s="36" t="s">
        <v>129</v>
      </c>
      <c r="O19" s="36" t="s">
        <v>131</v>
      </c>
      <c r="P19" s="37"/>
      <c r="Q19" s="37"/>
    </row>
    <row r="20" spans="2:17" ht="15">
      <c r="B20" s="14" t="s">
        <v>1615</v>
      </c>
      <c r="C20" s="171">
        <f t="shared" ref="C20:K20" si="0">C10</f>
        <v>268.60000000000002</v>
      </c>
      <c r="D20" s="171">
        <f t="shared" si="0"/>
        <v>32</v>
      </c>
      <c r="E20" s="171">
        <f t="shared" si="0"/>
        <v>80</v>
      </c>
      <c r="F20" s="171">
        <f t="shared" si="0"/>
        <v>2560</v>
      </c>
      <c r="G20" s="171">
        <f t="shared" si="0"/>
        <v>48</v>
      </c>
      <c r="H20" s="171">
        <f t="shared" si="0"/>
        <v>6</v>
      </c>
      <c r="I20" s="171">
        <f t="shared" si="0"/>
        <v>37</v>
      </c>
      <c r="J20" s="171">
        <f t="shared" si="0"/>
        <v>1600</v>
      </c>
      <c r="K20" s="171">
        <f t="shared" si="0"/>
        <v>3</v>
      </c>
      <c r="L20" s="6" t="s">
        <v>776</v>
      </c>
      <c r="M20" s="186">
        <f>C20*10^6/((D20+E20+F20+G20)*(H20+I20+J20+K20))</f>
        <v>59.993924665856625</v>
      </c>
      <c r="N20" s="113">
        <f>(D20+E20+F20+G20)*1/C20</f>
        <v>10.126582278481012</v>
      </c>
      <c r="O20" s="113">
        <f>(H20+I20+J20+K20)*N20/10^3</f>
        <v>16.668354430379747</v>
      </c>
      <c r="P20" s="37"/>
      <c r="Q20" s="37"/>
    </row>
    <row r="21" spans="2:17" ht="15">
      <c r="B21" s="196"/>
      <c r="C21" s="311" t="s">
        <v>1338</v>
      </c>
      <c r="D21" s="98" t="s">
        <v>1337</v>
      </c>
      <c r="E21" s="98" t="s">
        <v>1337</v>
      </c>
      <c r="F21" s="98" t="s">
        <v>1186</v>
      </c>
      <c r="G21" s="183"/>
      <c r="H21" s="98" t="s">
        <v>1397</v>
      </c>
      <c r="I21" s="98" t="s">
        <v>770</v>
      </c>
      <c r="J21" s="98" t="s">
        <v>1166</v>
      </c>
      <c r="K21" s="183"/>
      <c r="L21" s="6" t="s">
        <v>1165</v>
      </c>
      <c r="M21" s="65" t="str">
        <f>IF(B20="Original",L21,"Progressive")</f>
        <v>Progressive</v>
      </c>
      <c r="O21"/>
      <c r="P21" s="37"/>
      <c r="Q21" s="37"/>
    </row>
    <row r="22" spans="2:17" ht="15">
      <c r="B22"/>
      <c r="C22" s="312" t="s">
        <v>1339</v>
      </c>
      <c r="D22" s="132" t="str">
        <f>IF(D20+E20&lt;8,"NG","OK")</f>
        <v>OK</v>
      </c>
      <c r="E22" s="132" t="str">
        <f>IF(D20+E20&lt;8,"NG","OK")</f>
        <v>OK</v>
      </c>
      <c r="F22" s="132" t="str">
        <f>IF(F20&gt;4096,"NG",IF(F20&lt;1,"NG","OK"))</f>
        <v>OK</v>
      </c>
      <c r="G22" s="183"/>
      <c r="H22" s="132" t="str">
        <f>IF(H20&gt;1023,"NG",IF(H20&lt;2,"NG","OK"))</f>
        <v>OK</v>
      </c>
      <c r="I22" s="132" t="str">
        <f>IF(I20&gt;1023,"NG",IF(I20&lt;1,"NG","OK"))</f>
        <v>OK</v>
      </c>
      <c r="J22" s="132" t="str">
        <f>IF(J20&gt;4096,"NG",IF(J20&lt;1,"NG","OK"))</f>
        <v>OK</v>
      </c>
      <c r="K22"/>
      <c r="L22" s="6" t="s">
        <v>1147</v>
      </c>
      <c r="O22"/>
      <c r="P22" s="37"/>
      <c r="Q22" s="37"/>
    </row>
    <row r="23" spans="2:17" ht="15">
      <c r="B23"/>
      <c r="C23" s="132" t="str">
        <f>IF(C20&lt;1,"NG",IF(C20&gt;297,"NG",IF(C29="Color Bar",IF(C20&gt;C82*2,"NG","OK"),"OK")))</f>
        <v>OK</v>
      </c>
      <c r="D23" s="216">
        <f>D20/C20*1000</f>
        <v>119.13626209977662</v>
      </c>
      <c r="E23" s="216">
        <f>E20/C20*1000</f>
        <v>297.84065524944151</v>
      </c>
      <c r="F23" s="216">
        <f>F20/C20</f>
        <v>9.530900967982129</v>
      </c>
      <c r="G23" s="216">
        <f>G20/C20*1000</f>
        <v>178.7043931496649</v>
      </c>
      <c r="H23" s="181"/>
      <c r="I23" s="181"/>
      <c r="J23" s="181"/>
      <c r="K23" s="181"/>
      <c r="L23" s="263" t="s">
        <v>950</v>
      </c>
      <c r="M23" s="14" t="s">
        <v>833</v>
      </c>
      <c r="N23" s="140">
        <f>IF(M23="L Active",1,0)</f>
        <v>1</v>
      </c>
      <c r="O23" s="182"/>
      <c r="P23" s="37"/>
      <c r="Q23" s="37"/>
    </row>
    <row r="24" spans="2:17" ht="15">
      <c r="B24"/>
      <c r="C24" s="181"/>
      <c r="D24" s="199" t="s">
        <v>761</v>
      </c>
      <c r="E24" s="199" t="s">
        <v>761</v>
      </c>
      <c r="F24" s="199" t="s">
        <v>760</v>
      </c>
      <c r="G24" s="199" t="s">
        <v>762</v>
      </c>
      <c r="H24" s="181"/>
      <c r="I24" s="181"/>
      <c r="J24" s="181"/>
      <c r="K24" s="181"/>
      <c r="L24" s="263" t="s">
        <v>949</v>
      </c>
      <c r="M24" s="14" t="s">
        <v>833</v>
      </c>
      <c r="N24" s="140">
        <f>IF(M24="L Active",1,0)</f>
        <v>1</v>
      </c>
      <c r="O24" s="182"/>
      <c r="P24" s="37"/>
      <c r="Q24" s="37"/>
    </row>
    <row r="25" spans="2:17" ht="15" hidden="1">
      <c r="B25"/>
      <c r="C25" s="181"/>
      <c r="D25" s="253"/>
      <c r="E25" s="253"/>
      <c r="F25" s="253"/>
      <c r="G25" s="253"/>
      <c r="H25" s="181"/>
      <c r="I25" s="181"/>
      <c r="J25" s="181"/>
      <c r="K25" s="181"/>
      <c r="L25"/>
      <c r="M25"/>
      <c r="N25" s="140">
        <f>IF(M25="L Active",1,0)</f>
        <v>0</v>
      </c>
      <c r="O25" s="182"/>
      <c r="P25" s="37"/>
      <c r="Q25" s="37"/>
    </row>
    <row r="26" spans="2:17" ht="15" hidden="1">
      <c r="B26"/>
      <c r="C26" s="181"/>
      <c r="D26" s="253"/>
      <c r="E26" s="253"/>
      <c r="F26" s="253"/>
      <c r="G26" s="253"/>
      <c r="H26" s="181"/>
      <c r="I26" s="181"/>
      <c r="J26" s="181"/>
      <c r="K26" s="181"/>
      <c r="L26"/>
      <c r="M26"/>
      <c r="N26" s="182"/>
      <c r="O26" s="182"/>
      <c r="P26" s="37"/>
      <c r="Q26" s="37"/>
    </row>
    <row r="27" spans="2:17" hidden="1">
      <c r="L27"/>
      <c r="M27"/>
    </row>
    <row r="28" spans="2:17">
      <c r="L28"/>
      <c r="M28"/>
    </row>
    <row r="29" spans="2:17" ht="15">
      <c r="B29" s="70" t="s">
        <v>1629</v>
      </c>
      <c r="C29" s="14" t="s">
        <v>1562</v>
      </c>
      <c r="D29" s="14" t="s">
        <v>1560</v>
      </c>
      <c r="E29" s="85">
        <f>IF(D29="Bar",2*2,3*2)</f>
        <v>4</v>
      </c>
      <c r="F29" s="181"/>
      <c r="G29" s="181"/>
      <c r="H29" s="181"/>
      <c r="I29" s="181"/>
      <c r="J29" s="181"/>
      <c r="K29" s="181"/>
      <c r="L29"/>
      <c r="M29"/>
      <c r="N29" s="182"/>
      <c r="O29" s="182"/>
      <c r="P29" s="37"/>
      <c r="Q29" s="37"/>
    </row>
    <row r="30" spans="2:17" ht="15">
      <c r="B30"/>
      <c r="C30"/>
      <c r="D30" s="181"/>
      <c r="E30" s="181"/>
      <c r="F30" s="181"/>
      <c r="G30" s="181"/>
      <c r="H30" s="181"/>
      <c r="I30" s="181"/>
      <c r="J30" s="181"/>
      <c r="K30" s="181"/>
      <c r="L30"/>
      <c r="M30"/>
      <c r="N30" s="182"/>
      <c r="O30" s="182"/>
      <c r="P30" s="37"/>
      <c r="Q30" s="37"/>
    </row>
    <row r="31" spans="2:17" ht="15" hidden="1">
      <c r="B31"/>
      <c r="C31"/>
      <c r="D31" s="181"/>
      <c r="E31" s="181"/>
      <c r="F31" s="181"/>
      <c r="G31" s="181"/>
      <c r="H31" s="181"/>
      <c r="I31" s="181"/>
      <c r="J31" s="181"/>
      <c r="K31" s="181"/>
      <c r="L31"/>
      <c r="M31"/>
      <c r="N31" s="182"/>
      <c r="O31" s="182"/>
      <c r="P31" s="37"/>
      <c r="Q31" s="37"/>
    </row>
    <row r="32" spans="2:17" hidden="1">
      <c r="B32"/>
      <c r="C32"/>
      <c r="D32"/>
      <c r="E32"/>
      <c r="F32"/>
      <c r="G32"/>
      <c r="H32"/>
      <c r="I32"/>
      <c r="J32"/>
      <c r="K32"/>
      <c r="L32"/>
      <c r="M32"/>
      <c r="N32"/>
      <c r="O32"/>
      <c r="P32"/>
      <c r="Q32"/>
    </row>
    <row r="33" spans="2:18" hidden="1">
      <c r="B33"/>
      <c r="C33"/>
      <c r="D33"/>
      <c r="E33"/>
      <c r="F33"/>
      <c r="G33"/>
      <c r="H33"/>
      <c r="I33"/>
      <c r="J33"/>
      <c r="K33"/>
      <c r="L33"/>
      <c r="M33"/>
      <c r="N33"/>
      <c r="O33"/>
      <c r="P33"/>
      <c r="Q33"/>
    </row>
    <row r="34" spans="2:18" hidden="1">
      <c r="B34"/>
      <c r="C34"/>
      <c r="D34"/>
      <c r="E34"/>
      <c r="F34"/>
      <c r="G34"/>
      <c r="H34"/>
      <c r="I34"/>
      <c r="J34"/>
      <c r="K34"/>
      <c r="L34"/>
      <c r="M34"/>
      <c r="N34"/>
      <c r="O34"/>
      <c r="P34"/>
      <c r="Q34"/>
    </row>
    <row r="35" spans="2:18" hidden="1">
      <c r="B35"/>
      <c r="C35"/>
      <c r="D35"/>
      <c r="E35"/>
      <c r="F35"/>
      <c r="G35"/>
      <c r="H35"/>
      <c r="I35"/>
      <c r="J35"/>
      <c r="K35"/>
      <c r="L35"/>
      <c r="M35"/>
      <c r="N35"/>
      <c r="O35"/>
      <c r="P35"/>
      <c r="Q35"/>
    </row>
    <row r="36" spans="2:18" hidden="1">
      <c r="B36"/>
      <c r="C36"/>
      <c r="D36"/>
      <c r="E36"/>
      <c r="F36"/>
      <c r="G36"/>
      <c r="H36"/>
      <c r="I36"/>
      <c r="J36"/>
      <c r="K36"/>
      <c r="L36"/>
      <c r="M36"/>
      <c r="N36"/>
      <c r="O36"/>
      <c r="P36"/>
      <c r="Q36"/>
    </row>
    <row r="37" spans="2:18" hidden="1">
      <c r="B37"/>
      <c r="C37"/>
      <c r="D37"/>
      <c r="E37"/>
      <c r="F37"/>
      <c r="G37"/>
      <c r="H37"/>
      <c r="I37"/>
      <c r="J37"/>
      <c r="K37"/>
      <c r="L37"/>
      <c r="M37"/>
      <c r="N37"/>
      <c r="O37"/>
      <c r="P37"/>
      <c r="Q37"/>
    </row>
    <row r="38" spans="2:18" hidden="1">
      <c r="B38"/>
      <c r="C38"/>
      <c r="D38"/>
      <c r="E38"/>
      <c r="F38"/>
      <c r="G38"/>
      <c r="H38"/>
      <c r="I38"/>
      <c r="J38"/>
      <c r="K38"/>
      <c r="L38"/>
      <c r="M38"/>
      <c r="N38"/>
      <c r="O38"/>
      <c r="P38"/>
      <c r="Q38"/>
    </row>
    <row r="39" spans="2:18" hidden="1">
      <c r="B39" s="293"/>
      <c r="C39"/>
      <c r="D39"/>
      <c r="E39"/>
      <c r="F39"/>
      <c r="G39"/>
      <c r="H39"/>
      <c r="I39"/>
      <c r="J39"/>
      <c r="K39"/>
      <c r="L39"/>
      <c r="M39"/>
      <c r="N39"/>
      <c r="O39"/>
      <c r="P39"/>
      <c r="Q39"/>
      <c r="R39"/>
    </row>
    <row r="40" spans="2:18" ht="15">
      <c r="B40" s="291"/>
      <c r="C40" s="291"/>
      <c r="D40" s="291"/>
      <c r="E40" s="248" t="s">
        <v>1139</v>
      </c>
      <c r="F40" s="14" t="s">
        <v>36</v>
      </c>
      <c r="G40" s="248" t="s">
        <v>1140</v>
      </c>
      <c r="H40" s="14" t="s">
        <v>36</v>
      </c>
      <c r="I40" s="289" t="s">
        <v>1143</v>
      </c>
      <c r="J40" s="289" t="s">
        <v>1143</v>
      </c>
      <c r="K40"/>
      <c r="L40"/>
      <c r="M40"/>
      <c r="N40"/>
      <c r="O40"/>
      <c r="P40"/>
      <c r="Q40"/>
      <c r="R40"/>
    </row>
    <row r="41" spans="2:18" ht="30">
      <c r="B41" s="294" t="s">
        <v>1174</v>
      </c>
      <c r="C41" s="188" t="s">
        <v>1138</v>
      </c>
      <c r="D41" s="188" t="s">
        <v>839</v>
      </c>
      <c r="E41" s="248" t="s">
        <v>847</v>
      </c>
      <c r="F41" s="248" t="s">
        <v>844</v>
      </c>
      <c r="G41" s="248" t="s">
        <v>849</v>
      </c>
      <c r="H41" s="248" t="s">
        <v>845</v>
      </c>
      <c r="I41" s="297" t="s">
        <v>1177</v>
      </c>
      <c r="J41" s="297" t="s">
        <v>1178</v>
      </c>
      <c r="K41"/>
      <c r="L41"/>
      <c r="M41"/>
      <c r="P41"/>
      <c r="Q41"/>
      <c r="R41"/>
    </row>
    <row r="42" spans="2:18" ht="15" customHeight="1">
      <c r="B42" s="295" t="s">
        <v>1175</v>
      </c>
      <c r="C42" s="14" t="s">
        <v>840</v>
      </c>
      <c r="D42" s="6" t="s">
        <v>1173</v>
      </c>
      <c r="E42" s="394">
        <v>1</v>
      </c>
      <c r="F42" s="6">
        <v>0</v>
      </c>
      <c r="G42" s="394">
        <v>1281</v>
      </c>
      <c r="H42" s="6">
        <v>0</v>
      </c>
      <c r="I42" s="394">
        <v>10</v>
      </c>
      <c r="J42" s="394" t="s">
        <v>1144</v>
      </c>
      <c r="K42"/>
      <c r="L42"/>
      <c r="M42"/>
      <c r="P42"/>
      <c r="Q42"/>
      <c r="R42"/>
    </row>
    <row r="43" spans="2:18" ht="18">
      <c r="B43" s="295" t="s">
        <v>1176</v>
      </c>
      <c r="C43" s="244">
        <f>IF(C42="Half(Auto)",1,0)</f>
        <v>1</v>
      </c>
      <c r="D43" s="85">
        <f>IF(D42="DSI0",0,1)</f>
        <v>0</v>
      </c>
      <c r="E43" s="73" t="str">
        <f>IF(C42="Half(Auto)","Don't Care",IF(E42&lt;1,"NG",IF(E42&gt;4096,"NG",IF(E47&gt;F20,"NG","OK"))))</f>
        <v>Don't Care</v>
      </c>
      <c r="F43" s="44"/>
      <c r="G43" s="73" t="str">
        <f>IF(C42="Half(Auto)","Don't Care",IF(G42&lt;1,"NG",IF(G42&gt;4096,"NG",IF(G47&gt;F20,"NG","OK"))))</f>
        <v>Don't Care</v>
      </c>
      <c r="H43" s="44"/>
      <c r="I43" s="73" t="str">
        <f>IFERROR(DEC2HEX(HEX2DEC(I42),2),"NG")</f>
        <v>10</v>
      </c>
      <c r="J43" s="73" t="str">
        <f>IFERROR(DEC2HEX(HEX2DEC(J42),2),"NG")</f>
        <v>A0</v>
      </c>
      <c r="K43"/>
      <c r="L43"/>
      <c r="M43"/>
      <c r="P43"/>
      <c r="Q43"/>
      <c r="R43"/>
    </row>
    <row r="44" spans="2:18" ht="30">
      <c r="B44" s="292"/>
      <c r="C44" s="249" t="s">
        <v>841</v>
      </c>
      <c r="D44" s="249" t="s">
        <v>851</v>
      </c>
      <c r="E44" s="248" t="s">
        <v>848</v>
      </c>
      <c r="F44" s="248" t="s">
        <v>843</v>
      </c>
      <c r="G44" s="248" t="s">
        <v>850</v>
      </c>
      <c r="H44" s="248" t="s">
        <v>846</v>
      </c>
      <c r="K44"/>
      <c r="L44"/>
      <c r="M44"/>
      <c r="P44"/>
      <c r="Q44"/>
      <c r="R44"/>
    </row>
    <row r="45" spans="2:18" ht="15">
      <c r="B45" s="292"/>
      <c r="C45" s="6" t="s">
        <v>776</v>
      </c>
      <c r="D45" s="14" t="s">
        <v>748</v>
      </c>
      <c r="E45" s="394">
        <v>1280</v>
      </c>
      <c r="F45" s="6">
        <v>0</v>
      </c>
      <c r="G45" s="394">
        <v>2560</v>
      </c>
      <c r="H45" s="6">
        <v>0</v>
      </c>
      <c r="K45"/>
      <c r="L45"/>
      <c r="M45"/>
      <c r="P45"/>
      <c r="Q45"/>
      <c r="R45"/>
    </row>
    <row r="46" spans="2:18" ht="15">
      <c r="B46" s="301">
        <f>IF(C45="YCbCr422",16,IF(C45="pRGB666",18,24))</f>
        <v>24</v>
      </c>
      <c r="C46" s="411"/>
      <c r="D46" s="248" t="s">
        <v>1150</v>
      </c>
      <c r="E46" s="73" t="str">
        <f>IF(C42="Half(Auto)","Don't Care",IF(E45&lt;1,"NG",IF(E45&gt;4096,"NG",IF(E45&lt;E42,"NG",IF(E47&gt;F20,"NG","OK")))))</f>
        <v>Don't Care</v>
      </c>
      <c r="F46" s="250" t="s">
        <v>852</v>
      </c>
      <c r="G46" s="73" t="str">
        <f>IF(C42="Half(Auto)","Don't Care",IF(G45&lt;1,"NG",IF(G45&gt;4096,"NG",IF(G45&lt;G42,"NG",IF(G47&gt;F20,"NG","OK")))))</f>
        <v>Don't Care</v>
      </c>
      <c r="H46" s="250" t="s">
        <v>853</v>
      </c>
      <c r="K46"/>
      <c r="L46"/>
      <c r="M46"/>
      <c r="P46"/>
      <c r="Q46"/>
      <c r="R46"/>
    </row>
    <row r="47" spans="2:18" ht="15">
      <c r="B47" s="301">
        <f>IF(L20="RGB888",IF(C45="YCbCr422",1,0),0)</f>
        <v>0</v>
      </c>
      <c r="C47" s="292"/>
      <c r="D47" s="6" t="s">
        <v>38</v>
      </c>
      <c r="E47" s="65" t="str">
        <f>IF(C42="Half(Auto)","-",E45-E42+1)</f>
        <v>-</v>
      </c>
      <c r="F47" s="64">
        <f>IF(F40="Bypass",F20+F42+F45,IF(C42="Half(Auto)",F20/2+F42+F45,E47+F42+F45))</f>
        <v>1280</v>
      </c>
      <c r="G47" s="65" t="str">
        <f>IF(C42="Half(Auto)","-",G45-G42+1)</f>
        <v>-</v>
      </c>
      <c r="H47" s="64">
        <f>IF(H40="Bypass",F20+H42+H45,IF(C42="Half(Auto)",F20/2+H42+H45,G47+H42+H45))</f>
        <v>1280</v>
      </c>
      <c r="K47"/>
      <c r="L47"/>
      <c r="M47"/>
      <c r="P47"/>
      <c r="Q47"/>
      <c r="R47"/>
    </row>
    <row r="48" spans="2:18">
      <c r="B48" s="298">
        <f>IF(L20="RGB888",IF(C45="YCbCr444",2,0),0)</f>
        <v>0</v>
      </c>
      <c r="E48" s="246"/>
      <c r="F48" s="246"/>
      <c r="G48" s="246"/>
      <c r="H48" s="246"/>
      <c r="I48"/>
      <c r="J48"/>
      <c r="K48"/>
      <c r="L48"/>
      <c r="M48"/>
      <c r="N48"/>
      <c r="O48"/>
      <c r="P48"/>
      <c r="Q48"/>
      <c r="R48"/>
    </row>
    <row r="49" spans="2:21">
      <c r="B49" s="140">
        <f>IF(L20="YCbCr444",IF(C45="YCbCr422",3,0),0)</f>
        <v>0</v>
      </c>
      <c r="E49" s="246"/>
      <c r="F49" s="246"/>
      <c r="G49" s="246"/>
      <c r="H49" s="246"/>
      <c r="I49"/>
      <c r="J49"/>
      <c r="K49"/>
      <c r="L49"/>
      <c r="M49"/>
      <c r="N49"/>
      <c r="O49"/>
      <c r="P49"/>
      <c r="Q49"/>
      <c r="R49"/>
    </row>
    <row r="50" spans="2:21" hidden="1">
      <c r="B50" s="140">
        <f>IF(L20="YCbCr422",IF(C45="YCbCr444",4,0),0)</f>
        <v>0</v>
      </c>
      <c r="E50" s="246"/>
      <c r="F50" s="246"/>
      <c r="G50" s="246"/>
      <c r="H50" s="246"/>
      <c r="I50"/>
      <c r="J50"/>
      <c r="K50"/>
      <c r="L50"/>
      <c r="M50"/>
      <c r="N50"/>
      <c r="O50"/>
      <c r="P50"/>
      <c r="Q50"/>
      <c r="R50"/>
    </row>
    <row r="51" spans="2:21" hidden="1">
      <c r="B51" s="140">
        <f>IF(L20="YCbCr444",IF(MID(C45,1,1)&lt;&gt;"Y",5,0),0)</f>
        <v>0</v>
      </c>
      <c r="E51" s="246"/>
      <c r="F51" s="246"/>
      <c r="G51" s="246"/>
      <c r="H51" s="246"/>
      <c r="I51"/>
      <c r="J51"/>
      <c r="K51"/>
      <c r="L51"/>
      <c r="M51"/>
      <c r="N51"/>
      <c r="O51"/>
      <c r="P51"/>
      <c r="Q51"/>
      <c r="R51"/>
    </row>
    <row r="52" spans="2:21" hidden="1">
      <c r="B52" s="140">
        <f>IF(L20="YCbCr422",IF(MID(C45,1,1)&lt;&gt;"Y",6,0),0)</f>
        <v>0</v>
      </c>
      <c r="E52" s="246"/>
      <c r="F52" s="246"/>
      <c r="G52" s="246"/>
      <c r="H52" s="246"/>
      <c r="I52"/>
      <c r="J52"/>
      <c r="K52"/>
      <c r="L52"/>
      <c r="M52"/>
      <c r="N52"/>
      <c r="O52"/>
      <c r="P52"/>
      <c r="Q52"/>
      <c r="R52"/>
    </row>
    <row r="53" spans="2:21" hidden="1">
      <c r="B53" s="140">
        <f>SUM(B47:B52)</f>
        <v>0</v>
      </c>
      <c r="E53" s="246"/>
      <c r="F53" s="246"/>
      <c r="G53" s="246"/>
      <c r="H53" s="246"/>
      <c r="I53"/>
      <c r="J53"/>
      <c r="K53"/>
      <c r="L53"/>
      <c r="M53"/>
      <c r="N53"/>
      <c r="O53"/>
      <c r="P53"/>
      <c r="Q53"/>
      <c r="R53"/>
    </row>
    <row r="54" spans="2:21" hidden="1">
      <c r="C54"/>
      <c r="E54" s="246"/>
      <c r="F54" s="246"/>
      <c r="G54" s="246"/>
      <c r="H54" s="246"/>
      <c r="I54"/>
      <c r="J54"/>
      <c r="K54"/>
      <c r="L54"/>
      <c r="M54"/>
      <c r="N54"/>
      <c r="O54"/>
      <c r="P54"/>
      <c r="Q54"/>
      <c r="R54"/>
    </row>
    <row r="55" spans="2:21" hidden="1">
      <c r="C55"/>
      <c r="E55" s="77"/>
      <c r="F55" s="77"/>
      <c r="G55" s="77"/>
      <c r="H55" s="77"/>
      <c r="I55"/>
      <c r="J55"/>
      <c r="K55"/>
      <c r="L55"/>
      <c r="M55"/>
      <c r="N55"/>
      <c r="O55"/>
      <c r="P55"/>
      <c r="Q55"/>
      <c r="R55"/>
    </row>
    <row r="56" spans="2:21" hidden="1">
      <c r="B56"/>
      <c r="C56"/>
      <c r="D56"/>
      <c r="E56"/>
      <c r="F56"/>
      <c r="G56"/>
      <c r="H56"/>
      <c r="P56"/>
      <c r="Q56"/>
      <c r="R56"/>
    </row>
    <row r="57" spans="2:21" hidden="1">
      <c r="B57"/>
      <c r="C57"/>
      <c r="D57"/>
      <c r="E57"/>
      <c r="F57"/>
      <c r="G57"/>
      <c r="H57"/>
      <c r="J57"/>
      <c r="K57"/>
      <c r="L57"/>
      <c r="M57"/>
      <c r="O57"/>
      <c r="P57"/>
      <c r="Q57"/>
      <c r="R57"/>
    </row>
    <row r="58" spans="2:21" ht="17.25" customHeight="1">
      <c r="B58" s="491" t="s">
        <v>838</v>
      </c>
      <c r="C58" s="491"/>
      <c r="D58" s="491"/>
      <c r="E58" s="491"/>
      <c r="F58" s="491"/>
      <c r="G58" s="491"/>
      <c r="H58" s="491"/>
      <c r="I58" s="491"/>
      <c r="J58"/>
      <c r="K58"/>
      <c r="L58"/>
      <c r="M58" s="487" t="s">
        <v>1341</v>
      </c>
      <c r="N58" s="488"/>
      <c r="O58" s="14" t="s">
        <v>842</v>
      </c>
      <c r="P58" s="469" t="s">
        <v>1340</v>
      </c>
      <c r="Q58" s="470"/>
      <c r="R58" s="470"/>
      <c r="S58" s="470"/>
      <c r="T58" s="470"/>
      <c r="U58" s="470"/>
    </row>
    <row r="59" spans="2:21" ht="15" customHeight="1">
      <c r="B59" s="489" t="s">
        <v>140</v>
      </c>
      <c r="C59" s="188" t="s">
        <v>1405</v>
      </c>
      <c r="D59" s="188" t="str">
        <f>IF(D45="SyncEvent","-","HPW")</f>
        <v>-</v>
      </c>
      <c r="E59" s="221" t="str">
        <f>IF(D45="SyncEvent","HPW+HBP","HBP")</f>
        <v>HPW+HBP</v>
      </c>
      <c r="F59" s="226"/>
      <c r="G59" s="225"/>
      <c r="H59" s="226"/>
      <c r="I59" s="226"/>
      <c r="M59" s="489" t="s">
        <v>140</v>
      </c>
      <c r="N59" s="490"/>
      <c r="O59" s="188" t="s">
        <v>1405</v>
      </c>
      <c r="P59" s="188" t="str">
        <f>IF(D45="SyncEvent","-","HPW")</f>
        <v>-</v>
      </c>
      <c r="Q59" s="221" t="str">
        <f>IF(D45="SyncEvent","HPW+HBP","HBP")</f>
        <v>HPW+HBP</v>
      </c>
      <c r="R59" s="226"/>
      <c r="S59" s="225"/>
      <c r="T59" s="226"/>
      <c r="U59" s="226"/>
    </row>
    <row r="60" spans="2:21" ht="15" customHeight="1">
      <c r="B60" s="489"/>
      <c r="C60" s="377" t="s">
        <v>1269</v>
      </c>
      <c r="D60" s="296" t="s">
        <v>455</v>
      </c>
      <c r="E60" s="222" t="s">
        <v>455</v>
      </c>
      <c r="F60" s="227" t="s">
        <v>135</v>
      </c>
      <c r="G60" s="174" t="s">
        <v>747</v>
      </c>
      <c r="H60" s="227" t="s">
        <v>854</v>
      </c>
      <c r="I60" s="227" t="s">
        <v>139</v>
      </c>
      <c r="M60" s="489"/>
      <c r="N60" s="490"/>
      <c r="O60" s="377" t="s">
        <v>1269</v>
      </c>
      <c r="P60" s="180" t="s">
        <v>455</v>
      </c>
      <c r="Q60" s="222" t="s">
        <v>455</v>
      </c>
      <c r="R60" s="227" t="s">
        <v>135</v>
      </c>
      <c r="S60" s="241" t="s">
        <v>747</v>
      </c>
      <c r="T60" s="227" t="s">
        <v>854</v>
      </c>
      <c r="U60" s="227" t="s">
        <v>139</v>
      </c>
    </row>
    <row r="61" spans="2:21" ht="15" customHeight="1">
      <c r="B61" s="489"/>
      <c r="C61" s="250" t="s">
        <v>138</v>
      </c>
      <c r="D61" s="150">
        <v>1</v>
      </c>
      <c r="E61" s="223">
        <v>260</v>
      </c>
      <c r="F61" s="228" t="s">
        <v>136</v>
      </c>
      <c r="G61" s="175" t="s">
        <v>136</v>
      </c>
      <c r="H61" s="228" t="s">
        <v>137</v>
      </c>
      <c r="I61" s="228" t="s">
        <v>131</v>
      </c>
      <c r="M61" s="489"/>
      <c r="N61" s="490"/>
      <c r="O61" s="242" t="s">
        <v>138</v>
      </c>
      <c r="P61" s="150">
        <v>1</v>
      </c>
      <c r="Q61" s="223">
        <v>260</v>
      </c>
      <c r="R61" s="228" t="s">
        <v>129</v>
      </c>
      <c r="S61" s="242" t="s">
        <v>129</v>
      </c>
      <c r="T61" s="228" t="s">
        <v>131</v>
      </c>
      <c r="U61" s="228" t="s">
        <v>131</v>
      </c>
    </row>
    <row r="62" spans="2:21" ht="15" customHeight="1">
      <c r="B62" s="489"/>
      <c r="C62" s="187">
        <f>C77</f>
        <v>912</v>
      </c>
      <c r="D62" s="65">
        <f>IF(D60="Set",D61,IF(C60="LP",IF((D20/C20-B115/1000)*C82&lt;2,1,INT((D20/C20-B115/1000)*C82/2)+1),INT(D20/C20*C82*C78)+1))</f>
        <v>1</v>
      </c>
      <c r="E62" s="65">
        <f>IF(E60="Set",E61,IF(C60="LP",IF(D45="SyncPulse",INT(E20/C20*C82/2)+1,IF(((D20+E20)/C20-B115/1000)*C82&lt;2,1,INT((D20+E20)/C20*C82/2)+1)),IF(D45="SyncPulse",INT(E20/C20*C82*C78)+1,INT((D20+E20)/C20*1000*C82*C78/1000)+1)))</f>
        <v>260</v>
      </c>
      <c r="F62" s="224">
        <f>1/(C77*C78)*B46*F47</f>
        <v>8.4210526315789469</v>
      </c>
      <c r="G62" s="224">
        <f>IF(D45="SyncPulse",N20-D63/1000-E63/1000-F62,N20-E63/1000-F62)</f>
        <v>1.1353542083055732</v>
      </c>
      <c r="H62" s="224">
        <f>J20*N20/10^3</f>
        <v>16.202531645569618</v>
      </c>
      <c r="I62" s="224">
        <f>O20-H62</f>
        <v>0.46582278481012906</v>
      </c>
      <c r="M62" s="489"/>
      <c r="N62" s="490"/>
      <c r="O62" s="187">
        <f>O77</f>
        <v>912</v>
      </c>
      <c r="P62" s="65">
        <f>IF(P60="Set",P61,IF(O60="LP",IF((D20/C20-M115/1000)*C82&lt;2,1,INT((D20/C20-M115/1000)*O82/2)+1),INT(D20/C20*O82*L78)+1))</f>
        <v>1</v>
      </c>
      <c r="Q62" s="65">
        <f>IF(Q60="Set",Q61,IF(O60="LP",IF(D45="SyncPulse",INT(E20/C20*O82/2)+1,IF(((D20+E20)/C20-M115/1000)*O82&lt;2,1,INT(((D20+E20)/C20-M115/1000)*O82/2)+1)),IF(D45="SyncPulse",INT(E20/C20*O82*L78)+1,INT((D20+E20)/C20*O82*L78)+1)))</f>
        <v>260</v>
      </c>
      <c r="R62" s="224">
        <f>1/(O77*L78)*B46*H47</f>
        <v>8.4210526315789469</v>
      </c>
      <c r="S62" s="224">
        <f>IF(D45="SyncPulse",N20-P63/1000-Q63/1000-R62,N20-Q63/1000-R62)</f>
        <v>1.1353542083055732</v>
      </c>
      <c r="T62" s="224">
        <f>J20*N20/10^3</f>
        <v>16.202531645569618</v>
      </c>
      <c r="U62" s="224">
        <f>O20-H62</f>
        <v>0.46582278481012906</v>
      </c>
    </row>
    <row r="63" spans="2:21" ht="15" customHeight="1">
      <c r="B63" s="489"/>
      <c r="C63" s="184" t="s">
        <v>1502</v>
      </c>
      <c r="D63" s="299" t="str">
        <f>IF(D45="SyncEvent","-",IF(C60="LP",1/C82*1000*D62/2+B115,1/C82/C78*1000*D62))</f>
        <v>-</v>
      </c>
      <c r="E63" s="299">
        <f>IF(C60="LP",IF(D45="SyncEvent",1/C82*1000*E62/2+B115,1/C82*1000*E62/2),1/C82/C78*1000*E62)</f>
        <v>570.17543859649118</v>
      </c>
      <c r="G63" s="73" t="str">
        <f>IF(G62&lt;B114/1000,"NG","OK")</f>
        <v>OK</v>
      </c>
      <c r="M63" s="489"/>
      <c r="N63" s="490"/>
      <c r="O63" s="184" t="s">
        <v>1502</v>
      </c>
      <c r="P63" s="299" t="str">
        <f>IF(D45="SyncEvent","-",IF(O60="LP",1/O82*1000*P62/2+M115,1/O82/L78*1000*P62))</f>
        <v>-</v>
      </c>
      <c r="Q63" s="299">
        <f>IF(O60="LP",IF(D45="SyncEvent",1/O82*1000*Q62/2+M115,1/O82*1000*Q62/2),1/O82/L78*1000*Q62)</f>
        <v>570.17543859649118</v>
      </c>
      <c r="S63" s="73" t="str">
        <f>IF(S62&lt;M114/1000,"NG","OK")</f>
        <v>OK</v>
      </c>
    </row>
    <row r="64" spans="2:21" ht="14.25" customHeight="1">
      <c r="B64" s="489"/>
      <c r="C64" s="185" t="s">
        <v>1501</v>
      </c>
      <c r="D64" s="64" t="str">
        <f>IF(D45="SyncEvent","-",D63*C82/1000)</f>
        <v>-</v>
      </c>
      <c r="E64" s="64">
        <f>E63*C82/1000</f>
        <v>64.999999999999986</v>
      </c>
      <c r="G64" s="363">
        <f>G62*C82</f>
        <v>129.43037974683534</v>
      </c>
      <c r="L64" s="85"/>
      <c r="M64" s="489"/>
      <c r="N64" s="490"/>
      <c r="O64" s="185" t="s">
        <v>1501</v>
      </c>
      <c r="P64" s="64" t="str">
        <f>IF(D45="SyncEvent","-",P63*O82/1000)</f>
        <v>-</v>
      </c>
      <c r="Q64" s="64">
        <f>Q63*O82/1000</f>
        <v>64.999999999999986</v>
      </c>
      <c r="S64" s="363">
        <f>S62*O82</f>
        <v>129.43037974683534</v>
      </c>
    </row>
    <row r="65" spans="1:243">
      <c r="A65"/>
      <c r="B65"/>
      <c r="C65"/>
      <c r="D65"/>
      <c r="E65"/>
      <c r="F65"/>
      <c r="G65"/>
      <c r="H65"/>
      <c r="I65"/>
      <c r="J65"/>
      <c r="K65"/>
      <c r="L65"/>
      <c r="M65"/>
      <c r="N65"/>
      <c r="O65"/>
      <c r="P65"/>
      <c r="Q65"/>
      <c r="R65"/>
      <c r="S65"/>
      <c r="T65"/>
      <c r="U65"/>
    </row>
    <row r="66" spans="1:243" hidden="1">
      <c r="A66"/>
      <c r="B66"/>
      <c r="C66"/>
      <c r="D66"/>
      <c r="E66"/>
      <c r="F66"/>
      <c r="G66"/>
      <c r="H66"/>
      <c r="I66"/>
      <c r="J66"/>
      <c r="K66"/>
      <c r="L66"/>
      <c r="M66"/>
      <c r="N66"/>
      <c r="O66"/>
      <c r="P66"/>
      <c r="Q66"/>
      <c r="R66"/>
      <c r="S66"/>
      <c r="T66"/>
      <c r="U66"/>
    </row>
    <row r="67" spans="1:243" hidden="1">
      <c r="A67"/>
      <c r="B67"/>
      <c r="C67"/>
      <c r="D67"/>
      <c r="E67"/>
      <c r="F67"/>
      <c r="G67"/>
      <c r="H67"/>
      <c r="I67"/>
      <c r="J67"/>
      <c r="K67"/>
      <c r="L67"/>
      <c r="M67"/>
      <c r="N67"/>
      <c r="O67"/>
      <c r="P67"/>
      <c r="Q67"/>
      <c r="R67"/>
      <c r="S67"/>
      <c r="T67"/>
      <c r="U67"/>
      <c r="II67" s="37"/>
    </row>
    <row r="68" spans="1:243" hidden="1">
      <c r="A68"/>
      <c r="B68"/>
      <c r="C68"/>
      <c r="D68"/>
      <c r="E68"/>
      <c r="F68"/>
      <c r="G68"/>
      <c r="H68"/>
      <c r="I68"/>
      <c r="J68"/>
      <c r="K68"/>
      <c r="L68"/>
      <c r="M68"/>
      <c r="N68"/>
      <c r="O68"/>
      <c r="P68"/>
      <c r="Q68"/>
      <c r="R68"/>
      <c r="S68"/>
      <c r="T68"/>
      <c r="U68"/>
    </row>
    <row r="69" spans="1:243" hidden="1">
      <c r="A69"/>
      <c r="B69"/>
      <c r="C69"/>
      <c r="D69"/>
      <c r="E69"/>
      <c r="F69"/>
      <c r="G69"/>
      <c r="H69"/>
      <c r="I69"/>
      <c r="J69"/>
      <c r="K69"/>
      <c r="L69"/>
      <c r="M69"/>
      <c r="N69"/>
      <c r="O69"/>
      <c r="P69"/>
      <c r="Q69"/>
      <c r="R69"/>
      <c r="S69"/>
      <c r="T69"/>
      <c r="U69"/>
    </row>
    <row r="70" spans="1:243" hidden="1">
      <c r="J70" s="85">
        <f>(D23/1000+E23/1000+F23)-(D65/1000+F62)</f>
        <v>1.526825253752401</v>
      </c>
    </row>
    <row r="71" spans="1:243" ht="15.75">
      <c r="B71" s="479" t="s">
        <v>763</v>
      </c>
      <c r="C71" s="480"/>
      <c r="D71" s="480"/>
      <c r="E71" s="480"/>
      <c r="F71" s="480"/>
      <c r="G71" s="480"/>
      <c r="H71" s="481"/>
      <c r="I71" s="66" t="s">
        <v>18</v>
      </c>
      <c r="J71" s="66" t="s">
        <v>19</v>
      </c>
      <c r="K71" s="66" t="s">
        <v>20</v>
      </c>
      <c r="U71" s="66" t="s">
        <v>18</v>
      </c>
      <c r="V71" s="66" t="s">
        <v>19</v>
      </c>
      <c r="W71" s="66" t="s">
        <v>20</v>
      </c>
    </row>
    <row r="72" spans="1:243" ht="15">
      <c r="B72" s="43" t="s">
        <v>22</v>
      </c>
      <c r="C72" s="45">
        <v>48</v>
      </c>
      <c r="D72" s="50" t="s">
        <v>23</v>
      </c>
      <c r="E72" s="24" t="str">
        <f>IF(J72&lt;=I72,IF(I72&lt;=K72,"OK","NG"),"NG")</f>
        <v>OK</v>
      </c>
      <c r="F72" s="459" t="s">
        <v>24</v>
      </c>
      <c r="G72" s="460"/>
      <c r="H72" s="461"/>
      <c r="I72" s="65">
        <f>C72</f>
        <v>48</v>
      </c>
      <c r="J72" s="47">
        <v>40</v>
      </c>
      <c r="K72" s="44">
        <v>50</v>
      </c>
      <c r="M72" s="457" t="s">
        <v>22</v>
      </c>
      <c r="N72" s="457"/>
      <c r="O72" s="187">
        <f>C72</f>
        <v>48</v>
      </c>
      <c r="P72" s="38" t="s">
        <v>21</v>
      </c>
      <c r="Q72" s="23" t="str">
        <f>IF(V72&lt;=U72,IF(U72&lt;=W72,"OK","NG"),"NG")</f>
        <v>OK</v>
      </c>
      <c r="R72" s="463" t="s">
        <v>24</v>
      </c>
      <c r="S72" s="464"/>
      <c r="T72" s="465"/>
      <c r="U72" s="65">
        <f>O72</f>
        <v>48</v>
      </c>
      <c r="V72" s="47">
        <v>40</v>
      </c>
      <c r="W72" s="44">
        <v>50</v>
      </c>
    </row>
    <row r="73" spans="1:243" ht="15">
      <c r="B73" s="41" t="s">
        <v>25</v>
      </c>
      <c r="C73" s="45">
        <v>10</v>
      </c>
      <c r="D73" s="46" t="s">
        <v>26</v>
      </c>
      <c r="E73" s="24" t="str">
        <f>IF(J73&lt;=I73,IF(I73&lt;=K73,"OK","NG"),"NG")</f>
        <v>OK</v>
      </c>
      <c r="F73" s="463" t="s">
        <v>27</v>
      </c>
      <c r="G73" s="464"/>
      <c r="H73" s="465"/>
      <c r="I73" s="65">
        <f>C72/C73</f>
        <v>4.8</v>
      </c>
      <c r="J73" s="47">
        <v>4</v>
      </c>
      <c r="K73" s="44">
        <v>40</v>
      </c>
      <c r="M73" s="457" t="s">
        <v>25</v>
      </c>
      <c r="N73" s="457"/>
      <c r="O73" s="45">
        <v>10</v>
      </c>
      <c r="P73" s="46" t="s">
        <v>26</v>
      </c>
      <c r="Q73" s="24" t="str">
        <f>IF(V73&lt;=U73,IF(U73&lt;=W73,"OK","NG"),"NG")</f>
        <v>OK</v>
      </c>
      <c r="R73" s="463" t="s">
        <v>27</v>
      </c>
      <c r="S73" s="464"/>
      <c r="T73" s="465"/>
      <c r="U73" s="65">
        <f>IF(O58="Same as TX0",I73,O72/O73)</f>
        <v>4.8</v>
      </c>
      <c r="V73" s="47">
        <v>4</v>
      </c>
      <c r="W73" s="44">
        <v>40</v>
      </c>
    </row>
    <row r="74" spans="1:243" ht="15">
      <c r="B74" s="41" t="s">
        <v>775</v>
      </c>
      <c r="C74" s="25" t="s">
        <v>742</v>
      </c>
      <c r="D74" s="67" t="s">
        <v>28</v>
      </c>
      <c r="E74" s="247">
        <f>IF(C74="500M-1G",I73/1,IF(C74="250M-500M",I73/2,IF(C74="125M-250M",I73/4,I73/8)))</f>
        <v>4.8</v>
      </c>
      <c r="F74" s="48" t="s">
        <v>21</v>
      </c>
      <c r="G74" s="49"/>
      <c r="H74" s="49"/>
      <c r="M74" s="457" t="s">
        <v>775</v>
      </c>
      <c r="N74" s="457"/>
      <c r="O74" s="25" t="s">
        <v>742</v>
      </c>
      <c r="P74" s="67" t="s">
        <v>28</v>
      </c>
      <c r="Q74" s="247">
        <f>IF(O58="Same as TX0",E74,IF(O74="500M-1G",U73/1,IF(O74="250M-500M",U73/2,IF(O74="125M-250M",U73/4,U73/8))))</f>
        <v>4.8</v>
      </c>
      <c r="R74" s="48" t="s">
        <v>21</v>
      </c>
      <c r="S74" s="49"/>
      <c r="T74" s="49"/>
    </row>
    <row r="75" spans="1:243" ht="14.25" customHeight="1">
      <c r="B75" s="485" t="s">
        <v>29</v>
      </c>
      <c r="C75" s="482">
        <v>190</v>
      </c>
      <c r="D75" s="484" t="s">
        <v>30</v>
      </c>
      <c r="E75" s="26"/>
      <c r="F75" s="463" t="s">
        <v>133</v>
      </c>
      <c r="G75" s="464"/>
      <c r="H75" s="465"/>
      <c r="I75" s="47"/>
      <c r="J75" s="47">
        <f>IF(ROUNDUP(J78/E74,0)&gt;511,"N/A",ROUNDUP(J78/E74,0))</f>
        <v>0</v>
      </c>
      <c r="K75" s="47">
        <v>511</v>
      </c>
      <c r="M75" s="492" t="s">
        <v>29</v>
      </c>
      <c r="N75" s="492"/>
      <c r="O75" s="482">
        <v>180</v>
      </c>
      <c r="P75" s="484" t="s">
        <v>30</v>
      </c>
      <c r="Q75" s="26"/>
      <c r="R75" s="463" t="s">
        <v>133</v>
      </c>
      <c r="S75" s="464"/>
      <c r="T75" s="465"/>
      <c r="U75" s="47"/>
      <c r="V75" s="47">
        <f>IF(ROUNDUP(V78/Q74,0)&gt;511,"N/A",ROUNDUP(V78/Q74,0))</f>
        <v>0</v>
      </c>
      <c r="W75" s="47">
        <v>511</v>
      </c>
    </row>
    <row r="76" spans="1:243" ht="14.25" customHeight="1">
      <c r="B76" s="486"/>
      <c r="C76" s="483"/>
      <c r="D76" s="484"/>
      <c r="E76" s="26"/>
      <c r="F76" s="463" t="s">
        <v>31</v>
      </c>
      <c r="G76" s="464"/>
      <c r="H76" s="465"/>
      <c r="I76" s="65">
        <f>IF(C77&gt;=500,0,IF(C77&gt;=250,1,IF(C77&gt;=125,2,3)))</f>
        <v>0</v>
      </c>
      <c r="J76" s="65">
        <f>C73-1</f>
        <v>9</v>
      </c>
      <c r="K76" s="65">
        <f>C77*2^I76/I73-1</f>
        <v>189</v>
      </c>
      <c r="M76" s="492"/>
      <c r="N76" s="492"/>
      <c r="O76" s="483"/>
      <c r="P76" s="484"/>
      <c r="Q76" s="26"/>
      <c r="R76" s="463" t="s">
        <v>31</v>
      </c>
      <c r="S76" s="464"/>
      <c r="T76" s="465"/>
      <c r="U76" s="65">
        <f>IF(O58="Same as TX0",I76,IF(O77&gt;=500,0,IF(O77&gt;=250,1,IF(O77&gt;=125,2,3))))</f>
        <v>0</v>
      </c>
      <c r="V76" s="65">
        <f>IF(O58="Same as TX0",J76,O73-1)</f>
        <v>9</v>
      </c>
      <c r="W76" s="65">
        <f>IF(O58="Same as TX0",K76,O77*2^U76/U73-1)</f>
        <v>189</v>
      </c>
    </row>
    <row r="77" spans="1:243" ht="15">
      <c r="B77" s="41" t="s">
        <v>772</v>
      </c>
      <c r="C77" s="62">
        <f>I77</f>
        <v>912</v>
      </c>
      <c r="D77" s="50" t="s">
        <v>32</v>
      </c>
      <c r="E77" s="23" t="str">
        <f>IF(J77="N/A","NG",IF(J77&lt;=C77,IF(C77&lt;=K77,"OK","NG"),"NG"))</f>
        <v>OK</v>
      </c>
      <c r="F77" s="463" t="s">
        <v>33</v>
      </c>
      <c r="G77" s="464"/>
      <c r="H77" s="465"/>
      <c r="I77" s="65">
        <f>E74*C75</f>
        <v>912</v>
      </c>
      <c r="J77" s="202">
        <v>75</v>
      </c>
      <c r="K77" s="44">
        <f>IF(C74="62.5M-125M",125,IF(C74="125M-250M",250,IF(C74="250M-500M",500,1000)))</f>
        <v>1000</v>
      </c>
      <c r="L77" s="173"/>
      <c r="M77" s="457" t="s">
        <v>772</v>
      </c>
      <c r="N77" s="457"/>
      <c r="O77" s="62">
        <f>U77</f>
        <v>912</v>
      </c>
      <c r="P77" s="50" t="s">
        <v>32</v>
      </c>
      <c r="Q77" s="23" t="str">
        <f>IF(V77="N/A","NG",IF(V77&lt;=O77,IF(O77&lt;=W77,"OK","NG"),"NG"))</f>
        <v>OK</v>
      </c>
      <c r="R77" s="463" t="s">
        <v>33</v>
      </c>
      <c r="S77" s="464"/>
      <c r="T77" s="465"/>
      <c r="U77" s="65">
        <f>IF(O58="Same as TX0",I77,Q74*O75)</f>
        <v>912</v>
      </c>
      <c r="V77" s="202">
        <v>75</v>
      </c>
      <c r="W77" s="44">
        <f>IF(O58="Same as TX0",K77,IF(O74="62.5M-125M",125,IF(O74="125M-250M",250,IF(O74="250M-500M",500,1000))))</f>
        <v>1000</v>
      </c>
    </row>
    <row r="78" spans="1:243" ht="15">
      <c r="B78" s="41" t="s">
        <v>773</v>
      </c>
      <c r="C78" s="45">
        <v>4</v>
      </c>
      <c r="D78" s="38" t="s">
        <v>34</v>
      </c>
      <c r="E78" s="29">
        <f>IF(C78=1,1,IF(C78=2,2,IF(C78=3,3,4)))</f>
        <v>4</v>
      </c>
      <c r="F78" s="203" t="s">
        <v>766</v>
      </c>
      <c r="G78" s="204"/>
      <c r="H78" s="205"/>
      <c r="I78"/>
      <c r="J78"/>
      <c r="K78"/>
      <c r="L78" s="85">
        <f>IF(O58="Same as TX0",C78,O78)</f>
        <v>4</v>
      </c>
      <c r="M78" s="457" t="s">
        <v>773</v>
      </c>
      <c r="N78" s="457"/>
      <c r="O78" s="45">
        <v>4</v>
      </c>
      <c r="P78" s="38" t="s">
        <v>34</v>
      </c>
      <c r="Q78" s="85">
        <f>IF(O58="Same as TX0",E78,IF(O78=1,1,IF(O78=2,2,IF(O78=3,3,4))))</f>
        <v>4</v>
      </c>
      <c r="R78" s="203" t="s">
        <v>766</v>
      </c>
      <c r="S78" s="204"/>
      <c r="T78" s="205"/>
      <c r="U78"/>
      <c r="V78"/>
      <c r="W78"/>
    </row>
    <row r="79" spans="1:243" ht="15">
      <c r="B79" s="41" t="s">
        <v>35</v>
      </c>
      <c r="C79" s="51" t="s">
        <v>779</v>
      </c>
      <c r="D79" s="27">
        <f>IF(C79="Yes",0,1)</f>
        <v>1</v>
      </c>
      <c r="E79" s="28"/>
      <c r="F79" s="206"/>
      <c r="G79" s="207"/>
      <c r="H79" s="208"/>
      <c r="I79" s="200" t="s">
        <v>764</v>
      </c>
      <c r="J79" s="201">
        <f>IF(K79&gt;1000,"N/A",K79)</f>
        <v>843.55352957508205</v>
      </c>
      <c r="K79" s="319">
        <f>1/((F23+G23/1000-B114/1000)*C78/B46/F47)</f>
        <v>843.55352957508205</v>
      </c>
      <c r="L79" s="141"/>
      <c r="M79" s="457" t="s">
        <v>35</v>
      </c>
      <c r="N79" s="457"/>
      <c r="O79" s="51" t="s">
        <v>729</v>
      </c>
      <c r="P79" s="27">
        <f>IF(O58="Same as TX0",D79,IF(O79="Yes",0,1))</f>
        <v>1</v>
      </c>
      <c r="Q79" s="28"/>
      <c r="R79" s="206"/>
      <c r="S79" s="207"/>
      <c r="T79" s="208"/>
      <c r="U79" s="200" t="s">
        <v>764</v>
      </c>
      <c r="V79" s="201">
        <f>IF(W79&gt;1000,"N/A",W79)</f>
        <v>843.55352957508205</v>
      </c>
      <c r="W79" s="318">
        <f>1/((F23+G23/1000-M114/1000)*L78/B46/H47)</f>
        <v>843.55352957508205</v>
      </c>
    </row>
    <row r="80" spans="1:243" ht="15">
      <c r="B80" s="52" t="s">
        <v>774</v>
      </c>
      <c r="C80" s="51" t="s">
        <v>36</v>
      </c>
      <c r="E80" s="26"/>
      <c r="F80" s="209"/>
      <c r="G80" s="210"/>
      <c r="H80" s="211"/>
      <c r="I80" s="200" t="s">
        <v>765</v>
      </c>
      <c r="J80" s="212">
        <f>IF(K80&gt;1000,"N/A",K80)</f>
        <v>809.59441901841205</v>
      </c>
      <c r="K80" s="319">
        <f>1/((N20-B114/1000-1/(C77*C78)*16*8)*C78/B46/F47)</f>
        <v>809.59441901841205</v>
      </c>
      <c r="L80" s="85"/>
      <c r="M80" s="457" t="s">
        <v>774</v>
      </c>
      <c r="N80" s="457"/>
      <c r="O80" s="51" t="s">
        <v>36</v>
      </c>
      <c r="P80" s="85" t="str">
        <f>IF(O58="Same as TX0",C80,O80)</f>
        <v>Enable</v>
      </c>
      <c r="Q80" s="26"/>
      <c r="R80" s="209"/>
      <c r="S80" s="210"/>
      <c r="T80" s="211"/>
      <c r="U80" s="200" t="s">
        <v>765</v>
      </c>
      <c r="V80" s="212">
        <f>IF(W80&gt;1000,"N/A",W80)</f>
        <v>809.59441901841205</v>
      </c>
      <c r="W80" s="318">
        <f>1/((N20-M114/1000-1/(O77*L78)*16*8)*L78/B46/H47)</f>
        <v>809.59441901841205</v>
      </c>
    </row>
    <row r="81" spans="2:23" ht="15">
      <c r="B81" s="41"/>
      <c r="C81" s="314"/>
      <c r="I81" s="66" t="s">
        <v>18</v>
      </c>
      <c r="J81" s="66" t="s">
        <v>19</v>
      </c>
      <c r="K81" s="66" t="s">
        <v>20</v>
      </c>
      <c r="M81" s="457" t="s">
        <v>37</v>
      </c>
      <c r="N81" s="457"/>
      <c r="O81" s="63" t="s">
        <v>38</v>
      </c>
      <c r="U81" s="66" t="s">
        <v>18</v>
      </c>
      <c r="V81" s="66" t="s">
        <v>19</v>
      </c>
      <c r="W81" s="66" t="s">
        <v>20</v>
      </c>
    </row>
    <row r="82" spans="2:23" ht="15">
      <c r="B82" s="41" t="s">
        <v>39</v>
      </c>
      <c r="C82" s="42">
        <f>C77/8</f>
        <v>114</v>
      </c>
      <c r="D82" s="38" t="s">
        <v>21</v>
      </c>
      <c r="E82" s="30" t="str">
        <f>IF(C82&lt;=K82,"OK","NG")</f>
        <v>OK</v>
      </c>
      <c r="F82" s="463" t="s">
        <v>40</v>
      </c>
      <c r="G82" s="464"/>
      <c r="H82" s="465"/>
      <c r="I82" s="65">
        <f>C82</f>
        <v>114</v>
      </c>
      <c r="J82" s="47"/>
      <c r="K82" s="47">
        <v>125</v>
      </c>
      <c r="M82" s="457" t="s">
        <v>39</v>
      </c>
      <c r="N82" s="457"/>
      <c r="O82" s="42">
        <f>O77/8</f>
        <v>114</v>
      </c>
      <c r="P82" s="38" t="s">
        <v>21</v>
      </c>
      <c r="Q82" s="30" t="str">
        <f>IF(O82&lt;=W82,"OK","NG")</f>
        <v>OK</v>
      </c>
      <c r="R82" s="463" t="s">
        <v>40</v>
      </c>
      <c r="S82" s="464"/>
      <c r="T82" s="465"/>
      <c r="U82" s="65">
        <f>O82</f>
        <v>114</v>
      </c>
      <c r="V82" s="47"/>
      <c r="W82" s="47">
        <v>125</v>
      </c>
    </row>
    <row r="83" spans="2:23" ht="15">
      <c r="B83" s="215" t="s">
        <v>768</v>
      </c>
      <c r="C83" s="57">
        <v>50</v>
      </c>
      <c r="D83" s="38" t="s">
        <v>769</v>
      </c>
      <c r="E83" s="34" t="str">
        <f>IF(J83&lt;=I83,"OK","NG")</f>
        <v>OK</v>
      </c>
      <c r="F83" s="463"/>
      <c r="G83" s="464"/>
      <c r="H83" s="465"/>
      <c r="I83" s="65">
        <f>C83</f>
        <v>50</v>
      </c>
      <c r="J83" s="44">
        <v>50</v>
      </c>
      <c r="K83" s="44"/>
      <c r="M83" s="458" t="s">
        <v>768</v>
      </c>
      <c r="N83" s="458"/>
      <c r="O83" s="245">
        <f>C83</f>
        <v>50</v>
      </c>
      <c r="P83" s="38" t="s">
        <v>761</v>
      </c>
      <c r="Q83" s="34" t="str">
        <f>IF(V83&lt;=U83,"OK","NG")</f>
        <v>OK</v>
      </c>
      <c r="R83" s="463"/>
      <c r="S83" s="464"/>
      <c r="T83" s="465"/>
      <c r="U83" s="65">
        <f>O83</f>
        <v>50</v>
      </c>
      <c r="V83" s="44">
        <v>50</v>
      </c>
      <c r="W83" s="44"/>
    </row>
    <row r="84" spans="2:23" ht="15">
      <c r="B84" s="53" t="s">
        <v>41</v>
      </c>
      <c r="C84" s="54"/>
      <c r="D84" s="55"/>
      <c r="E84" s="31"/>
      <c r="F84" s="471" t="s">
        <v>43</v>
      </c>
      <c r="G84" s="472"/>
      <c r="H84" s="473"/>
      <c r="I84" s="66" t="s">
        <v>18</v>
      </c>
      <c r="J84" s="66" t="s">
        <v>19</v>
      </c>
      <c r="K84" s="66" t="s">
        <v>20</v>
      </c>
      <c r="M84" s="453" t="s">
        <v>41</v>
      </c>
      <c r="N84" s="454"/>
      <c r="O84" s="54"/>
      <c r="P84" s="55"/>
      <c r="Q84" s="31"/>
      <c r="R84" s="471" t="s">
        <v>43</v>
      </c>
      <c r="S84" s="472"/>
      <c r="T84" s="473"/>
      <c r="U84" s="66" t="s">
        <v>18</v>
      </c>
      <c r="V84" s="66" t="s">
        <v>19</v>
      </c>
      <c r="W84" s="66" t="s">
        <v>20</v>
      </c>
    </row>
    <row r="85" spans="2:23" ht="15" customHeight="1">
      <c r="B85" s="56" t="s">
        <v>1374</v>
      </c>
      <c r="C85" s="57">
        <v>6000</v>
      </c>
      <c r="D85" s="58" t="s">
        <v>42</v>
      </c>
      <c r="E85" s="24" t="str">
        <f>IF(J85&lt;=I85,"OK","NG")</f>
        <v>OK</v>
      </c>
      <c r="F85" s="459"/>
      <c r="G85" s="460"/>
      <c r="H85" s="461"/>
      <c r="I85" s="187">
        <f>1/(C82/2)*C85</f>
        <v>105.26315789473684</v>
      </c>
      <c r="J85" s="59">
        <v>100</v>
      </c>
      <c r="K85" s="59"/>
      <c r="M85" s="455" t="s">
        <v>1388</v>
      </c>
      <c r="N85" s="456"/>
      <c r="O85" s="57">
        <v>6000</v>
      </c>
      <c r="P85" s="58" t="s">
        <v>42</v>
      </c>
      <c r="Q85" s="24" t="str">
        <f>IF(V85&lt;=U85,"OK","NG")</f>
        <v>OK</v>
      </c>
      <c r="R85" s="459"/>
      <c r="S85" s="460"/>
      <c r="T85" s="461"/>
      <c r="U85" s="187">
        <f>IF(O58="Same as TX0",I85,1/(O82/2)*O85)</f>
        <v>105.26315789473684</v>
      </c>
      <c r="V85" s="59">
        <v>100</v>
      </c>
      <c r="W85" s="59"/>
    </row>
    <row r="86" spans="2:23" ht="15">
      <c r="B86" s="60" t="s">
        <v>1346</v>
      </c>
      <c r="C86" s="54"/>
      <c r="D86" s="54"/>
      <c r="E86" s="32" t="str">
        <f>IF(I87/C83&gt;=2/3,IF(I87/C83&lt;=3/2,"OK","NG"),"NG")</f>
        <v>OK</v>
      </c>
      <c r="F86" s="471" t="s">
        <v>141</v>
      </c>
      <c r="G86" s="472"/>
      <c r="H86" s="473"/>
      <c r="I86" s="66" t="s">
        <v>18</v>
      </c>
      <c r="J86" s="66" t="s">
        <v>19</v>
      </c>
      <c r="K86" s="66" t="s">
        <v>20</v>
      </c>
      <c r="M86" s="453" t="s">
        <v>44</v>
      </c>
      <c r="N86" s="454"/>
      <c r="O86" s="54"/>
      <c r="P86" s="54"/>
      <c r="Q86" s="32" t="str">
        <f>IF(U87/O83&gt;=2/3,IF(U87/O83&lt;=3/2,"OK","NG"),"NG")</f>
        <v>OK</v>
      </c>
      <c r="R86" s="471" t="s">
        <v>141</v>
      </c>
      <c r="S86" s="472"/>
      <c r="T86" s="473"/>
      <c r="U86" s="66" t="s">
        <v>18</v>
      </c>
      <c r="V86" s="66" t="s">
        <v>19</v>
      </c>
      <c r="W86" s="66" t="s">
        <v>20</v>
      </c>
    </row>
    <row r="87" spans="2:23" ht="15" customHeight="1">
      <c r="B87" s="61" t="s">
        <v>1347</v>
      </c>
      <c r="C87" s="57">
        <v>6</v>
      </c>
      <c r="D87" s="50" t="s">
        <v>45</v>
      </c>
      <c r="E87" s="24" t="str">
        <f>IF(J87&lt;=I87,"OK","NG")</f>
        <v>OK</v>
      </c>
      <c r="F87" s="459" t="s">
        <v>46</v>
      </c>
      <c r="G87" s="460"/>
      <c r="H87" s="461"/>
      <c r="I87" s="187">
        <f>1/C82*(C87+1)*1000</f>
        <v>61.403508771929822</v>
      </c>
      <c r="J87" s="59">
        <v>50</v>
      </c>
      <c r="K87" s="59"/>
      <c r="M87" s="455" t="s">
        <v>1373</v>
      </c>
      <c r="N87" s="456"/>
      <c r="O87" s="57">
        <v>5</v>
      </c>
      <c r="P87" s="50" t="s">
        <v>45</v>
      </c>
      <c r="Q87" s="24" t="str">
        <f>IF(V87&lt;=U87,"OK","NG")</f>
        <v>OK</v>
      </c>
      <c r="R87" s="459" t="s">
        <v>46</v>
      </c>
      <c r="S87" s="460"/>
      <c r="T87" s="461"/>
      <c r="U87" s="187">
        <f>IF(O58="Same as TX0",I87,1/O82*(O87+1)*1000)</f>
        <v>61.403508771929822</v>
      </c>
      <c r="V87" s="59">
        <v>50</v>
      </c>
      <c r="W87" s="59"/>
    </row>
    <row r="88" spans="2:23" ht="15">
      <c r="B88" s="60" t="s">
        <v>1349</v>
      </c>
      <c r="C88" s="54"/>
      <c r="D88" s="54"/>
      <c r="E88" s="31"/>
      <c r="F88" s="471" t="s">
        <v>48</v>
      </c>
      <c r="G88" s="472"/>
      <c r="H88" s="473"/>
      <c r="I88" s="66" t="s">
        <v>18</v>
      </c>
      <c r="J88" s="66" t="s">
        <v>19</v>
      </c>
      <c r="K88" s="66" t="s">
        <v>20</v>
      </c>
      <c r="M88" s="453" t="s">
        <v>1348</v>
      </c>
      <c r="N88" s="454"/>
      <c r="O88" s="54"/>
      <c r="P88" s="54"/>
      <c r="Q88" s="31"/>
      <c r="R88" s="471" t="s">
        <v>48</v>
      </c>
      <c r="S88" s="472"/>
      <c r="T88" s="473"/>
      <c r="U88" s="66" t="s">
        <v>18</v>
      </c>
      <c r="V88" s="66" t="s">
        <v>19</v>
      </c>
      <c r="W88" s="66" t="s">
        <v>20</v>
      </c>
    </row>
    <row r="89" spans="2:23" ht="15" customHeight="1">
      <c r="B89" s="61" t="s">
        <v>1350</v>
      </c>
      <c r="C89" s="57">
        <v>4</v>
      </c>
      <c r="D89" s="50" t="s">
        <v>47</v>
      </c>
      <c r="E89" s="24" t="str">
        <f>IF(J89&lt;=I89-5,IF(I89+5&lt;=K89,"OK","NG"),"NG")</f>
        <v>OK</v>
      </c>
      <c r="F89" s="459"/>
      <c r="G89" s="460"/>
      <c r="H89" s="461"/>
      <c r="I89" s="187">
        <f>1/C82*(C89+1)*1000</f>
        <v>43.859649122807014</v>
      </c>
      <c r="J89" s="59">
        <v>38</v>
      </c>
      <c r="K89" s="59">
        <v>95</v>
      </c>
      <c r="M89" s="455" t="s">
        <v>1375</v>
      </c>
      <c r="N89" s="456"/>
      <c r="O89" s="57">
        <v>4</v>
      </c>
      <c r="P89" s="50" t="s">
        <v>47</v>
      </c>
      <c r="Q89" s="24" t="str">
        <f>IF(V89&lt;=U89-5,IF(U89+5&lt;=W89,"OK","NG"),"NG")</f>
        <v>OK</v>
      </c>
      <c r="R89" s="459"/>
      <c r="S89" s="460"/>
      <c r="T89" s="461"/>
      <c r="U89" s="187">
        <f>IF(O58="Same as TX0",I89,1/O82*(O89+1)*1000)</f>
        <v>43.859649122807014</v>
      </c>
      <c r="V89" s="59">
        <v>38</v>
      </c>
      <c r="W89" s="59">
        <v>95</v>
      </c>
    </row>
    <row r="90" spans="2:23" ht="15">
      <c r="B90" s="60" t="s">
        <v>1349</v>
      </c>
      <c r="C90" s="54"/>
      <c r="D90" s="54"/>
      <c r="E90" s="33"/>
      <c r="F90" s="471" t="s">
        <v>49</v>
      </c>
      <c r="G90" s="472"/>
      <c r="H90" s="473"/>
      <c r="I90" s="66" t="s">
        <v>18</v>
      </c>
      <c r="J90" s="66" t="s">
        <v>19</v>
      </c>
      <c r="K90" s="66" t="s">
        <v>20</v>
      </c>
      <c r="M90" s="453" t="s">
        <v>1348</v>
      </c>
      <c r="N90" s="454"/>
      <c r="O90" s="54"/>
      <c r="P90" s="54"/>
      <c r="Q90" s="33"/>
      <c r="R90" s="471" t="s">
        <v>49</v>
      </c>
      <c r="S90" s="472"/>
      <c r="T90" s="473"/>
      <c r="U90" s="66" t="s">
        <v>18</v>
      </c>
      <c r="V90" s="66" t="s">
        <v>19</v>
      </c>
      <c r="W90" s="66" t="s">
        <v>20</v>
      </c>
    </row>
    <row r="91" spans="2:23" ht="15" customHeight="1">
      <c r="B91" s="61" t="s">
        <v>1351</v>
      </c>
      <c r="C91" s="57">
        <v>36</v>
      </c>
      <c r="D91" s="50" t="s">
        <v>50</v>
      </c>
      <c r="E91" s="34" t="str">
        <f>IF(J91&lt;=I91-5,"OK","NG")</f>
        <v>OK</v>
      </c>
      <c r="F91" s="459" t="s">
        <v>51</v>
      </c>
      <c r="G91" s="460"/>
      <c r="H91" s="461"/>
      <c r="I91" s="187">
        <f>1/C82*C91*1000</f>
        <v>315.78947368421052</v>
      </c>
      <c r="J91" s="59">
        <v>300</v>
      </c>
      <c r="K91" s="59"/>
      <c r="M91" s="455" t="s">
        <v>1376</v>
      </c>
      <c r="N91" s="456"/>
      <c r="O91" s="57">
        <v>36</v>
      </c>
      <c r="P91" s="50" t="s">
        <v>50</v>
      </c>
      <c r="Q91" s="34" t="str">
        <f>IF(V91&lt;=U91-5,"OK","NG")</f>
        <v>OK</v>
      </c>
      <c r="R91" s="459" t="s">
        <v>51</v>
      </c>
      <c r="S91" s="460"/>
      <c r="T91" s="461"/>
      <c r="U91" s="187">
        <f>IF(O58="Same as TX0",I91,1/O82*O91*1000)</f>
        <v>315.78947368421052</v>
      </c>
      <c r="V91" s="59">
        <v>300</v>
      </c>
      <c r="W91" s="59"/>
    </row>
    <row r="92" spans="2:23" ht="15">
      <c r="B92" s="60" t="s">
        <v>1349</v>
      </c>
      <c r="C92" s="54"/>
      <c r="D92" s="54"/>
      <c r="E92" s="31"/>
      <c r="F92" s="471" t="s">
        <v>1344</v>
      </c>
      <c r="G92" s="472"/>
      <c r="H92" s="473"/>
      <c r="I92" s="66" t="s">
        <v>18</v>
      </c>
      <c r="J92" s="66" t="s">
        <v>19</v>
      </c>
      <c r="K92" s="66" t="s">
        <v>20</v>
      </c>
      <c r="M92" s="453" t="s">
        <v>1348</v>
      </c>
      <c r="N92" s="454"/>
      <c r="O92" s="54"/>
      <c r="P92" s="54"/>
      <c r="Q92" s="31"/>
      <c r="R92" s="471" t="s">
        <v>1344</v>
      </c>
      <c r="S92" s="472"/>
      <c r="T92" s="473"/>
      <c r="U92" s="66" t="s">
        <v>18</v>
      </c>
      <c r="V92" s="66" t="s">
        <v>19</v>
      </c>
      <c r="W92" s="66" t="s">
        <v>20</v>
      </c>
    </row>
    <row r="93" spans="2:23" ht="15" customHeight="1">
      <c r="B93" s="61" t="s">
        <v>1352</v>
      </c>
      <c r="C93" s="57">
        <v>2</v>
      </c>
      <c r="D93" s="50" t="s">
        <v>1353</v>
      </c>
      <c r="E93" s="24" t="str">
        <f>IF(C80="Enable","Don't care",IF(I93-5&gt;J93,"OK","NG"))</f>
        <v>Don't care</v>
      </c>
      <c r="F93" s="459"/>
      <c r="G93" s="460"/>
      <c r="H93" s="461"/>
      <c r="I93" s="187">
        <f>1/C82*C93*1000</f>
        <v>17.543859649122805</v>
      </c>
      <c r="J93" s="187">
        <f>1/C77*1000*8</f>
        <v>8.7719298245614024</v>
      </c>
      <c r="K93" s="313"/>
      <c r="M93" s="455" t="s">
        <v>1377</v>
      </c>
      <c r="N93" s="456"/>
      <c r="O93" s="57">
        <v>3</v>
      </c>
      <c r="P93" s="50" t="s">
        <v>1353</v>
      </c>
      <c r="Q93" s="24" t="str">
        <f>IF(P80="Enable","Don't care",IF(V93&lt;=U93-5,"OK","NG"))</f>
        <v>Don't care</v>
      </c>
      <c r="R93" s="459"/>
      <c r="S93" s="460"/>
      <c r="T93" s="461"/>
      <c r="U93" s="187">
        <f>IF(O58="Same as TX0",I93,1/O82*O93*1000)</f>
        <v>17.543859649122805</v>
      </c>
      <c r="V93" s="187">
        <f>1/O77*1000*8</f>
        <v>8.7719298245614024</v>
      </c>
      <c r="W93" s="313"/>
    </row>
    <row r="94" spans="2:23" ht="15">
      <c r="B94" s="60" t="s">
        <v>52</v>
      </c>
      <c r="C94" s="54"/>
      <c r="D94" s="54"/>
      <c r="E94" s="31"/>
      <c r="F94" s="471" t="s">
        <v>53</v>
      </c>
      <c r="G94" s="472"/>
      <c r="H94" s="473"/>
      <c r="I94" s="66" t="s">
        <v>18</v>
      </c>
      <c r="J94" s="66" t="s">
        <v>19</v>
      </c>
      <c r="K94" s="66" t="s">
        <v>20</v>
      </c>
      <c r="M94" s="453" t="s">
        <v>1367</v>
      </c>
      <c r="N94" s="454"/>
      <c r="O94" s="54"/>
      <c r="P94" s="54"/>
      <c r="Q94" s="31"/>
      <c r="R94" s="471" t="s">
        <v>53</v>
      </c>
      <c r="S94" s="472"/>
      <c r="T94" s="473"/>
      <c r="U94" s="66" t="s">
        <v>18</v>
      </c>
      <c r="V94" s="66" t="s">
        <v>19</v>
      </c>
      <c r="W94" s="66" t="s">
        <v>20</v>
      </c>
    </row>
    <row r="95" spans="2:23" ht="15" customHeight="1">
      <c r="B95" s="61" t="s">
        <v>1354</v>
      </c>
      <c r="C95" s="57">
        <v>8</v>
      </c>
      <c r="D95" s="50" t="s">
        <v>50</v>
      </c>
      <c r="E95" s="24" t="str">
        <f>IF(C80="Enable","Don't care",IF(J95&lt;=I95-5,IF(I95+5&lt;=K95,"OK","NG"),"NG"))</f>
        <v>Don't care</v>
      </c>
      <c r="F95" s="459"/>
      <c r="G95" s="460"/>
      <c r="H95" s="461"/>
      <c r="I95" s="187">
        <f>1/C82*C95*1000</f>
        <v>70.175438596491219</v>
      </c>
      <c r="J95" s="59">
        <v>60</v>
      </c>
      <c r="K95" s="187">
        <f>105+1/C77*1000*12</f>
        <v>118.15789473684211</v>
      </c>
      <c r="M95" s="455" t="s">
        <v>1378</v>
      </c>
      <c r="N95" s="456"/>
      <c r="O95" s="57">
        <v>10</v>
      </c>
      <c r="P95" s="50" t="s">
        <v>50</v>
      </c>
      <c r="Q95" s="24" t="str">
        <f>IF(P80="Enable","Don't care",IF(V95&lt;=U95-5,IF(U95+5&lt;=W95,"OK","NG"),"NG"))</f>
        <v>Don't care</v>
      </c>
      <c r="R95" s="459"/>
      <c r="S95" s="460"/>
      <c r="T95" s="461"/>
      <c r="U95" s="187">
        <f>IF(O58="Same as TX0",I95,1/O82*O95*1000)</f>
        <v>70.175438596491219</v>
      </c>
      <c r="V95" s="59">
        <v>60</v>
      </c>
      <c r="W95" s="187">
        <f>IF(O58="Same as TX0",K95,105+1/O77*1000*12-30)</f>
        <v>118.15789473684211</v>
      </c>
    </row>
    <row r="96" spans="2:23" ht="15">
      <c r="B96" s="60" t="s">
        <v>52</v>
      </c>
      <c r="C96" s="54"/>
      <c r="D96" s="54"/>
      <c r="E96" s="31"/>
      <c r="F96" s="471" t="s">
        <v>1345</v>
      </c>
      <c r="G96" s="472"/>
      <c r="H96" s="473"/>
      <c r="I96" s="66" t="s">
        <v>18</v>
      </c>
      <c r="J96" s="66" t="s">
        <v>19</v>
      </c>
      <c r="K96" s="66" t="s">
        <v>20</v>
      </c>
      <c r="M96" s="453" t="s">
        <v>1367</v>
      </c>
      <c r="N96" s="454"/>
      <c r="O96" s="54"/>
      <c r="P96" s="54"/>
      <c r="Q96" s="31"/>
      <c r="R96" s="471" t="s">
        <v>1345</v>
      </c>
      <c r="S96" s="472"/>
      <c r="T96" s="473"/>
      <c r="U96" s="66" t="s">
        <v>18</v>
      </c>
      <c r="V96" s="66" t="s">
        <v>19</v>
      </c>
      <c r="W96" s="66" t="s">
        <v>20</v>
      </c>
    </row>
    <row r="97" spans="2:23" ht="15" customHeight="1">
      <c r="B97" s="61" t="s">
        <v>1355</v>
      </c>
      <c r="C97" s="57">
        <v>13</v>
      </c>
      <c r="D97" s="50" t="s">
        <v>50</v>
      </c>
      <c r="E97" s="24" t="str">
        <f>IF(C80="Enable","Don't care",IF(J97&lt;=I97-5,"OK","NG"))</f>
        <v>Don't care</v>
      </c>
      <c r="F97" s="459"/>
      <c r="G97" s="460"/>
      <c r="H97" s="461"/>
      <c r="I97" s="187">
        <f>1/C82*C97*1000</f>
        <v>114.03508771929823</v>
      </c>
      <c r="J97" s="59">
        <v>100</v>
      </c>
      <c r="K97" s="313"/>
      <c r="M97" s="455" t="s">
        <v>1379</v>
      </c>
      <c r="N97" s="456"/>
      <c r="O97" s="57">
        <v>20</v>
      </c>
      <c r="P97" s="50" t="s">
        <v>50</v>
      </c>
      <c r="Q97" s="24" t="str">
        <f>IF(P80="Enable","Don't care",IF(V97&lt;=U97-5,"OK","NG"))</f>
        <v>Don't care</v>
      </c>
      <c r="R97" s="459"/>
      <c r="S97" s="460"/>
      <c r="T97" s="461"/>
      <c r="U97" s="187">
        <f>IF(O58="Same as TX0",I97,1/O82*O97*1000)</f>
        <v>114.03508771929823</v>
      </c>
      <c r="V97" s="59">
        <v>100</v>
      </c>
      <c r="W97" s="313"/>
    </row>
    <row r="98" spans="2:23" ht="15">
      <c r="B98" s="60" t="s">
        <v>1357</v>
      </c>
      <c r="C98" s="54"/>
      <c r="D98" s="54"/>
      <c r="E98" s="31"/>
      <c r="F98" s="471" t="s">
        <v>54</v>
      </c>
      <c r="G98" s="472"/>
      <c r="H98" s="473"/>
      <c r="I98" s="66" t="s">
        <v>18</v>
      </c>
      <c r="J98" s="66" t="s">
        <v>19</v>
      </c>
      <c r="K98" s="66" t="s">
        <v>20</v>
      </c>
      <c r="M98" s="453" t="s">
        <v>1356</v>
      </c>
      <c r="N98" s="454"/>
      <c r="O98" s="54"/>
      <c r="P98" s="54"/>
      <c r="Q98" s="31"/>
      <c r="R98" s="471" t="s">
        <v>54</v>
      </c>
      <c r="S98" s="472"/>
      <c r="T98" s="473"/>
      <c r="U98" s="66" t="s">
        <v>18</v>
      </c>
      <c r="V98" s="66" t="s">
        <v>19</v>
      </c>
      <c r="W98" s="66" t="s">
        <v>20</v>
      </c>
    </row>
    <row r="99" spans="2:23" ht="15" customHeight="1">
      <c r="B99" s="61" t="s">
        <v>1358</v>
      </c>
      <c r="C99" s="57">
        <v>6</v>
      </c>
      <c r="D99" s="50" t="s">
        <v>47</v>
      </c>
      <c r="E99" s="24" t="str">
        <f>IF(J99&lt;=I99-5,IF(I99+5&lt;=K99,"OK","NG"),"NG")</f>
        <v>OK</v>
      </c>
      <c r="F99" s="459"/>
      <c r="G99" s="460"/>
      <c r="H99" s="461"/>
      <c r="I99" s="187">
        <f>1/C82*C99*1000</f>
        <v>52.631578947368418</v>
      </c>
      <c r="J99" s="187">
        <f>40+1/C77*1000*4</f>
        <v>44.385964912280699</v>
      </c>
      <c r="K99" s="187">
        <f>85+1/C77*1000*6</f>
        <v>91.578947368421055</v>
      </c>
      <c r="M99" s="455" t="s">
        <v>1380</v>
      </c>
      <c r="N99" s="456"/>
      <c r="O99" s="57">
        <v>6</v>
      </c>
      <c r="P99" s="50" t="s">
        <v>47</v>
      </c>
      <c r="Q99" s="24" t="str">
        <f>IF(V99&lt;=U99-5,IF(U99+5&lt;=W99,"OK","NG"),"NG")</f>
        <v>OK</v>
      </c>
      <c r="R99" s="459"/>
      <c r="S99" s="460"/>
      <c r="T99" s="461"/>
      <c r="U99" s="187">
        <f>IF(O58="Same as TX0",I99,1/O82*O99*1000)</f>
        <v>52.631578947368418</v>
      </c>
      <c r="V99" s="187">
        <f>IF(O58="Same as TX0",J99,40+1/O77*1000*4)</f>
        <v>44.385964912280699</v>
      </c>
      <c r="W99" s="187">
        <f>IF(O58="Same as TX0",K99,85+1/O77*1000*6)</f>
        <v>91.578947368421055</v>
      </c>
    </row>
    <row r="100" spans="2:23" ht="15">
      <c r="B100" s="60" t="s">
        <v>1357</v>
      </c>
      <c r="C100" s="54"/>
      <c r="D100" s="54"/>
      <c r="E100" s="33"/>
      <c r="F100" s="471" t="s">
        <v>55</v>
      </c>
      <c r="G100" s="472"/>
      <c r="H100" s="473"/>
      <c r="I100" s="66" t="s">
        <v>18</v>
      </c>
      <c r="J100" s="66" t="s">
        <v>19</v>
      </c>
      <c r="K100" s="66" t="s">
        <v>20</v>
      </c>
      <c r="M100" s="453" t="s">
        <v>1356</v>
      </c>
      <c r="N100" s="454"/>
      <c r="O100" s="54"/>
      <c r="P100" s="54"/>
      <c r="Q100" s="33"/>
      <c r="R100" s="471" t="s">
        <v>55</v>
      </c>
      <c r="S100" s="472"/>
      <c r="T100" s="473"/>
      <c r="U100" s="66" t="s">
        <v>18</v>
      </c>
      <c r="V100" s="66" t="s">
        <v>19</v>
      </c>
      <c r="W100" s="66" t="s">
        <v>20</v>
      </c>
    </row>
    <row r="101" spans="2:23" ht="15" customHeight="1">
      <c r="B101" s="61" t="s">
        <v>1359</v>
      </c>
      <c r="C101" s="57">
        <v>20</v>
      </c>
      <c r="D101" s="50" t="s">
        <v>47</v>
      </c>
      <c r="E101" s="34" t="str">
        <f>IF(J101&lt;=I101-5,"OK","NG")</f>
        <v>OK</v>
      </c>
      <c r="F101" s="459" t="s">
        <v>56</v>
      </c>
      <c r="G101" s="460"/>
      <c r="H101" s="461"/>
      <c r="I101" s="187">
        <f>1/C82*C101*1000</f>
        <v>175.43859649122805</v>
      </c>
      <c r="J101" s="187">
        <f>145+1/C77*1000*10</f>
        <v>155.96491228070175</v>
      </c>
      <c r="K101" s="59"/>
      <c r="M101" s="455" t="s">
        <v>1381</v>
      </c>
      <c r="N101" s="456"/>
      <c r="O101" s="57">
        <v>20</v>
      </c>
      <c r="P101" s="50" t="s">
        <v>47</v>
      </c>
      <c r="Q101" s="34" t="str">
        <f>IF(V101&lt;=U101-5,"OK","NG")</f>
        <v>OK</v>
      </c>
      <c r="R101" s="459" t="s">
        <v>56</v>
      </c>
      <c r="S101" s="460"/>
      <c r="T101" s="461"/>
      <c r="U101" s="187">
        <f>IF(O58="Same as TX0",I101,1/O82*O101*1000)</f>
        <v>175.43859649122805</v>
      </c>
      <c r="V101" s="187">
        <f>IF(O58="Same as TX0",J101,145+1/O77*1000*10)</f>
        <v>155.96491228070175</v>
      </c>
      <c r="W101" s="59"/>
    </row>
    <row r="102" spans="2:23" ht="15">
      <c r="B102" s="60" t="s">
        <v>57</v>
      </c>
      <c r="C102" s="54"/>
      <c r="D102" s="54"/>
      <c r="E102" s="31"/>
      <c r="F102" s="471" t="s">
        <v>58</v>
      </c>
      <c r="G102" s="472"/>
      <c r="H102" s="473"/>
      <c r="I102" s="66" t="s">
        <v>18</v>
      </c>
      <c r="J102" s="66" t="s">
        <v>19</v>
      </c>
      <c r="K102" s="66" t="s">
        <v>20</v>
      </c>
      <c r="M102" s="453" t="s">
        <v>1368</v>
      </c>
      <c r="N102" s="454"/>
      <c r="O102" s="54"/>
      <c r="P102" s="54"/>
      <c r="Q102" s="31"/>
      <c r="R102" s="471" t="s">
        <v>58</v>
      </c>
      <c r="S102" s="472"/>
      <c r="T102" s="473"/>
      <c r="U102" s="66" t="s">
        <v>18</v>
      </c>
      <c r="V102" s="66" t="s">
        <v>19</v>
      </c>
      <c r="W102" s="66" t="s">
        <v>20</v>
      </c>
    </row>
    <row r="103" spans="2:23" ht="15" customHeight="1">
      <c r="B103" s="61" t="s">
        <v>1360</v>
      </c>
      <c r="C103" s="57">
        <v>17000</v>
      </c>
      <c r="D103" s="58" t="s">
        <v>42</v>
      </c>
      <c r="E103" s="24" t="str">
        <f>IF(J103&lt;=I103,"OK","NG")</f>
        <v>OK</v>
      </c>
      <c r="F103" s="459"/>
      <c r="G103" s="460"/>
      <c r="H103" s="461"/>
      <c r="I103" s="187">
        <f>I87*C103/10^6</f>
        <v>1.0438596491228069</v>
      </c>
      <c r="J103" s="59">
        <v>1</v>
      </c>
      <c r="K103" s="59"/>
      <c r="M103" s="455" t="s">
        <v>1382</v>
      </c>
      <c r="N103" s="456"/>
      <c r="O103" s="57">
        <v>20000</v>
      </c>
      <c r="P103" s="58" t="s">
        <v>42</v>
      </c>
      <c r="Q103" s="24" t="str">
        <f>IF(V103&lt;=U103,"OK","NG")</f>
        <v>OK</v>
      </c>
      <c r="R103" s="459"/>
      <c r="S103" s="460"/>
      <c r="T103" s="461"/>
      <c r="U103" s="187">
        <f>IF(O58="Same as TX0",I103,U87*O103/10^6)</f>
        <v>1.0438596491228069</v>
      </c>
      <c r="V103" s="59">
        <v>1</v>
      </c>
      <c r="W103" s="59"/>
    </row>
    <row r="104" spans="2:23" ht="15">
      <c r="B104" s="60" t="s">
        <v>59</v>
      </c>
      <c r="C104" s="54"/>
      <c r="D104" s="54"/>
      <c r="E104" s="31"/>
      <c r="F104" s="471" t="s">
        <v>61</v>
      </c>
      <c r="G104" s="472"/>
      <c r="H104" s="473"/>
      <c r="I104" s="66" t="s">
        <v>18</v>
      </c>
      <c r="J104" s="66" t="s">
        <v>19</v>
      </c>
      <c r="K104" s="66" t="s">
        <v>20</v>
      </c>
      <c r="M104" s="453" t="s">
        <v>1369</v>
      </c>
      <c r="N104" s="454"/>
      <c r="O104" s="54"/>
      <c r="P104" s="54"/>
      <c r="Q104" s="31"/>
      <c r="R104" s="471" t="s">
        <v>61</v>
      </c>
      <c r="S104" s="472"/>
      <c r="T104" s="473"/>
      <c r="U104" s="66" t="s">
        <v>18</v>
      </c>
      <c r="V104" s="66" t="s">
        <v>19</v>
      </c>
      <c r="W104" s="66" t="s">
        <v>20</v>
      </c>
    </row>
    <row r="105" spans="2:23" ht="15" customHeight="1">
      <c r="B105" s="61" t="s">
        <v>1361</v>
      </c>
      <c r="C105" s="57">
        <v>15</v>
      </c>
      <c r="D105" s="50" t="s">
        <v>60</v>
      </c>
      <c r="E105" s="24" t="str">
        <f>IF(C80="Enable","Don't care",IF(J105&lt;=I105-5,"OK","NG"))</f>
        <v>Don't care</v>
      </c>
      <c r="F105" s="459"/>
      <c r="G105" s="460"/>
      <c r="H105" s="461"/>
      <c r="I105" s="187">
        <f>1/C82*C105*1000</f>
        <v>131.57894736842104</v>
      </c>
      <c r="J105" s="187">
        <f>60+1/C77*1000*52</f>
        <v>117.01754385964912</v>
      </c>
      <c r="K105" s="59"/>
      <c r="M105" s="455" t="s">
        <v>1383</v>
      </c>
      <c r="N105" s="456"/>
      <c r="O105" s="57">
        <v>14</v>
      </c>
      <c r="P105" s="50" t="s">
        <v>60</v>
      </c>
      <c r="Q105" s="24" t="str">
        <f>IF(P80="Enable","Don't care",IF(V105&lt;=U105-5,"OK","NG"))</f>
        <v>Don't care</v>
      </c>
      <c r="R105" s="459"/>
      <c r="S105" s="460"/>
      <c r="T105" s="461"/>
      <c r="U105" s="187">
        <f>IF(O58="Same as TX0",I105,1/O82*O105*1000)</f>
        <v>131.57894736842104</v>
      </c>
      <c r="V105" s="187">
        <f>IF(O58="Same as TX0",J105,60+1/O77*1000*52)</f>
        <v>117.01754385964912</v>
      </c>
      <c r="W105" s="59"/>
    </row>
    <row r="106" spans="2:23" ht="15">
      <c r="B106" s="60" t="s">
        <v>62</v>
      </c>
      <c r="C106" s="54"/>
      <c r="D106" s="54"/>
      <c r="E106" s="31"/>
      <c r="F106" s="471" t="s">
        <v>64</v>
      </c>
      <c r="G106" s="472"/>
      <c r="H106" s="473"/>
      <c r="I106" s="66" t="s">
        <v>18</v>
      </c>
      <c r="J106" s="66" t="s">
        <v>19</v>
      </c>
      <c r="K106" s="66" t="s">
        <v>20</v>
      </c>
      <c r="M106" s="453" t="s">
        <v>1370</v>
      </c>
      <c r="N106" s="454"/>
      <c r="O106" s="54"/>
      <c r="P106" s="54"/>
      <c r="Q106" s="31"/>
      <c r="R106" s="471" t="s">
        <v>64</v>
      </c>
      <c r="S106" s="472"/>
      <c r="T106" s="473"/>
      <c r="U106" s="66" t="s">
        <v>18</v>
      </c>
      <c r="V106" s="66" t="s">
        <v>19</v>
      </c>
      <c r="W106" s="66" t="s">
        <v>20</v>
      </c>
    </row>
    <row r="107" spans="2:23" ht="15" customHeight="1">
      <c r="B107" s="213" t="s">
        <v>1362</v>
      </c>
      <c r="C107" s="57">
        <v>8</v>
      </c>
      <c r="D107" s="50" t="s">
        <v>63</v>
      </c>
      <c r="E107" s="24" t="str">
        <f>IF(J107&lt;=I107-5,IF(I107+5&lt;=K107,"OK","NG"),"NG")</f>
        <v>OK</v>
      </c>
      <c r="F107" s="459"/>
      <c r="G107" s="460"/>
      <c r="H107" s="461"/>
      <c r="I107" s="187">
        <f>1/C82*C107*1000</f>
        <v>70.175438596491219</v>
      </c>
      <c r="J107" s="187">
        <f>MAX(1/C77*1000*8,60+1/C77*1000*4)</f>
        <v>64.385964912280699</v>
      </c>
      <c r="K107" s="187">
        <f>105+1/C77*1000*12-30</f>
        <v>88.15789473684211</v>
      </c>
      <c r="M107" s="455" t="s">
        <v>1384</v>
      </c>
      <c r="N107" s="456"/>
      <c r="O107" s="57">
        <v>8</v>
      </c>
      <c r="P107" s="50" t="s">
        <v>63</v>
      </c>
      <c r="Q107" s="24" t="str">
        <f>IF(V107&lt;=U107-5,IF(U107+5&lt;=W107,"OK","NG"),"NG")</f>
        <v>OK</v>
      </c>
      <c r="R107" s="459"/>
      <c r="S107" s="460"/>
      <c r="T107" s="461"/>
      <c r="U107" s="187">
        <f>IF(O58="Same as TX0",I107,1/O82*O107*1000)</f>
        <v>70.175438596491219</v>
      </c>
      <c r="V107" s="187">
        <f>IF(O58="Same as TX0",J107,MAX(1/O77*1000*8,60+1/O77*1000*4))</f>
        <v>64.385964912280699</v>
      </c>
      <c r="W107" s="187">
        <f>IF(O58="Same as TX0",K107,105+1/O77*1000*12-30)</f>
        <v>88.15789473684211</v>
      </c>
    </row>
    <row r="108" spans="2:23" ht="15">
      <c r="B108" s="60" t="s">
        <v>62</v>
      </c>
      <c r="C108" s="54"/>
      <c r="D108" s="54"/>
      <c r="E108" s="31"/>
      <c r="F108" s="471" t="s">
        <v>1364</v>
      </c>
      <c r="G108" s="472"/>
      <c r="H108" s="473"/>
      <c r="I108" s="66" t="s">
        <v>18</v>
      </c>
      <c r="J108" s="66" t="s">
        <v>19</v>
      </c>
      <c r="K108" s="66" t="s">
        <v>20</v>
      </c>
      <c r="M108" s="453" t="s">
        <v>1370</v>
      </c>
      <c r="N108" s="454"/>
      <c r="O108" s="54"/>
      <c r="P108" s="54"/>
      <c r="Q108" s="31"/>
      <c r="R108" s="471" t="s">
        <v>1364</v>
      </c>
      <c r="S108" s="472"/>
      <c r="T108" s="473"/>
      <c r="U108" s="66" t="s">
        <v>18</v>
      </c>
      <c r="V108" s="66" t="s">
        <v>19</v>
      </c>
      <c r="W108" s="66" t="s">
        <v>20</v>
      </c>
    </row>
    <row r="109" spans="2:23" ht="15" customHeight="1">
      <c r="B109" s="213" t="s">
        <v>1363</v>
      </c>
      <c r="C109" s="57">
        <v>13</v>
      </c>
      <c r="D109" s="50" t="s">
        <v>63</v>
      </c>
      <c r="E109" s="24" t="str">
        <f>IF(J109&lt;=I109-5,"OK","NG")</f>
        <v>OK</v>
      </c>
      <c r="F109" s="459"/>
      <c r="G109" s="460"/>
      <c r="H109" s="461"/>
      <c r="I109" s="187">
        <f>1/C82*C109*1000</f>
        <v>114.03508771929823</v>
      </c>
      <c r="J109" s="313">
        <v>100</v>
      </c>
      <c r="K109" s="313"/>
      <c r="M109" s="455" t="s">
        <v>1385</v>
      </c>
      <c r="N109" s="456"/>
      <c r="O109" s="57">
        <v>12</v>
      </c>
      <c r="P109" s="50" t="s">
        <v>63</v>
      </c>
      <c r="Q109" s="24" t="str">
        <f>IF(V109&lt;=U109-5,"OK","NG")</f>
        <v>OK</v>
      </c>
      <c r="R109" s="459"/>
      <c r="S109" s="460"/>
      <c r="T109" s="461"/>
      <c r="U109" s="187">
        <f>IF(O58="Same as TX0",I109,1/O82*O109*1000)</f>
        <v>114.03508771929823</v>
      </c>
      <c r="V109" s="313">
        <v>100</v>
      </c>
      <c r="W109" s="313"/>
    </row>
    <row r="110" spans="2:23" ht="14.25" customHeight="1">
      <c r="B110" s="214" t="s">
        <v>1372</v>
      </c>
      <c r="C110" s="54"/>
      <c r="D110" s="54"/>
      <c r="E110" s="54"/>
      <c r="F110" s="471" t="s">
        <v>777</v>
      </c>
      <c r="G110" s="472"/>
      <c r="H110" s="473"/>
      <c r="I110" s="187">
        <f>(C111+2)/C82*1000</f>
        <v>61.403508771929822</v>
      </c>
      <c r="J110" s="66" t="s">
        <v>19</v>
      </c>
      <c r="K110" s="66" t="s">
        <v>20</v>
      </c>
      <c r="M110" s="474" t="s">
        <v>1371</v>
      </c>
      <c r="N110" s="475"/>
      <c r="O110" s="54"/>
      <c r="P110" s="54"/>
      <c r="Q110" s="54"/>
      <c r="R110" s="471" t="s">
        <v>777</v>
      </c>
      <c r="S110" s="472"/>
      <c r="T110" s="473"/>
      <c r="U110" s="187">
        <f>IF(O58="Same as TX0",I110,(O111+2)/O82*1000)</f>
        <v>61.403508771929822</v>
      </c>
      <c r="V110" s="66" t="s">
        <v>19</v>
      </c>
      <c r="W110" s="66" t="s">
        <v>20</v>
      </c>
    </row>
    <row r="111" spans="2:23" ht="15" customHeight="1">
      <c r="B111" s="213" t="s">
        <v>1365</v>
      </c>
      <c r="C111" s="239">
        <v>5</v>
      </c>
      <c r="D111" s="50" t="s">
        <v>767</v>
      </c>
      <c r="E111" s="24" t="str">
        <f>IF(J111&lt;=I110,IF(I111&lt;=K111,"OK","NG"),"NG")</f>
        <v>OK</v>
      </c>
      <c r="F111" s="459"/>
      <c r="G111" s="460"/>
      <c r="H111" s="461"/>
      <c r="I111" s="187">
        <f>(C111+3)/C82*1000</f>
        <v>70.175438596491219</v>
      </c>
      <c r="J111" s="187">
        <f>I87</f>
        <v>61.403508771929822</v>
      </c>
      <c r="K111" s="187">
        <f>I87*2</f>
        <v>122.80701754385964</v>
      </c>
      <c r="M111" s="455" t="s">
        <v>1386</v>
      </c>
      <c r="N111" s="456"/>
      <c r="O111" s="239">
        <v>4</v>
      </c>
      <c r="P111" s="50" t="s">
        <v>60</v>
      </c>
      <c r="Q111" s="24" t="str">
        <f>IF(V111&lt;=U110,IF(U111&lt;=W111,"OK","NG"),"NG")</f>
        <v>OK</v>
      </c>
      <c r="R111" s="459"/>
      <c r="S111" s="460"/>
      <c r="T111" s="461"/>
      <c r="U111" s="187">
        <f>IF(O58="Same as TX0",I111,(O111+3)/O82*1000)</f>
        <v>70.175438596491219</v>
      </c>
      <c r="V111" s="187">
        <f>IF(O58="Same as TX0",J111,U87)</f>
        <v>61.403508771929822</v>
      </c>
      <c r="W111" s="187">
        <f>IF(O58="Same as TX0",K111,U87*2)</f>
        <v>122.80701754385964</v>
      </c>
    </row>
    <row r="112" spans="2:23" ht="14.25" customHeight="1">
      <c r="B112" s="214" t="s">
        <v>1372</v>
      </c>
      <c r="C112" s="75"/>
      <c r="D112" s="54"/>
      <c r="E112" s="54"/>
      <c r="F112" s="471" t="s">
        <v>778</v>
      </c>
      <c r="G112" s="472"/>
      <c r="H112" s="473"/>
      <c r="I112" s="66" t="s">
        <v>18</v>
      </c>
      <c r="J112" s="66" t="s">
        <v>19</v>
      </c>
      <c r="K112" s="66" t="s">
        <v>20</v>
      </c>
      <c r="M112" s="474" t="s">
        <v>1371</v>
      </c>
      <c r="N112" s="475"/>
      <c r="O112" s="75"/>
      <c r="P112" s="54"/>
      <c r="Q112" s="54"/>
      <c r="R112" s="471" t="s">
        <v>778</v>
      </c>
      <c r="S112" s="472"/>
      <c r="T112" s="473"/>
      <c r="U112" s="66" t="s">
        <v>18</v>
      </c>
      <c r="V112" s="66" t="s">
        <v>19</v>
      </c>
      <c r="W112" s="66" t="s">
        <v>20</v>
      </c>
    </row>
    <row r="113" spans="2:23" ht="15" customHeight="1">
      <c r="B113" s="213" t="s">
        <v>1366</v>
      </c>
      <c r="C113" s="366">
        <f>C87</f>
        <v>6</v>
      </c>
      <c r="D113" s="367" t="s">
        <v>767</v>
      </c>
      <c r="E113" s="368"/>
      <c r="F113" s="459"/>
      <c r="G113" s="460"/>
      <c r="H113" s="461"/>
      <c r="I113" s="187">
        <f>(C113+1)*4/C82*1000</f>
        <v>245.61403508771929</v>
      </c>
      <c r="J113" s="187">
        <f>I87*4</f>
        <v>245.61403508771929</v>
      </c>
      <c r="K113" s="187">
        <f>I87*4</f>
        <v>245.61403508771929</v>
      </c>
      <c r="M113" s="455" t="s">
        <v>1387</v>
      </c>
      <c r="N113" s="456"/>
      <c r="O113" s="217">
        <f>IF(O58="Same as TX0",C113,O87)</f>
        <v>6</v>
      </c>
      <c r="P113" s="50" t="s">
        <v>60</v>
      </c>
      <c r="Q113" s="24"/>
      <c r="R113" s="459"/>
      <c r="S113" s="460"/>
      <c r="T113" s="461"/>
      <c r="U113" s="187">
        <f>IF(O58="Same as TX0",I113,(O113+1)*4/O82*1000)</f>
        <v>245.61403508771929</v>
      </c>
      <c r="V113" s="187">
        <f>IF(O58="Same as TX0",J113,U87*4)</f>
        <v>245.61403508771929</v>
      </c>
      <c r="W113" s="187">
        <f>IF(O58="Same as TX0",K113,U87*4)</f>
        <v>245.61403508771929</v>
      </c>
    </row>
    <row r="114" spans="2:23">
      <c r="B114" s="365">
        <f>IF(C80="Disable",I107+I105+I95+I109+I87*2+I91+I93+I87+I101,I107+I109+I87*4+I101)</f>
        <v>605.26315789473676</v>
      </c>
      <c r="C114" s="53" t="s">
        <v>771</v>
      </c>
      <c r="D114" s="369"/>
      <c r="E114" s="371"/>
      <c r="M114" s="447">
        <f>IF(P80="Disable",U107+U105+U95+U109+U87*2+U91+U93+U87+U101,U107+U109+U87*4+U101)</f>
        <v>605.26315789473676</v>
      </c>
      <c r="N114" s="448"/>
      <c r="O114" s="53" t="s">
        <v>771</v>
      </c>
      <c r="P114" s="369"/>
      <c r="Q114" s="371"/>
    </row>
    <row r="115" spans="2:23" ht="15" customHeight="1">
      <c r="B115" s="365">
        <f>IF(C80="Disable",I107+I105+I95+I109+I87+I91+I93+I87+I101,I107+I109+I87+I101)</f>
        <v>421.05263157894734</v>
      </c>
      <c r="C115" s="361" t="s">
        <v>1508</v>
      </c>
      <c r="D115" s="370"/>
      <c r="E115" s="372"/>
      <c r="M115" s="447">
        <f>IF(P80="Disable",U107+U105+U95+U109+U87+U91+U93+U87+U101,U107+U109+U87+U101)</f>
        <v>421.05263157894734</v>
      </c>
      <c r="N115" s="448"/>
      <c r="O115" s="361" t="s">
        <v>1508</v>
      </c>
      <c r="P115" s="370"/>
      <c r="Q115" s="372"/>
    </row>
    <row r="117" spans="2:23" hidden="1">
      <c r="B117" s="83" t="s">
        <v>65</v>
      </c>
      <c r="C117" s="83" t="s">
        <v>66</v>
      </c>
      <c r="D117" s="385"/>
      <c r="E117" s="385"/>
      <c r="F117" s="385"/>
      <c r="G117" s="385"/>
      <c r="H117" s="385"/>
      <c r="I117" s="385"/>
      <c r="J117" s="385"/>
      <c r="K117" s="385"/>
      <c r="L117" s="385"/>
      <c r="M117" s="385"/>
      <c r="N117" s="385"/>
      <c r="O117" s="385"/>
      <c r="P117" s="385"/>
      <c r="Q117" s="385"/>
      <c r="R117" s="385"/>
      <c r="S117" s="385"/>
      <c r="T117" s="385"/>
      <c r="U117" s="385"/>
    </row>
    <row r="118" spans="2:23" hidden="1">
      <c r="B118" s="69" t="s">
        <v>780</v>
      </c>
      <c r="C118" s="84" t="str">
        <f>DEC2HEX(D118,4)</f>
        <v>0004</v>
      </c>
      <c r="D118" s="385">
        <f>E118*2^15+F118*2^14+G118*2^13+H118*2^12+I118*2^11+J118*2^10+K118*2^9+L118*2^8+M118*2^7+N118*2^6+O118*2^5+P118*2^4+Q118*2^3+R118*2^2+S118*2^1+T118*2^0</f>
        <v>4</v>
      </c>
      <c r="E118" s="385">
        <v>0</v>
      </c>
      <c r="F118" s="385">
        <v>0</v>
      </c>
      <c r="G118" s="385">
        <v>0</v>
      </c>
      <c r="H118" s="385">
        <v>0</v>
      </c>
      <c r="I118" s="385">
        <v>0</v>
      </c>
      <c r="J118" s="385">
        <v>0</v>
      </c>
      <c r="K118" s="385">
        <v>0</v>
      </c>
      <c r="L118" s="385">
        <v>0</v>
      </c>
      <c r="M118" s="385">
        <v>0</v>
      </c>
      <c r="N118" s="385">
        <v>0</v>
      </c>
      <c r="O118" s="385">
        <v>0</v>
      </c>
      <c r="P118" s="385">
        <v>0</v>
      </c>
      <c r="Q118" s="385">
        <v>0</v>
      </c>
      <c r="R118" s="385">
        <f>IF(O8="No",0,1)</f>
        <v>1</v>
      </c>
      <c r="S118" s="385">
        <v>0</v>
      </c>
      <c r="T118" s="385">
        <v>0</v>
      </c>
      <c r="U118" s="385"/>
    </row>
    <row r="119" spans="2:23" hidden="1">
      <c r="B119" s="69" t="s">
        <v>780</v>
      </c>
      <c r="C119" s="84" t="str">
        <f>DEC2HEX(D119,4)</f>
        <v>0C37</v>
      </c>
      <c r="D119" s="385">
        <f>E119*2^15+F119*2^14+G119*2^13+H119*2^12+I119*2^11+J119*2^10+K119*2^9+L119*2^8+M119*2^7+N119*2^6+O119*2^5+P119*2^4+Q119*2^3+R119*2^2+S119*2^1+T119*2^0</f>
        <v>3127</v>
      </c>
      <c r="E119" s="385">
        <v>0</v>
      </c>
      <c r="F119" s="385">
        <f>IF(M4="SLIMBus",1,0)</f>
        <v>0</v>
      </c>
      <c r="G119" s="385">
        <v>0</v>
      </c>
      <c r="H119" s="385">
        <f>IF(O6="Free Run",0,1)</f>
        <v>0</v>
      </c>
      <c r="I119" s="385">
        <v>0</v>
      </c>
      <c r="J119" s="385">
        <f>IF(O4=8,0,IF(O4=6,1,IF(O4=4,2,3)))</f>
        <v>3</v>
      </c>
      <c r="K119" s="385">
        <f>IF(N4="Auto",0,1)</f>
        <v>0</v>
      </c>
      <c r="L119" s="385">
        <f>IF(N6="No Delay",0,1)</f>
        <v>0</v>
      </c>
      <c r="M119" s="385">
        <v>0</v>
      </c>
      <c r="N119" s="385">
        <v>0</v>
      </c>
      <c r="O119" s="385">
        <f>IF(M4="Disable",0,1)</f>
        <v>1</v>
      </c>
      <c r="P119" s="385">
        <v>0</v>
      </c>
      <c r="Q119" s="385">
        <f>IF(M4="TDM",3,2)</f>
        <v>2</v>
      </c>
      <c r="R119" s="385">
        <f>IF(O8="No",0,1)</f>
        <v>1</v>
      </c>
      <c r="S119" s="385">
        <f>IF(H47&gt;0,1,0)</f>
        <v>1</v>
      </c>
      <c r="T119" s="385">
        <f>IF(F47&gt;0,1,0)</f>
        <v>1</v>
      </c>
      <c r="U119" s="385"/>
    </row>
    <row r="120" spans="2:23" hidden="1">
      <c r="B120" s="69" t="s">
        <v>1148</v>
      </c>
      <c r="C120" s="84" t="str">
        <f>DEC2HEX(D120,4)</f>
        <v>0008</v>
      </c>
      <c r="D120" s="385">
        <f>E120*2^15+F120*2^14+G120*2^13+H120*2^12+I120*2^11+J120*2^10+K120*2^9+L120*2^8+M120*2^7+N120*2^6+O120*2^5+P120*2^4+Q120*2^3+R120*2^2+S120*2^1+T120*2^0</f>
        <v>8</v>
      </c>
      <c r="E120" s="385">
        <v>0</v>
      </c>
      <c r="F120" s="385">
        <v>0</v>
      </c>
      <c r="G120" s="385">
        <v>0</v>
      </c>
      <c r="H120" s="385">
        <v>0</v>
      </c>
      <c r="I120" s="385">
        <v>0</v>
      </c>
      <c r="J120" s="385">
        <v>0</v>
      </c>
      <c r="K120" s="385">
        <v>0</v>
      </c>
      <c r="L120" s="385">
        <v>0</v>
      </c>
      <c r="M120" s="385">
        <v>0</v>
      </c>
      <c r="N120" s="385">
        <v>0</v>
      </c>
      <c r="O120" s="385">
        <v>0</v>
      </c>
      <c r="P120" s="385">
        <v>0</v>
      </c>
      <c r="Q120" s="385">
        <v>1</v>
      </c>
      <c r="R120" s="385">
        <f>IF(D47="Enable",1,0)</f>
        <v>0</v>
      </c>
      <c r="S120" s="385">
        <v>0</v>
      </c>
      <c r="T120" s="385">
        <f>IF(C45="pRGB666",2,IF(C45="lpRGB666",3,0))</f>
        <v>0</v>
      </c>
      <c r="U120" s="385"/>
    </row>
    <row r="121" spans="2:23" hidden="1">
      <c r="B121" s="69" t="s">
        <v>1148</v>
      </c>
      <c r="C121" s="84" t="str">
        <f>DEC2HEX(D121,4)</f>
        <v>0000</v>
      </c>
      <c r="D121" s="385">
        <f>E121*2^15+F121*2^14+G121*2^13+H121*2^12+I121*2^11+J121*2^10+K121*2^9+L121*2^8+M121*2^7+N121*2^6+O121*2^5+P121*2^4+Q121*2^3+R121*2^2+S121*2^1+T121*2^0</f>
        <v>0</v>
      </c>
      <c r="E121" s="385">
        <v>0</v>
      </c>
      <c r="F121" s="385">
        <v>0</v>
      </c>
      <c r="G121" s="385">
        <v>0</v>
      </c>
      <c r="H121" s="385">
        <v>0</v>
      </c>
      <c r="I121" s="385">
        <v>0</v>
      </c>
      <c r="J121" s="385">
        <v>0</v>
      </c>
      <c r="K121" s="385">
        <v>0</v>
      </c>
      <c r="L121" s="385">
        <v>0</v>
      </c>
      <c r="M121" s="385">
        <v>0</v>
      </c>
      <c r="N121" s="385">
        <v>0</v>
      </c>
      <c r="O121" s="385">
        <v>0</v>
      </c>
      <c r="P121" s="385">
        <v>0</v>
      </c>
      <c r="Q121" s="385">
        <v>0</v>
      </c>
      <c r="R121" s="385">
        <f>IF(D47="Enable",1,0)</f>
        <v>0</v>
      </c>
      <c r="S121" s="385">
        <v>0</v>
      </c>
      <c r="T121" s="385">
        <f>IF(C45="pRGB666",2,IF(C45="lpRGB666",3,0))</f>
        <v>0</v>
      </c>
      <c r="U121" s="385"/>
    </row>
    <row r="122" spans="2:23" hidden="1">
      <c r="B122" s="69" t="s">
        <v>736</v>
      </c>
      <c r="C122" s="84" t="str">
        <f>DEC2HEX(D122,4)</f>
        <v>1E00</v>
      </c>
      <c r="D122" s="385">
        <f>F20*B46/8</f>
        <v>7680</v>
      </c>
      <c r="E122" s="385"/>
      <c r="F122" s="385"/>
      <c r="G122" s="385"/>
      <c r="H122" s="385"/>
      <c r="I122" s="385"/>
      <c r="J122" s="385"/>
      <c r="K122" s="385"/>
      <c r="L122" s="385"/>
      <c r="M122" s="385"/>
      <c r="N122" s="385"/>
      <c r="O122" s="385"/>
      <c r="P122" s="385"/>
      <c r="Q122" s="385"/>
      <c r="R122" s="385"/>
      <c r="S122" s="385"/>
      <c r="T122" s="385"/>
      <c r="U122" s="385"/>
    </row>
    <row r="123" spans="2:23" hidden="1">
      <c r="B123"/>
      <c r="C123"/>
      <c r="D123" s="385"/>
      <c r="E123" s="385"/>
      <c r="F123" s="385"/>
      <c r="G123" s="385"/>
      <c r="H123" s="385"/>
      <c r="I123" s="385"/>
      <c r="J123" s="385"/>
      <c r="K123" s="385"/>
      <c r="L123" s="385"/>
      <c r="M123" s="385"/>
      <c r="N123" s="385"/>
      <c r="O123" s="385"/>
      <c r="P123" s="385"/>
      <c r="Q123" s="385"/>
      <c r="R123" s="385"/>
      <c r="S123" s="385"/>
      <c r="T123" s="385"/>
      <c r="U123" s="385"/>
    </row>
    <row r="124" spans="2:23" hidden="1">
      <c r="B124" s="69" t="s">
        <v>855</v>
      </c>
      <c r="C124" s="84" t="str">
        <f>DEC2HEX(D124,8)</f>
        <v>000090BD</v>
      </c>
      <c r="D124" s="385">
        <f>J76*2^12+I76*2^10+K76</f>
        <v>37053</v>
      </c>
      <c r="E124" s="385"/>
      <c r="F124" s="385"/>
      <c r="G124" s="385"/>
      <c r="H124" s="385"/>
      <c r="I124" s="385"/>
      <c r="J124" s="385"/>
      <c r="K124" s="385"/>
      <c r="L124" s="385"/>
      <c r="M124" s="385"/>
      <c r="N124" s="385"/>
      <c r="O124" s="385"/>
      <c r="P124" s="385"/>
      <c r="Q124" s="385"/>
      <c r="R124" s="385"/>
      <c r="S124" s="385"/>
      <c r="T124" s="385"/>
      <c r="U124" s="385"/>
    </row>
    <row r="125" spans="2:23" hidden="1">
      <c r="D125" s="385"/>
      <c r="E125" s="385"/>
      <c r="F125" s="385"/>
      <c r="G125" s="385"/>
      <c r="H125" s="385"/>
      <c r="I125" s="385"/>
      <c r="J125" s="385"/>
      <c r="K125" s="385"/>
      <c r="L125" s="385"/>
      <c r="M125" s="385"/>
      <c r="N125" s="385"/>
      <c r="O125" s="385"/>
      <c r="P125" s="385"/>
      <c r="Q125" s="385"/>
      <c r="R125" s="385"/>
      <c r="S125" s="385"/>
      <c r="T125" s="385"/>
      <c r="U125" s="385"/>
    </row>
    <row r="126" spans="2:23" hidden="1">
      <c r="B126" s="69" t="s">
        <v>951</v>
      </c>
      <c r="C126" s="84" t="str">
        <f>DEC2HEX(D126,8)</f>
        <v>00000006</v>
      </c>
      <c r="D126" s="385">
        <f>0*2^4+0*2^3+N23*2^2+N24*2^1+0*2^0</f>
        <v>6</v>
      </c>
      <c r="E126" s="385"/>
      <c r="F126" s="385"/>
      <c r="G126" s="385"/>
      <c r="H126" s="385"/>
      <c r="I126" s="385"/>
      <c r="J126" s="385"/>
      <c r="K126" s="385"/>
      <c r="L126" s="385"/>
      <c r="M126" s="385"/>
      <c r="N126" s="385"/>
      <c r="O126" s="385"/>
      <c r="P126" s="385"/>
      <c r="Q126" s="385"/>
      <c r="R126" s="385"/>
      <c r="S126" s="385"/>
      <c r="T126" s="385"/>
      <c r="U126" s="385"/>
    </row>
    <row r="127" spans="2:23" hidden="1">
      <c r="B127" s="69" t="s">
        <v>879</v>
      </c>
      <c r="C127" s="84" t="str">
        <f>DEC2HEX(D127,8)</f>
        <v>00000014</v>
      </c>
      <c r="D127" s="385">
        <f>1*2^4+E78</f>
        <v>20</v>
      </c>
      <c r="E127" s="385"/>
      <c r="F127" s="386"/>
      <c r="G127" s="385"/>
      <c r="H127" s="385"/>
      <c r="I127" s="385"/>
      <c r="J127" s="385"/>
      <c r="K127" s="385"/>
      <c r="L127" s="385"/>
      <c r="M127" s="385"/>
      <c r="N127" s="385"/>
      <c r="O127" s="385"/>
      <c r="P127" s="385"/>
      <c r="Q127" s="385"/>
      <c r="R127" s="385"/>
      <c r="S127" s="385"/>
      <c r="T127" s="385"/>
      <c r="U127" s="385"/>
    </row>
    <row r="128" spans="2:23" hidden="1">
      <c r="B128" s="69" t="s">
        <v>870</v>
      </c>
      <c r="C128" s="84" t="str">
        <f>DEC2HEX(D128,8)</f>
        <v>00001770</v>
      </c>
      <c r="D128" s="385">
        <f>C85</f>
        <v>6000</v>
      </c>
      <c r="E128" s="385"/>
      <c r="F128" s="386"/>
      <c r="G128" s="385"/>
      <c r="H128" s="385"/>
      <c r="I128" s="385"/>
      <c r="J128" s="385"/>
      <c r="K128" s="385"/>
      <c r="L128" s="385"/>
      <c r="M128" s="385"/>
      <c r="N128" s="385"/>
      <c r="O128" s="385"/>
      <c r="P128" s="385"/>
      <c r="Q128" s="385"/>
      <c r="R128" s="385"/>
      <c r="S128" s="385"/>
      <c r="T128" s="385"/>
      <c r="U128" s="385"/>
    </row>
    <row r="129" spans="2:21" hidden="1">
      <c r="B129"/>
      <c r="C129"/>
      <c r="D129" s="385"/>
      <c r="E129" s="385"/>
      <c r="F129" s="386"/>
      <c r="G129" s="385"/>
      <c r="H129" s="385"/>
      <c r="I129" s="385"/>
      <c r="J129" s="385"/>
      <c r="K129" s="385"/>
      <c r="L129" s="385"/>
      <c r="M129" s="385"/>
      <c r="N129" s="385"/>
      <c r="O129" s="385"/>
      <c r="P129" s="385"/>
      <c r="Q129" s="385"/>
      <c r="R129" s="385"/>
      <c r="S129" s="385"/>
      <c r="T129" s="385"/>
      <c r="U129" s="385"/>
    </row>
    <row r="130" spans="2:21" hidden="1">
      <c r="B130" s="69" t="s">
        <v>1566</v>
      </c>
      <c r="C130" s="84" t="str">
        <f>DEC2HEX(D130,8)</f>
        <v>00000478</v>
      </c>
      <c r="D130" s="385">
        <f>ROUND(((D20+E20+F20+IF(D45="SyncEvent",G20,G20+D20+E20)/2)*C82/C20),0)</f>
        <v>1144</v>
      </c>
      <c r="E130" s="385"/>
      <c r="F130" s="386"/>
      <c r="G130" s="385"/>
      <c r="H130" s="385"/>
      <c r="I130" s="385"/>
      <c r="J130" s="385"/>
      <c r="K130" s="385"/>
      <c r="L130" s="385"/>
      <c r="M130" s="385"/>
      <c r="N130" s="385"/>
      <c r="O130" s="385"/>
      <c r="P130" s="385"/>
      <c r="Q130" s="385"/>
      <c r="R130" s="385"/>
      <c r="S130" s="385"/>
      <c r="T130" s="385"/>
      <c r="U130" s="385"/>
    </row>
    <row r="131" spans="2:21" hidden="1">
      <c r="B131" s="69" t="s">
        <v>1567</v>
      </c>
      <c r="C131" s="84" t="str">
        <f>DEC2HEX(D131,8)</f>
        <v>00000477</v>
      </c>
      <c r="D131" s="385">
        <f>ROUND(((D20+E20+F20+20)*C82/C20),0)</f>
        <v>1143</v>
      </c>
      <c r="E131" s="385"/>
      <c r="F131" s="386"/>
      <c r="G131" s="385"/>
      <c r="H131" s="385"/>
      <c r="I131" s="385"/>
      <c r="J131" s="385"/>
      <c r="K131" s="385"/>
      <c r="L131" s="385"/>
      <c r="M131" s="385"/>
      <c r="N131" s="385"/>
      <c r="O131" s="385"/>
      <c r="P131" s="385"/>
      <c r="Q131" s="385"/>
      <c r="R131" s="385"/>
      <c r="S131" s="385"/>
      <c r="T131" s="385"/>
      <c r="U131" s="385"/>
    </row>
    <row r="132" spans="2:21" hidden="1">
      <c r="B132" s="69" t="s">
        <v>1342</v>
      </c>
      <c r="C132" s="84" t="str">
        <f>DEC2HEX(D132,8)</f>
        <v>00000081</v>
      </c>
      <c r="D132" s="385">
        <f>E132*2^15+F132*2^14+G132*2^13+H132*2^12+I132*2^11+J132*2^10+K132*2^9+L132*2^8+M132*2^7+N132*2^6+O132*2^5+P132*2^4+Q132*2^3+R132*2^2+S132*2^1+T132*2^0</f>
        <v>129</v>
      </c>
      <c r="E132" s="385">
        <v>0</v>
      </c>
      <c r="F132" s="386">
        <v>0</v>
      </c>
      <c r="G132" s="385">
        <v>0</v>
      </c>
      <c r="H132" s="385">
        <v>0</v>
      </c>
      <c r="I132" s="385">
        <v>0</v>
      </c>
      <c r="J132" s="385">
        <v>0</v>
      </c>
      <c r="K132" s="385">
        <v>0</v>
      </c>
      <c r="L132" s="385">
        <v>0</v>
      </c>
      <c r="M132" s="385">
        <f>IF(C60="LP",0,1)</f>
        <v>1</v>
      </c>
      <c r="N132" s="385">
        <v>0</v>
      </c>
      <c r="O132" s="385">
        <v>0</v>
      </c>
      <c r="P132" s="385">
        <v>0</v>
      </c>
      <c r="Q132" s="385">
        <v>0</v>
      </c>
      <c r="R132" s="385">
        <v>0</v>
      </c>
      <c r="S132" s="385">
        <v>0</v>
      </c>
      <c r="T132" s="385">
        <f>IF(D45="SyncEvent",1,0)</f>
        <v>1</v>
      </c>
      <c r="U132" s="385"/>
    </row>
    <row r="133" spans="2:21" hidden="1">
      <c r="B133" s="69" t="s">
        <v>856</v>
      </c>
      <c r="C133" s="84" t="str">
        <f>DEC2HEX(D133,8)</f>
        <v>00000001</v>
      </c>
      <c r="D133" s="385">
        <f>D62</f>
        <v>1</v>
      </c>
      <c r="E133" s="385"/>
      <c r="F133" s="385"/>
      <c r="G133" s="385"/>
      <c r="H133" s="385"/>
      <c r="I133" s="385"/>
      <c r="J133" s="385"/>
      <c r="K133" s="385"/>
      <c r="L133" s="385"/>
      <c r="M133" s="385"/>
      <c r="N133" s="385"/>
      <c r="O133" s="385"/>
      <c r="P133" s="385"/>
      <c r="Q133" s="385"/>
      <c r="R133" s="385"/>
      <c r="S133" s="385"/>
      <c r="T133" s="385"/>
      <c r="U133" s="385"/>
    </row>
    <row r="134" spans="2:21" hidden="1">
      <c r="B134" s="69" t="s">
        <v>857</v>
      </c>
      <c r="C134" s="84" t="str">
        <f>DEC2HEX(D134,8)</f>
        <v>00000104</v>
      </c>
      <c r="D134" s="385">
        <f>E62</f>
        <v>260</v>
      </c>
      <c r="E134" s="385"/>
      <c r="F134" s="385"/>
      <c r="G134" s="385"/>
      <c r="H134" s="385"/>
      <c r="I134" s="385"/>
      <c r="J134" s="385"/>
      <c r="K134" s="385"/>
      <c r="L134" s="385"/>
      <c r="M134" s="385"/>
      <c r="N134" s="385"/>
      <c r="O134" s="385"/>
      <c r="P134" s="385"/>
      <c r="Q134" s="385"/>
      <c r="R134" s="385"/>
      <c r="S134" s="385"/>
      <c r="T134" s="385"/>
      <c r="U134" s="385"/>
    </row>
    <row r="135" spans="2:21" hidden="1">
      <c r="B135" s="251"/>
      <c r="C135" s="252"/>
      <c r="D135" s="385"/>
      <c r="E135" s="385"/>
      <c r="F135" s="385"/>
      <c r="G135" s="385"/>
      <c r="H135" s="385"/>
      <c r="I135" s="385"/>
      <c r="J135" s="385"/>
      <c r="K135" s="385"/>
      <c r="L135" s="385"/>
      <c r="M135" s="385"/>
      <c r="N135" s="385"/>
      <c r="O135" s="385"/>
      <c r="P135" s="385"/>
      <c r="Q135" s="385"/>
      <c r="R135" s="385"/>
      <c r="S135" s="385"/>
      <c r="T135" s="385"/>
      <c r="U135" s="385"/>
    </row>
    <row r="136" spans="2:21" hidden="1">
      <c r="B136" s="69" t="s">
        <v>871</v>
      </c>
      <c r="C136" s="84" t="str">
        <f t="shared" ref="C136:C142" si="1">DEC2HEX(D136,8)</f>
        <v>00000006</v>
      </c>
      <c r="D136" s="385">
        <f>C87</f>
        <v>6</v>
      </c>
      <c r="E136" s="385"/>
      <c r="F136" s="385"/>
      <c r="G136" s="385"/>
      <c r="H136" s="385"/>
      <c r="I136" s="385"/>
      <c r="J136" s="385"/>
      <c r="K136" s="385"/>
      <c r="L136" s="385"/>
      <c r="M136" s="385"/>
      <c r="N136" s="385"/>
      <c r="O136" s="385"/>
      <c r="P136" s="385"/>
      <c r="Q136" s="385"/>
      <c r="R136" s="385"/>
      <c r="S136" s="385"/>
      <c r="T136" s="385"/>
      <c r="U136" s="385"/>
    </row>
    <row r="137" spans="2:21" hidden="1">
      <c r="B137" s="69" t="s">
        <v>872</v>
      </c>
      <c r="C137" s="84" t="str">
        <f t="shared" si="1"/>
        <v>00240204</v>
      </c>
      <c r="D137" s="385">
        <f>C91*2^16+C93*2^8+C89</f>
        <v>2359812</v>
      </c>
      <c r="E137" s="385"/>
      <c r="F137" s="385"/>
      <c r="G137" s="385"/>
      <c r="H137" s="385"/>
      <c r="I137" s="385"/>
      <c r="J137" s="385"/>
      <c r="K137" s="385"/>
      <c r="L137" s="385"/>
      <c r="M137" s="385"/>
      <c r="N137" s="385"/>
      <c r="O137" s="385"/>
      <c r="P137" s="385"/>
      <c r="Q137" s="385"/>
      <c r="R137" s="385"/>
      <c r="S137" s="385"/>
      <c r="T137" s="385"/>
      <c r="U137" s="385"/>
    </row>
    <row r="138" spans="2:21" hidden="1">
      <c r="B138" s="69" t="s">
        <v>873</v>
      </c>
      <c r="C138" s="84" t="str">
        <f t="shared" si="1"/>
        <v>000D0008</v>
      </c>
      <c r="D138" s="385">
        <f>C97*2^16+C95</f>
        <v>851976</v>
      </c>
      <c r="E138" s="385"/>
      <c r="F138" s="385"/>
      <c r="G138" s="385"/>
      <c r="H138" s="385"/>
      <c r="I138" s="385"/>
      <c r="J138" s="385"/>
      <c r="K138" s="385"/>
      <c r="L138" s="385"/>
      <c r="M138" s="385"/>
      <c r="N138" s="385"/>
      <c r="O138" s="385"/>
      <c r="P138" s="385"/>
      <c r="Q138" s="385"/>
      <c r="R138" s="385"/>
      <c r="S138" s="385"/>
      <c r="T138" s="385"/>
      <c r="U138" s="385"/>
    </row>
    <row r="139" spans="2:21" hidden="1">
      <c r="B139" s="69" t="s">
        <v>874</v>
      </c>
      <c r="C139" s="84" t="str">
        <f t="shared" si="1"/>
        <v>00140006</v>
      </c>
      <c r="D139" s="385">
        <f>C101*2^16+C99</f>
        <v>1310726</v>
      </c>
      <c r="E139" s="385"/>
      <c r="F139" s="385"/>
      <c r="G139" s="385"/>
      <c r="H139" s="385"/>
      <c r="I139" s="385"/>
      <c r="J139" s="385"/>
      <c r="K139" s="385"/>
      <c r="L139" s="385"/>
      <c r="M139" s="385"/>
      <c r="N139" s="385"/>
      <c r="O139" s="385"/>
      <c r="P139" s="385"/>
      <c r="Q139" s="385"/>
      <c r="R139" s="385"/>
      <c r="S139" s="385"/>
      <c r="T139" s="385"/>
      <c r="U139" s="385"/>
    </row>
    <row r="140" spans="2:21" hidden="1">
      <c r="B140" s="69" t="s">
        <v>875</v>
      </c>
      <c r="C140" s="84" t="str">
        <f t="shared" si="1"/>
        <v>00004268</v>
      </c>
      <c r="D140" s="385">
        <f>C103</f>
        <v>17000</v>
      </c>
      <c r="E140" s="385"/>
      <c r="F140" s="385"/>
      <c r="G140" s="385"/>
      <c r="H140" s="385"/>
      <c r="I140" s="385"/>
      <c r="J140" s="385"/>
      <c r="K140" s="385"/>
      <c r="L140" s="385"/>
      <c r="M140" s="385"/>
      <c r="N140" s="385"/>
      <c r="O140" s="385"/>
      <c r="P140" s="385"/>
      <c r="Q140" s="385"/>
      <c r="R140" s="385"/>
      <c r="S140" s="385"/>
      <c r="T140" s="385"/>
      <c r="U140" s="385"/>
    </row>
    <row r="141" spans="2:21" hidden="1">
      <c r="B141" s="69" t="s">
        <v>876</v>
      </c>
      <c r="C141" s="84" t="str">
        <f t="shared" si="1"/>
        <v>0000000F</v>
      </c>
      <c r="D141" s="385">
        <f>C105</f>
        <v>15</v>
      </c>
      <c r="E141" s="385"/>
      <c r="F141" s="385"/>
      <c r="G141" s="385"/>
      <c r="H141" s="385"/>
      <c r="I141" s="385"/>
      <c r="J141" s="385"/>
      <c r="K141" s="385"/>
      <c r="L141" s="385"/>
      <c r="M141" s="385"/>
      <c r="N141" s="385"/>
      <c r="O141" s="385"/>
      <c r="P141" s="385"/>
      <c r="Q141" s="385"/>
      <c r="R141" s="385"/>
      <c r="S141" s="385"/>
      <c r="T141" s="385"/>
      <c r="U141" s="385"/>
    </row>
    <row r="142" spans="2:21" hidden="1">
      <c r="B142" s="69" t="s">
        <v>877</v>
      </c>
      <c r="C142" s="84" t="str">
        <f t="shared" si="1"/>
        <v>000D0008</v>
      </c>
      <c r="D142" s="385">
        <f>C109*2^16+C107</f>
        <v>851976</v>
      </c>
      <c r="E142" s="385"/>
      <c r="F142" s="385"/>
      <c r="G142" s="385"/>
      <c r="H142" s="385"/>
      <c r="I142" s="385"/>
      <c r="J142" s="385"/>
      <c r="K142" s="385"/>
      <c r="L142" s="385"/>
      <c r="M142" s="385"/>
      <c r="N142" s="385"/>
      <c r="O142" s="385"/>
      <c r="P142" s="385"/>
      <c r="Q142" s="385"/>
      <c r="R142" s="385"/>
      <c r="S142" s="385"/>
      <c r="T142" s="385"/>
      <c r="U142" s="385"/>
    </row>
    <row r="143" spans="2:21" hidden="1">
      <c r="B143"/>
      <c r="C143"/>
      <c r="D143" s="385"/>
      <c r="E143" s="385"/>
      <c r="F143" s="385"/>
      <c r="G143" s="385"/>
      <c r="H143" s="385"/>
      <c r="I143" s="385"/>
      <c r="J143" s="385"/>
      <c r="K143" s="385"/>
      <c r="L143" s="385"/>
      <c r="M143" s="385"/>
      <c r="N143" s="385"/>
      <c r="O143" s="385"/>
      <c r="P143" s="385"/>
      <c r="Q143" s="385"/>
      <c r="R143" s="385"/>
      <c r="S143" s="385"/>
      <c r="T143" s="385"/>
      <c r="U143" s="385"/>
    </row>
    <row r="144" spans="2:21" hidden="1">
      <c r="B144" s="69" t="s">
        <v>1009</v>
      </c>
      <c r="C144" s="84" t="str">
        <f>DEC2HEX(D144,8)</f>
        <v>0000001F</v>
      </c>
      <c r="D144" s="385">
        <f>IF(C78=1,3,IF(C78=2,7,IF(C78=3,15,31)))</f>
        <v>31</v>
      </c>
      <c r="E144" s="385"/>
      <c r="F144" s="385"/>
      <c r="G144" s="385"/>
      <c r="H144" s="385"/>
      <c r="I144" s="385"/>
      <c r="J144" s="385"/>
      <c r="K144" s="385"/>
      <c r="L144" s="385"/>
      <c r="M144" s="385"/>
      <c r="N144" s="385"/>
      <c r="O144" s="385"/>
      <c r="P144" s="385"/>
      <c r="Q144" s="385"/>
      <c r="R144" s="385"/>
      <c r="S144" s="385"/>
      <c r="T144" s="385"/>
      <c r="U144" s="385"/>
    </row>
    <row r="145" spans="2:21" hidden="1">
      <c r="B145" s="69" t="s">
        <v>880</v>
      </c>
      <c r="C145" s="84" t="str">
        <f>DEC2HEX(D145,8)</f>
        <v>00060005</v>
      </c>
      <c r="D145" s="385">
        <f>C113*2^16+C111</f>
        <v>393221</v>
      </c>
      <c r="E145" s="385"/>
      <c r="F145" s="385"/>
      <c r="G145" s="385"/>
      <c r="H145" s="385"/>
      <c r="I145" s="385"/>
      <c r="J145" s="385"/>
      <c r="K145" s="385"/>
      <c r="L145" s="385"/>
      <c r="M145" s="385"/>
      <c r="N145" s="385"/>
      <c r="O145" s="385"/>
      <c r="P145" s="385"/>
      <c r="Q145" s="385"/>
      <c r="R145" s="385"/>
      <c r="S145" s="385"/>
      <c r="T145" s="385"/>
      <c r="U145" s="385"/>
    </row>
    <row r="146" spans="2:21" hidden="1">
      <c r="B146" s="251"/>
      <c r="C146" s="252"/>
      <c r="D146" s="385"/>
      <c r="E146" s="385"/>
      <c r="F146" s="385"/>
      <c r="G146" s="385"/>
      <c r="H146" s="385"/>
      <c r="I146" s="385"/>
      <c r="J146" s="385"/>
      <c r="K146" s="385"/>
      <c r="L146" s="385"/>
      <c r="M146" s="385"/>
      <c r="N146" s="385"/>
      <c r="O146" s="385"/>
      <c r="P146" s="385"/>
      <c r="Q146" s="385"/>
      <c r="R146" s="385"/>
      <c r="S146" s="385"/>
      <c r="T146" s="385"/>
      <c r="U146" s="385"/>
    </row>
    <row r="147" spans="2:21" hidden="1">
      <c r="D147" s="385"/>
      <c r="E147" s="385"/>
      <c r="F147" s="385"/>
      <c r="G147" s="385"/>
      <c r="H147" s="385"/>
      <c r="I147" s="385"/>
      <c r="J147" s="385"/>
      <c r="K147" s="385"/>
      <c r="L147" s="385"/>
      <c r="M147" s="385"/>
      <c r="N147" s="385"/>
      <c r="O147" s="385"/>
      <c r="P147" s="385"/>
      <c r="Q147" s="385"/>
      <c r="R147" s="385"/>
      <c r="S147" s="385"/>
      <c r="T147" s="385"/>
      <c r="U147" s="385"/>
    </row>
    <row r="148" spans="2:21" hidden="1">
      <c r="B148" s="69" t="s">
        <v>1070</v>
      </c>
      <c r="C148" s="84" t="str">
        <f>DEC2HEX(D148,8)</f>
        <v>000090BD</v>
      </c>
      <c r="D148" s="385">
        <f>V76*2^12+U76*2^10+W76</f>
        <v>37053</v>
      </c>
      <c r="E148" s="385"/>
      <c r="F148" s="385"/>
      <c r="G148" s="385"/>
      <c r="H148" s="385"/>
      <c r="I148" s="385"/>
      <c r="J148" s="385"/>
      <c r="K148" s="385"/>
      <c r="L148" s="385"/>
      <c r="M148" s="385"/>
      <c r="N148" s="385"/>
      <c r="O148" s="385"/>
      <c r="P148" s="385"/>
      <c r="Q148" s="385"/>
      <c r="R148" s="385"/>
      <c r="S148" s="385"/>
      <c r="T148" s="385"/>
      <c r="U148" s="385"/>
    </row>
    <row r="149" spans="2:21" hidden="1">
      <c r="B149"/>
      <c r="C149"/>
      <c r="D149" s="385"/>
      <c r="E149" s="385"/>
      <c r="F149" s="385"/>
      <c r="G149" s="385"/>
      <c r="H149" s="385"/>
      <c r="I149" s="385"/>
      <c r="J149" s="385"/>
      <c r="K149" s="385"/>
      <c r="L149" s="385"/>
      <c r="M149" s="385"/>
      <c r="N149" s="385"/>
      <c r="O149" s="385"/>
      <c r="P149" s="385"/>
      <c r="Q149" s="385"/>
      <c r="R149" s="385"/>
      <c r="S149" s="385"/>
      <c r="T149" s="385"/>
      <c r="U149" s="385"/>
    </row>
    <row r="150" spans="2:21" hidden="1">
      <c r="B150" s="69" t="s">
        <v>952</v>
      </c>
      <c r="C150" s="84" t="str">
        <f>DEC2HEX(D150,8)</f>
        <v>00000006</v>
      </c>
      <c r="D150" s="385">
        <f>0*2^4+0*2^3+N23*2^2+N24*2^1+0*2^0</f>
        <v>6</v>
      </c>
      <c r="E150" s="385"/>
      <c r="F150" s="385"/>
      <c r="G150" s="385"/>
      <c r="H150" s="385"/>
      <c r="I150" s="385"/>
      <c r="J150" s="385"/>
      <c r="K150" s="385"/>
      <c r="L150" s="385"/>
      <c r="M150" s="385"/>
      <c r="N150" s="385"/>
      <c r="O150" s="385"/>
      <c r="P150" s="385"/>
      <c r="Q150" s="385"/>
      <c r="R150" s="385"/>
      <c r="S150" s="385"/>
      <c r="T150" s="385"/>
      <c r="U150" s="385"/>
    </row>
    <row r="151" spans="2:21" hidden="1">
      <c r="B151" s="69" t="s">
        <v>878</v>
      </c>
      <c r="C151" s="84" t="str">
        <f>DEC2HEX(D151,8)</f>
        <v>00000014</v>
      </c>
      <c r="D151" s="385">
        <f>1*2^4+Q78</f>
        <v>20</v>
      </c>
      <c r="E151" s="385"/>
      <c r="F151" s="386"/>
      <c r="G151" s="385"/>
      <c r="H151" s="385"/>
      <c r="I151" s="385"/>
      <c r="J151" s="385"/>
      <c r="K151" s="385"/>
      <c r="L151" s="385"/>
      <c r="M151" s="385"/>
      <c r="N151" s="385"/>
      <c r="O151" s="385"/>
      <c r="P151" s="385"/>
      <c r="Q151" s="385"/>
      <c r="R151" s="385"/>
      <c r="S151" s="385"/>
      <c r="T151" s="385"/>
      <c r="U151" s="385"/>
    </row>
    <row r="152" spans="2:21" hidden="1">
      <c r="B152" s="69" t="s">
        <v>865</v>
      </c>
      <c r="C152" s="84" t="str">
        <f>DEC2HEX(D152,8)</f>
        <v>00001770</v>
      </c>
      <c r="D152" s="385">
        <f>IF(O58="Same as TX0",C85,O85)</f>
        <v>6000</v>
      </c>
      <c r="E152" s="385"/>
      <c r="F152" s="386"/>
      <c r="G152" s="385"/>
      <c r="H152" s="385"/>
      <c r="I152" s="385"/>
      <c r="J152" s="385"/>
      <c r="K152" s="385"/>
      <c r="L152" s="385"/>
      <c r="M152" s="385"/>
      <c r="N152" s="385"/>
      <c r="O152" s="385"/>
      <c r="P152" s="385"/>
      <c r="Q152" s="385"/>
      <c r="R152" s="385"/>
      <c r="S152" s="385"/>
      <c r="T152" s="385"/>
      <c r="U152" s="385"/>
    </row>
    <row r="153" spans="2:21" hidden="1">
      <c r="B153"/>
      <c r="C153"/>
      <c r="D153" s="385"/>
      <c r="E153" s="385"/>
      <c r="F153" s="386"/>
      <c r="G153" s="385"/>
      <c r="H153" s="385"/>
      <c r="I153" s="385"/>
      <c r="J153" s="385"/>
      <c r="K153" s="385"/>
      <c r="L153" s="385"/>
      <c r="M153" s="385"/>
      <c r="N153" s="385"/>
      <c r="O153" s="385"/>
      <c r="P153" s="385"/>
      <c r="Q153" s="385"/>
      <c r="R153" s="385"/>
      <c r="S153" s="385"/>
      <c r="T153" s="385"/>
      <c r="U153" s="385"/>
    </row>
    <row r="154" spans="2:21" hidden="1">
      <c r="B154" s="69" t="s">
        <v>1568</v>
      </c>
      <c r="C154" s="84" t="str">
        <f>DEC2HEX(D154,8)</f>
        <v>00000478</v>
      </c>
      <c r="D154" s="385">
        <f>ROUND(((D20+E20+F20+IF(D45="SyncEvent",G20,G20+D20+E20)/2)*C82/C20),0)</f>
        <v>1144</v>
      </c>
      <c r="E154" s="385"/>
      <c r="F154" s="386"/>
      <c r="G154" s="385"/>
      <c r="H154" s="385"/>
      <c r="I154" s="385"/>
      <c r="J154" s="385"/>
      <c r="K154" s="385"/>
      <c r="L154" s="385"/>
      <c r="M154" s="385"/>
      <c r="N154" s="385"/>
      <c r="O154" s="385"/>
      <c r="P154" s="385"/>
      <c r="Q154" s="385"/>
      <c r="R154" s="385"/>
      <c r="S154" s="385"/>
      <c r="T154" s="385"/>
      <c r="U154" s="385"/>
    </row>
    <row r="155" spans="2:21" hidden="1">
      <c r="B155" s="69" t="s">
        <v>1569</v>
      </c>
      <c r="C155" s="84" t="str">
        <f>DEC2HEX(D155,8)</f>
        <v>00000477</v>
      </c>
      <c r="D155" s="385">
        <f>ROUND(((D20+E20+F20+20)*C82/C20),0)</f>
        <v>1143</v>
      </c>
      <c r="E155" s="385"/>
      <c r="F155" s="386"/>
      <c r="G155" s="385"/>
      <c r="H155" s="385"/>
      <c r="I155" s="385"/>
      <c r="J155" s="385"/>
      <c r="K155" s="385"/>
      <c r="L155" s="385"/>
      <c r="M155" s="385"/>
      <c r="N155" s="385"/>
      <c r="O155" s="385"/>
      <c r="P155" s="385"/>
      <c r="Q155" s="385"/>
      <c r="R155" s="385"/>
      <c r="S155" s="385"/>
      <c r="T155" s="385"/>
      <c r="U155" s="385"/>
    </row>
    <row r="156" spans="2:21" hidden="1">
      <c r="B156" s="69" t="s">
        <v>1343</v>
      </c>
      <c r="C156" s="84" t="str">
        <f>DEC2HEX(D156,8)</f>
        <v>00000081</v>
      </c>
      <c r="D156" s="385">
        <f>E156*2^15+F156*2^14+G156*2^13+H156*2^12+I156*2^11+J156*2^10+K156*2^9+L156*2^8+M156*2^7+N156*2^6+O156*2^5+P156*2^4+Q156*2^3+R156*2^2+S156*2^1+T156*2^0</f>
        <v>129</v>
      </c>
      <c r="E156" s="385">
        <v>0</v>
      </c>
      <c r="F156" s="386">
        <v>0</v>
      </c>
      <c r="G156" s="385">
        <v>0</v>
      </c>
      <c r="H156" s="385">
        <v>0</v>
      </c>
      <c r="I156" s="385">
        <v>0</v>
      </c>
      <c r="J156" s="385">
        <v>0</v>
      </c>
      <c r="K156" s="385">
        <v>0</v>
      </c>
      <c r="L156" s="385">
        <v>0</v>
      </c>
      <c r="M156" s="385">
        <f>IF(O60="LP",0,1)</f>
        <v>1</v>
      </c>
      <c r="N156" s="385">
        <v>0</v>
      </c>
      <c r="O156" s="385">
        <v>0</v>
      </c>
      <c r="P156" s="385">
        <v>0</v>
      </c>
      <c r="Q156" s="385">
        <v>0</v>
      </c>
      <c r="R156" s="385">
        <v>0</v>
      </c>
      <c r="S156" s="385">
        <v>0</v>
      </c>
      <c r="T156" s="385">
        <f>IF(D45="SyncEvent",1,0)</f>
        <v>1</v>
      </c>
      <c r="U156" s="385"/>
    </row>
    <row r="157" spans="2:21" hidden="1">
      <c r="B157" s="69" t="s">
        <v>881</v>
      </c>
      <c r="C157" s="84" t="str">
        <f>DEC2HEX(D157,8)</f>
        <v>00000001</v>
      </c>
      <c r="D157" s="385">
        <f>P62</f>
        <v>1</v>
      </c>
      <c r="E157" s="385"/>
      <c r="F157" s="385"/>
      <c r="G157" s="385"/>
      <c r="H157" s="385"/>
      <c r="I157" s="385"/>
      <c r="J157" s="385"/>
      <c r="K157" s="385"/>
      <c r="L157" s="385"/>
      <c r="M157" s="385"/>
      <c r="N157" s="385"/>
      <c r="O157" s="385"/>
      <c r="P157" s="385"/>
      <c r="Q157" s="385"/>
      <c r="R157" s="385"/>
      <c r="S157" s="385"/>
      <c r="T157" s="385"/>
      <c r="U157" s="385"/>
    </row>
    <row r="158" spans="2:21" hidden="1">
      <c r="B158" s="69" t="s">
        <v>882</v>
      </c>
      <c r="C158" s="84" t="str">
        <f>DEC2HEX(D158,8)</f>
        <v>00000104</v>
      </c>
      <c r="D158" s="385">
        <f>Q62</f>
        <v>260</v>
      </c>
      <c r="E158" s="385"/>
      <c r="F158" s="385"/>
      <c r="G158" s="385"/>
      <c r="H158" s="385"/>
      <c r="I158" s="385"/>
      <c r="J158" s="385"/>
      <c r="K158" s="385"/>
      <c r="L158" s="385"/>
      <c r="M158" s="385"/>
      <c r="N158" s="385"/>
      <c r="O158" s="385"/>
      <c r="P158" s="385"/>
      <c r="Q158" s="385"/>
      <c r="R158" s="385"/>
      <c r="S158" s="385"/>
      <c r="T158" s="385"/>
      <c r="U158" s="385"/>
    </row>
    <row r="159" spans="2:21" hidden="1">
      <c r="D159" s="385"/>
      <c r="E159" s="385"/>
      <c r="F159" s="385"/>
      <c r="G159" s="385"/>
      <c r="H159" s="385"/>
      <c r="I159" s="385"/>
      <c r="J159" s="385"/>
      <c r="K159" s="385"/>
      <c r="L159" s="385"/>
      <c r="M159" s="385"/>
      <c r="N159" s="385"/>
      <c r="O159" s="385"/>
      <c r="P159" s="385"/>
      <c r="Q159" s="385"/>
      <c r="R159" s="385"/>
      <c r="S159" s="385"/>
      <c r="T159" s="385"/>
      <c r="U159" s="385"/>
    </row>
    <row r="160" spans="2:21" hidden="1">
      <c r="B160" s="69" t="s">
        <v>858</v>
      </c>
      <c r="C160" s="84" t="str">
        <f t="shared" ref="C160:C169" si="2">DEC2HEX(D160,8)</f>
        <v>00000006</v>
      </c>
      <c r="D160" s="385">
        <f>IF(O58="Same as TX0",C87,O87)</f>
        <v>6</v>
      </c>
      <c r="E160" s="385"/>
      <c r="F160" s="385"/>
      <c r="G160" s="385"/>
      <c r="H160" s="385"/>
      <c r="I160" s="385"/>
      <c r="J160" s="385"/>
      <c r="K160" s="385"/>
      <c r="L160" s="385"/>
      <c r="M160" s="385"/>
      <c r="N160" s="385"/>
      <c r="O160" s="385"/>
      <c r="P160" s="385"/>
      <c r="Q160" s="385"/>
      <c r="R160" s="385"/>
      <c r="S160" s="385"/>
      <c r="T160" s="385"/>
      <c r="U160" s="385"/>
    </row>
    <row r="161" spans="2:21" hidden="1">
      <c r="B161" s="69" t="s">
        <v>859</v>
      </c>
      <c r="C161" s="84" t="str">
        <f t="shared" si="2"/>
        <v>00240204</v>
      </c>
      <c r="D161" s="385">
        <f>IF(O58="Same as TX0",C91*2^16+C93*2^8+C89,O91*2^16+O93*2^8+O89)</f>
        <v>2359812</v>
      </c>
      <c r="E161" s="385"/>
      <c r="F161" s="385"/>
      <c r="G161" s="385"/>
      <c r="H161" s="385"/>
      <c r="I161" s="385"/>
      <c r="J161" s="385"/>
      <c r="K161" s="385"/>
      <c r="L161" s="385"/>
      <c r="M161" s="385"/>
      <c r="N161" s="385"/>
      <c r="O161" s="385"/>
      <c r="P161" s="385"/>
      <c r="Q161" s="385"/>
      <c r="R161" s="385"/>
      <c r="S161" s="385"/>
      <c r="T161" s="385"/>
      <c r="U161" s="385"/>
    </row>
    <row r="162" spans="2:21" hidden="1">
      <c r="B162" s="69" t="s">
        <v>860</v>
      </c>
      <c r="C162" s="84" t="str">
        <f t="shared" si="2"/>
        <v>000D0008</v>
      </c>
      <c r="D162" s="385">
        <f>IF(O58="Same as TX0",C97*2^16+C95,O97*2^16+O95)</f>
        <v>851976</v>
      </c>
      <c r="E162" s="385"/>
      <c r="F162" s="385"/>
      <c r="G162" s="385"/>
      <c r="H162" s="385"/>
      <c r="I162" s="385"/>
      <c r="J162" s="385"/>
      <c r="K162" s="385"/>
      <c r="L162" s="385"/>
      <c r="M162" s="385"/>
      <c r="N162" s="385"/>
      <c r="O162" s="385"/>
      <c r="P162" s="385"/>
      <c r="Q162" s="385"/>
      <c r="R162" s="385"/>
      <c r="S162" s="385"/>
      <c r="T162" s="385"/>
    </row>
    <row r="163" spans="2:21" hidden="1">
      <c r="B163" s="69" t="s">
        <v>861</v>
      </c>
      <c r="C163" s="84" t="str">
        <f t="shared" si="2"/>
        <v>00140006</v>
      </c>
      <c r="D163" s="385">
        <f>IF(O58="Same as TX0",C101*2^16+C99,O101*2^16+O99)</f>
        <v>1310726</v>
      </c>
      <c r="E163" s="385"/>
      <c r="F163" s="385"/>
      <c r="G163" s="385"/>
      <c r="H163" s="385"/>
      <c r="I163" s="385"/>
      <c r="J163" s="385"/>
      <c r="K163" s="385"/>
      <c r="L163" s="385"/>
      <c r="M163" s="385"/>
      <c r="N163" s="385"/>
      <c r="O163" s="385"/>
      <c r="P163" s="385"/>
      <c r="Q163" s="385"/>
      <c r="R163" s="385"/>
      <c r="S163" s="385"/>
      <c r="T163" s="385"/>
    </row>
    <row r="164" spans="2:21" hidden="1">
      <c r="B164" s="69" t="s">
        <v>862</v>
      </c>
      <c r="C164" s="84" t="str">
        <f t="shared" si="2"/>
        <v>00004268</v>
      </c>
      <c r="D164" s="385">
        <f>IF(O58="Same as TX0",C103,O103)</f>
        <v>17000</v>
      </c>
      <c r="E164" s="385"/>
      <c r="F164" s="385"/>
      <c r="G164" s="385"/>
      <c r="H164" s="385"/>
      <c r="I164" s="385"/>
      <c r="J164" s="385"/>
      <c r="K164" s="385"/>
      <c r="L164" s="385"/>
      <c r="M164" s="385"/>
      <c r="N164" s="385"/>
      <c r="O164" s="385"/>
      <c r="P164" s="385"/>
      <c r="Q164" s="385"/>
      <c r="R164" s="385"/>
      <c r="S164" s="385"/>
      <c r="T164" s="385"/>
    </row>
    <row r="165" spans="2:21" hidden="1">
      <c r="B165" s="69" t="s">
        <v>863</v>
      </c>
      <c r="C165" s="84" t="str">
        <f t="shared" si="2"/>
        <v>0000000F</v>
      </c>
      <c r="D165" s="385">
        <f>IF(O58="Same as TX0",C105,O105)</f>
        <v>15</v>
      </c>
      <c r="E165" s="385"/>
      <c r="F165" s="385"/>
      <c r="G165" s="385"/>
      <c r="H165" s="385"/>
      <c r="I165" s="385"/>
      <c r="J165" s="385"/>
      <c r="K165" s="385"/>
      <c r="L165" s="385"/>
      <c r="M165" s="385"/>
      <c r="N165" s="385"/>
      <c r="O165" s="385"/>
      <c r="P165" s="385"/>
      <c r="Q165" s="385"/>
      <c r="R165" s="385"/>
      <c r="S165" s="385"/>
      <c r="T165" s="385"/>
    </row>
    <row r="166" spans="2:21" hidden="1">
      <c r="B166" s="69" t="s">
        <v>864</v>
      </c>
      <c r="C166" s="84" t="str">
        <f t="shared" si="2"/>
        <v>000D0008</v>
      </c>
      <c r="D166" s="385">
        <f>IF(O58="Same as TX0",C109*2^16+C107,O109*2^16+O107)</f>
        <v>851976</v>
      </c>
      <c r="E166" s="385"/>
      <c r="F166" s="385"/>
      <c r="G166" s="385"/>
      <c r="H166" s="385"/>
      <c r="I166" s="385"/>
      <c r="J166" s="385"/>
      <c r="K166" s="385"/>
      <c r="L166" s="385"/>
      <c r="M166" s="385"/>
      <c r="N166" s="385"/>
      <c r="O166" s="385"/>
      <c r="P166" s="385"/>
      <c r="Q166" s="385"/>
      <c r="R166" s="385"/>
      <c r="S166" s="385"/>
      <c r="T166" s="385"/>
    </row>
    <row r="167" spans="2:21" hidden="1">
      <c r="B167"/>
      <c r="C167"/>
      <c r="D167" s="385"/>
      <c r="E167" s="385"/>
      <c r="F167" s="385"/>
      <c r="G167" s="385"/>
      <c r="H167" s="385"/>
      <c r="I167" s="385"/>
      <c r="J167" s="385"/>
      <c r="K167" s="385"/>
      <c r="L167" s="385"/>
      <c r="M167" s="385"/>
      <c r="N167" s="385"/>
      <c r="O167" s="385"/>
      <c r="P167" s="385"/>
      <c r="Q167" s="385"/>
      <c r="R167" s="385"/>
      <c r="S167" s="385"/>
      <c r="T167" s="385"/>
    </row>
    <row r="168" spans="2:21" hidden="1">
      <c r="B168" s="69" t="s">
        <v>1010</v>
      </c>
      <c r="C168" s="84" t="str">
        <f>DEC2HEX(D168,8)</f>
        <v>0000001F</v>
      </c>
      <c r="D168" s="385">
        <f>IF(L78=1,3,IF(L78=2,7,IF(L78=3,15,31)))</f>
        <v>31</v>
      </c>
      <c r="E168" s="385"/>
      <c r="F168" s="385"/>
      <c r="G168" s="385"/>
      <c r="H168" s="385"/>
      <c r="I168" s="385"/>
      <c r="J168" s="385"/>
      <c r="K168" s="385"/>
      <c r="L168" s="385"/>
      <c r="M168" s="385"/>
      <c r="N168" s="385"/>
      <c r="O168" s="385"/>
      <c r="P168" s="385"/>
      <c r="Q168" s="385"/>
      <c r="R168" s="385"/>
      <c r="S168" s="385"/>
      <c r="T168" s="385"/>
    </row>
    <row r="169" spans="2:21" hidden="1">
      <c r="B169" s="69" t="s">
        <v>883</v>
      </c>
      <c r="C169" s="84" t="str">
        <f t="shared" si="2"/>
        <v>00060005</v>
      </c>
      <c r="D169" s="385">
        <f>IF(O58="Same as TX0",C113*2^16+C111,O113*2^16+O111)</f>
        <v>393221</v>
      </c>
      <c r="E169" s="385"/>
      <c r="F169" s="385"/>
      <c r="G169" s="385"/>
      <c r="H169" s="385"/>
      <c r="I169" s="385"/>
      <c r="J169" s="385"/>
      <c r="K169" s="385"/>
      <c r="L169" s="385"/>
      <c r="M169" s="385"/>
      <c r="N169" s="385"/>
      <c r="O169" s="385"/>
      <c r="P169" s="385"/>
      <c r="Q169" s="385"/>
      <c r="R169" s="385"/>
      <c r="S169" s="385"/>
      <c r="T169" s="385"/>
    </row>
    <row r="170" spans="2:21" hidden="1">
      <c r="D170" s="385"/>
      <c r="E170" s="385"/>
      <c r="F170" s="385"/>
      <c r="G170" s="385"/>
      <c r="H170" s="385"/>
      <c r="I170" s="385"/>
      <c r="J170" s="385"/>
      <c r="K170" s="385"/>
      <c r="L170" s="385"/>
      <c r="M170" s="385"/>
      <c r="N170" s="385"/>
      <c r="O170" s="385"/>
      <c r="P170" s="385"/>
      <c r="Q170" s="385"/>
      <c r="R170" s="385"/>
      <c r="S170" s="385"/>
      <c r="T170" s="385"/>
    </row>
    <row r="171" spans="2:21" hidden="1">
      <c r="D171" s="385"/>
      <c r="E171" s="385"/>
      <c r="F171" s="385"/>
      <c r="G171" s="385"/>
      <c r="H171" s="385"/>
      <c r="I171" s="385"/>
      <c r="J171" s="385"/>
      <c r="K171" s="385"/>
      <c r="L171" s="385"/>
      <c r="M171" s="385"/>
      <c r="N171" s="385"/>
      <c r="O171" s="385"/>
      <c r="P171" s="385"/>
      <c r="Q171" s="385"/>
      <c r="R171" s="385"/>
      <c r="S171" s="385"/>
      <c r="T171" s="385"/>
    </row>
    <row r="172" spans="2:21" hidden="1">
      <c r="B172" s="69" t="s">
        <v>960</v>
      </c>
      <c r="C172" s="84" t="str">
        <f>IF(F40="Bypass","0100","0000")</f>
        <v>0000</v>
      </c>
      <c r="D172" s="385"/>
      <c r="E172" s="385"/>
      <c r="F172" s="385"/>
      <c r="G172" s="385"/>
      <c r="H172" s="385"/>
      <c r="I172" s="385"/>
      <c r="J172" s="385"/>
      <c r="K172" s="385"/>
      <c r="L172" s="385"/>
      <c r="M172" s="385"/>
      <c r="N172" s="385"/>
      <c r="O172" s="385"/>
      <c r="P172" s="385"/>
      <c r="Q172" s="385"/>
      <c r="R172" s="385"/>
      <c r="S172" s="385"/>
      <c r="T172" s="385"/>
    </row>
    <row r="173" spans="2:21" hidden="1">
      <c r="B173" s="69">
        <v>5002</v>
      </c>
      <c r="C173" s="84" t="str">
        <f>J43&amp;I43</f>
        <v>A010</v>
      </c>
      <c r="D173" s="385"/>
      <c r="E173" s="385"/>
      <c r="F173" s="385"/>
      <c r="G173" s="385"/>
      <c r="H173" s="385"/>
      <c r="I173" s="385"/>
      <c r="J173" s="385"/>
      <c r="K173" s="385"/>
      <c r="L173" s="385"/>
      <c r="M173" s="385"/>
      <c r="N173" s="385"/>
      <c r="O173" s="385"/>
      <c r="P173" s="385"/>
      <c r="Q173" s="385"/>
      <c r="R173" s="385"/>
      <c r="S173" s="385"/>
      <c r="T173" s="385"/>
    </row>
    <row r="174" spans="2:21" hidden="1">
      <c r="B174" s="69" t="s">
        <v>866</v>
      </c>
      <c r="C174" s="84" t="str">
        <f>DEC2HEX(D174,4)</f>
        <v>0F00</v>
      </c>
      <c r="D174" s="385">
        <f>F47*B46/8</f>
        <v>3840</v>
      </c>
      <c r="E174" s="385"/>
      <c r="F174" s="385"/>
      <c r="G174" s="385"/>
      <c r="H174" s="385"/>
      <c r="I174" s="385"/>
      <c r="J174" s="385"/>
      <c r="K174" s="385"/>
      <c r="L174" s="385"/>
      <c r="M174" s="385"/>
      <c r="N174" s="385"/>
      <c r="O174" s="385"/>
      <c r="P174" s="385"/>
      <c r="Q174" s="385"/>
      <c r="R174" s="385"/>
      <c r="S174" s="385"/>
      <c r="T174" s="385"/>
    </row>
    <row r="175" spans="2:21" hidden="1">
      <c r="B175" s="69" t="s">
        <v>868</v>
      </c>
      <c r="C175" s="84" t="str">
        <f>DEC2HEX(D175,4)</f>
        <v>8000</v>
      </c>
      <c r="D175" s="385">
        <f>C43*2^15+D43*2^14+E42-1</f>
        <v>32768</v>
      </c>
      <c r="E175" s="385"/>
      <c r="F175" s="385"/>
      <c r="G175" s="385"/>
      <c r="H175" s="385"/>
      <c r="I175" s="385"/>
      <c r="J175" s="385"/>
      <c r="K175" s="385"/>
      <c r="L175" s="385"/>
      <c r="M175" s="385"/>
      <c r="N175" s="385"/>
      <c r="O175" s="385"/>
      <c r="P175" s="385"/>
      <c r="Q175" s="385"/>
      <c r="R175" s="385"/>
      <c r="S175" s="385"/>
      <c r="T175" s="385"/>
    </row>
    <row r="176" spans="2:21" hidden="1">
      <c r="B176" s="69" t="s">
        <v>1133</v>
      </c>
      <c r="C176" s="84" t="str">
        <f>DEC2HEX(D176,4)</f>
        <v>04FF</v>
      </c>
      <c r="D176" s="385">
        <f>E45-1</f>
        <v>1279</v>
      </c>
      <c r="E176" s="385"/>
      <c r="F176" s="385"/>
      <c r="G176" s="385"/>
      <c r="H176" s="385"/>
      <c r="I176" s="385"/>
      <c r="J176" s="385"/>
      <c r="K176" s="385"/>
      <c r="L176" s="385"/>
      <c r="M176" s="385"/>
      <c r="N176" s="385"/>
      <c r="O176" s="385"/>
      <c r="P176" s="385"/>
      <c r="Q176" s="385"/>
      <c r="R176" s="385"/>
      <c r="S176" s="385"/>
      <c r="T176" s="385"/>
    </row>
    <row r="177" spans="2:20" hidden="1">
      <c r="B177" s="251"/>
      <c r="C177" s="252"/>
      <c r="D177" s="385"/>
      <c r="E177" s="385"/>
      <c r="F177" s="385"/>
      <c r="G177" s="385"/>
      <c r="H177" s="385"/>
      <c r="I177" s="385"/>
      <c r="J177" s="385"/>
      <c r="K177" s="385"/>
      <c r="L177" s="385"/>
      <c r="M177" s="385"/>
      <c r="N177" s="385"/>
      <c r="O177" s="385"/>
      <c r="P177" s="385"/>
      <c r="Q177" s="385"/>
      <c r="R177" s="385"/>
      <c r="S177" s="385"/>
      <c r="T177" s="385"/>
    </row>
    <row r="178" spans="2:20" hidden="1">
      <c r="D178" s="385"/>
      <c r="E178" s="385"/>
      <c r="F178" s="385"/>
      <c r="G178" s="385"/>
      <c r="H178" s="385"/>
      <c r="I178" s="385"/>
      <c r="J178" s="385"/>
      <c r="K178" s="385"/>
      <c r="L178" s="385"/>
      <c r="M178" s="385"/>
      <c r="N178" s="385"/>
      <c r="O178" s="385"/>
      <c r="P178" s="385"/>
      <c r="Q178" s="385"/>
      <c r="R178" s="385"/>
      <c r="S178" s="385"/>
      <c r="T178" s="385"/>
    </row>
    <row r="179" spans="2:20" hidden="1">
      <c r="B179" s="69" t="s">
        <v>1141</v>
      </c>
      <c r="C179" s="84" t="str">
        <f>IF(H40="Bypass","0100","0000")</f>
        <v>0000</v>
      </c>
      <c r="D179" s="385"/>
      <c r="E179" s="385"/>
      <c r="F179" s="385"/>
      <c r="G179" s="385"/>
      <c r="H179" s="385"/>
      <c r="I179" s="385"/>
      <c r="J179" s="385"/>
      <c r="K179" s="385"/>
      <c r="L179" s="385"/>
      <c r="M179" s="385"/>
      <c r="N179" s="385"/>
      <c r="O179" s="385"/>
      <c r="P179" s="385"/>
      <c r="Q179" s="385"/>
      <c r="R179" s="385"/>
      <c r="S179" s="385"/>
      <c r="T179" s="385"/>
    </row>
    <row r="180" spans="2:20" hidden="1">
      <c r="B180" s="69">
        <v>5082</v>
      </c>
      <c r="C180" s="84" t="str">
        <f>J43&amp;I43</f>
        <v>A010</v>
      </c>
      <c r="D180" s="385"/>
      <c r="E180" s="385"/>
      <c r="F180" s="385"/>
      <c r="G180" s="385"/>
      <c r="H180" s="385"/>
      <c r="I180" s="385"/>
      <c r="J180" s="385"/>
      <c r="K180" s="385"/>
      <c r="L180" s="385"/>
      <c r="M180" s="385"/>
      <c r="N180" s="385"/>
      <c r="O180" s="385"/>
      <c r="P180" s="385"/>
      <c r="Q180" s="385"/>
      <c r="R180" s="385"/>
      <c r="S180" s="385"/>
      <c r="T180" s="385"/>
    </row>
    <row r="181" spans="2:20" hidden="1">
      <c r="B181" s="69" t="s">
        <v>867</v>
      </c>
      <c r="C181" s="84" t="str">
        <f>DEC2HEX(D181,4)</f>
        <v>0F00</v>
      </c>
      <c r="D181" s="385">
        <f>H47*B46/8</f>
        <v>3840</v>
      </c>
      <c r="E181" s="385"/>
      <c r="F181" s="385"/>
      <c r="G181" s="385"/>
      <c r="H181" s="385"/>
      <c r="I181" s="385"/>
      <c r="J181" s="385"/>
      <c r="K181" s="385"/>
      <c r="L181" s="385"/>
      <c r="M181" s="385"/>
      <c r="N181" s="385"/>
      <c r="O181" s="385"/>
      <c r="P181" s="385"/>
      <c r="Q181" s="385"/>
      <c r="R181" s="385"/>
      <c r="S181" s="385"/>
      <c r="T181" s="385"/>
    </row>
    <row r="182" spans="2:20" hidden="1">
      <c r="B182" s="69" t="s">
        <v>869</v>
      </c>
      <c r="C182" s="84" t="str">
        <f>DEC2HEX(D182,4)</f>
        <v>0500</v>
      </c>
      <c r="D182" s="385">
        <f>G42-1</f>
        <v>1280</v>
      </c>
      <c r="E182" s="385"/>
      <c r="F182" s="385"/>
      <c r="G182" s="385"/>
      <c r="H182" s="385"/>
      <c r="I182" s="385"/>
      <c r="J182" s="385"/>
      <c r="K182" s="385"/>
      <c r="L182" s="385"/>
      <c r="M182" s="385"/>
      <c r="N182" s="385"/>
      <c r="O182" s="385"/>
      <c r="P182" s="385"/>
      <c r="Q182" s="385"/>
      <c r="R182" s="385"/>
      <c r="S182" s="385"/>
      <c r="T182" s="385"/>
    </row>
    <row r="183" spans="2:20" hidden="1">
      <c r="B183" s="69" t="s">
        <v>1142</v>
      </c>
      <c r="C183" s="84" t="str">
        <f>DEC2HEX(D183,4)</f>
        <v>09FF</v>
      </c>
      <c r="D183" s="385">
        <f>G45-1</f>
        <v>2559</v>
      </c>
      <c r="E183" s="385"/>
      <c r="F183" s="385"/>
      <c r="G183" s="385"/>
      <c r="H183" s="385"/>
      <c r="I183" s="385"/>
      <c r="J183" s="385"/>
      <c r="K183" s="385"/>
      <c r="L183" s="385"/>
      <c r="M183" s="385"/>
      <c r="N183" s="385"/>
      <c r="O183" s="385"/>
      <c r="P183" s="385"/>
      <c r="Q183" s="385"/>
      <c r="R183" s="385"/>
      <c r="S183" s="385"/>
      <c r="T183" s="385"/>
    </row>
    <row r="184" spans="2:20" hidden="1">
      <c r="D184" s="385"/>
      <c r="E184" s="385"/>
      <c r="F184" s="385"/>
      <c r="G184" s="385"/>
      <c r="H184" s="385"/>
      <c r="I184" s="385"/>
      <c r="J184" s="385"/>
      <c r="K184" s="385"/>
      <c r="L184" s="385"/>
      <c r="M184" s="385"/>
      <c r="N184" s="385"/>
      <c r="O184" s="385"/>
      <c r="P184" s="385"/>
      <c r="Q184" s="385"/>
      <c r="R184" s="385"/>
      <c r="S184" s="385"/>
      <c r="T184" s="385"/>
    </row>
    <row r="185" spans="2:20" hidden="1">
      <c r="D185" s="385"/>
      <c r="E185" s="385"/>
      <c r="F185" s="385"/>
      <c r="G185" s="385"/>
      <c r="H185" s="385"/>
      <c r="I185" s="385"/>
      <c r="J185" s="385"/>
      <c r="K185" s="385"/>
      <c r="L185" s="385"/>
      <c r="M185" s="385"/>
      <c r="N185" s="385"/>
      <c r="O185" s="385"/>
      <c r="P185" s="385"/>
      <c r="Q185" s="385"/>
      <c r="R185" s="385"/>
      <c r="S185" s="385"/>
      <c r="T185" s="385"/>
    </row>
    <row r="186" spans="2:20" hidden="1">
      <c r="B186" s="69" t="s">
        <v>1114</v>
      </c>
      <c r="C186" s="84" t="str">
        <f>IF(B53=0,"02",IF(B53&lt;4,"01","00"))</f>
        <v>02</v>
      </c>
      <c r="D186" s="385"/>
      <c r="E186" s="385"/>
      <c r="F186" s="385"/>
      <c r="G186" s="385"/>
      <c r="H186" s="385"/>
      <c r="I186" s="385"/>
      <c r="J186" s="385"/>
      <c r="K186" s="385"/>
      <c r="L186" s="385"/>
      <c r="M186" s="385"/>
      <c r="N186" s="385"/>
      <c r="O186" s="385"/>
      <c r="P186" s="385"/>
      <c r="Q186" s="385"/>
      <c r="R186" s="385"/>
      <c r="S186" s="385"/>
      <c r="T186" s="385"/>
    </row>
    <row r="187" spans="2:20" hidden="1">
      <c r="B187" s="69" t="s">
        <v>1122</v>
      </c>
      <c r="C187" s="288" t="s">
        <v>1123</v>
      </c>
      <c r="D187" s="385"/>
      <c r="E187" s="385"/>
      <c r="F187" s="385"/>
      <c r="G187" s="385"/>
      <c r="H187" s="385"/>
      <c r="I187" s="385"/>
      <c r="J187" s="385"/>
      <c r="K187" s="385"/>
      <c r="L187" s="385"/>
      <c r="M187" s="385"/>
      <c r="N187" s="385"/>
      <c r="O187" s="385"/>
      <c r="P187" s="385"/>
      <c r="Q187" s="385"/>
      <c r="R187" s="385"/>
      <c r="S187" s="385"/>
      <c r="T187" s="385"/>
    </row>
    <row r="188" spans="2:20" hidden="1">
      <c r="B188"/>
      <c r="C188"/>
      <c r="D188" s="385"/>
      <c r="E188" s="385"/>
      <c r="F188" s="385"/>
      <c r="G188" s="385"/>
      <c r="H188" s="385"/>
      <c r="I188" s="385"/>
      <c r="J188" s="385"/>
      <c r="K188" s="385"/>
      <c r="L188" s="385"/>
      <c r="M188" s="385"/>
      <c r="N188" s="385"/>
      <c r="O188" s="385"/>
      <c r="P188" s="385"/>
      <c r="Q188" s="385"/>
      <c r="R188" s="385"/>
      <c r="S188" s="385"/>
      <c r="T188" s="385"/>
    </row>
    <row r="189" spans="2:20" hidden="1">
      <c r="B189" s="69" t="s">
        <v>1121</v>
      </c>
      <c r="C189" s="84" t="str">
        <f>IF(B53=1,"31",IF(B53=3,"31","11"))</f>
        <v>11</v>
      </c>
      <c r="D189" s="385"/>
      <c r="E189" s="385"/>
      <c r="F189" s="385"/>
      <c r="G189" s="385"/>
      <c r="H189" s="385"/>
      <c r="I189" s="385"/>
      <c r="J189" s="385"/>
      <c r="K189" s="385"/>
      <c r="L189" s="385"/>
      <c r="M189" s="385"/>
      <c r="N189" s="385"/>
      <c r="O189" s="385"/>
      <c r="P189" s="385"/>
      <c r="Q189" s="385"/>
      <c r="R189" s="385"/>
      <c r="S189" s="385"/>
      <c r="T189" s="385"/>
    </row>
    <row r="190" spans="2:20" hidden="1">
      <c r="D190" s="385"/>
      <c r="E190" s="385"/>
      <c r="F190" s="385"/>
      <c r="G190" s="385"/>
      <c r="H190" s="385"/>
      <c r="I190" s="385"/>
      <c r="J190" s="385"/>
      <c r="K190" s="385"/>
      <c r="L190" s="385"/>
      <c r="M190" s="385"/>
      <c r="N190" s="385"/>
      <c r="O190" s="385"/>
      <c r="P190" s="385"/>
      <c r="Q190" s="385"/>
      <c r="R190" s="385"/>
      <c r="S190" s="385"/>
      <c r="T190" s="385"/>
    </row>
    <row r="191" spans="2:20" hidden="1">
      <c r="D191" s="385"/>
      <c r="E191" s="385"/>
      <c r="F191" s="385"/>
      <c r="G191" s="385"/>
      <c r="H191" s="385"/>
      <c r="I191" s="385"/>
      <c r="J191" s="385"/>
      <c r="K191" s="385"/>
      <c r="L191" s="385"/>
      <c r="M191" s="385"/>
      <c r="N191" s="385"/>
      <c r="O191" s="385"/>
      <c r="P191" s="385"/>
      <c r="Q191" s="385"/>
      <c r="R191" s="385"/>
      <c r="S191" s="385"/>
      <c r="T191" s="385"/>
    </row>
    <row r="192" spans="2:20" hidden="1">
      <c r="B192" s="69" t="s">
        <v>1223</v>
      </c>
      <c r="C192" s="84" t="str">
        <f>DEC2HEX(D192,4)</f>
        <v>000D</v>
      </c>
      <c r="D192" s="385">
        <f>E29+9</f>
        <v>13</v>
      </c>
      <c r="E192" s="385"/>
      <c r="F192" s="385"/>
      <c r="G192" s="385"/>
      <c r="H192" s="385"/>
      <c r="I192" s="385"/>
      <c r="J192" s="385"/>
      <c r="K192" s="385"/>
      <c r="L192" s="385"/>
      <c r="M192" s="385"/>
      <c r="N192" s="385"/>
      <c r="O192" s="385"/>
      <c r="P192" s="385"/>
      <c r="Q192" s="385"/>
      <c r="R192" s="385"/>
      <c r="S192" s="385"/>
      <c r="T192" s="385"/>
    </row>
    <row r="193" spans="2:20" hidden="1">
      <c r="B193" s="69" t="s">
        <v>1215</v>
      </c>
      <c r="C193" s="84" t="str">
        <f>DEC2HEX(D20,4)</f>
        <v>0020</v>
      </c>
      <c r="D193" s="385"/>
      <c r="E193" s="385"/>
      <c r="F193" s="385"/>
      <c r="G193" s="385"/>
      <c r="H193" s="385"/>
      <c r="I193" s="385"/>
      <c r="J193" s="385"/>
      <c r="K193" s="385"/>
      <c r="L193" s="385"/>
      <c r="M193" s="385"/>
      <c r="N193" s="385"/>
      <c r="O193" s="385"/>
      <c r="P193" s="385"/>
      <c r="Q193" s="385"/>
      <c r="R193" s="385"/>
      <c r="S193" s="385"/>
      <c r="T193" s="385"/>
    </row>
    <row r="194" spans="2:20" hidden="1">
      <c r="B194" s="69" t="s">
        <v>1216</v>
      </c>
      <c r="C194" s="84" t="str">
        <f>DEC2HEX(H20,4)</f>
        <v>0006</v>
      </c>
      <c r="D194" s="385"/>
      <c r="E194" s="385"/>
      <c r="F194" s="385"/>
      <c r="G194" s="385"/>
      <c r="H194" s="385"/>
      <c r="I194" s="385"/>
      <c r="J194" s="385"/>
      <c r="K194" s="385"/>
      <c r="L194" s="385"/>
      <c r="M194" s="385"/>
      <c r="N194" s="385"/>
      <c r="O194" s="385"/>
      <c r="P194" s="385"/>
      <c r="Q194" s="385"/>
      <c r="R194" s="385"/>
      <c r="S194" s="385"/>
      <c r="T194" s="385"/>
    </row>
    <row r="195" spans="2:20" hidden="1">
      <c r="B195" s="69" t="s">
        <v>1217</v>
      </c>
      <c r="C195" s="84" t="str">
        <f>DEC2HEX(D195,4)</f>
        <v>0AA0</v>
      </c>
      <c r="D195" s="385">
        <f>D20+E20+F20+G20</f>
        <v>2720</v>
      </c>
      <c r="E195" s="385"/>
      <c r="F195" s="385"/>
      <c r="G195" s="385"/>
      <c r="H195" s="385"/>
      <c r="I195" s="385"/>
      <c r="J195" s="385"/>
      <c r="K195" s="385"/>
      <c r="L195" s="385"/>
      <c r="M195" s="385"/>
      <c r="N195" s="385"/>
      <c r="O195" s="385"/>
      <c r="P195" s="385"/>
      <c r="Q195" s="385"/>
      <c r="R195" s="385"/>
      <c r="S195" s="385"/>
      <c r="T195" s="385"/>
    </row>
    <row r="196" spans="2:20" hidden="1">
      <c r="B196" s="69" t="s">
        <v>1218</v>
      </c>
      <c r="C196" s="84" t="str">
        <f>DEC2HEX(D196,4)</f>
        <v>066E</v>
      </c>
      <c r="D196" s="385">
        <f>H20+I20+J20+K20</f>
        <v>1646</v>
      </c>
      <c r="E196" s="385"/>
      <c r="F196" s="385"/>
      <c r="G196" s="385"/>
      <c r="H196" s="385"/>
      <c r="I196" s="385"/>
      <c r="J196" s="385"/>
      <c r="K196" s="385"/>
      <c r="L196" s="385"/>
      <c r="M196" s="385"/>
      <c r="N196" s="385"/>
      <c r="O196" s="385"/>
      <c r="P196" s="385"/>
      <c r="Q196" s="385"/>
      <c r="R196" s="385"/>
      <c r="S196" s="385"/>
      <c r="T196" s="385"/>
    </row>
    <row r="197" spans="2:20" hidden="1">
      <c r="B197" s="69" t="s">
        <v>1219</v>
      </c>
      <c r="C197" s="84" t="str">
        <f>DEC2HEX(F20,4)</f>
        <v>0A00</v>
      </c>
      <c r="D197" s="385"/>
      <c r="E197" s="385"/>
      <c r="F197" s="385"/>
      <c r="G197" s="385"/>
      <c r="H197" s="385"/>
      <c r="I197" s="385"/>
      <c r="J197" s="385"/>
      <c r="K197" s="385"/>
      <c r="L197" s="385"/>
      <c r="M197" s="385"/>
      <c r="N197" s="385"/>
      <c r="O197" s="385"/>
      <c r="P197" s="385"/>
      <c r="Q197" s="385"/>
      <c r="R197" s="385"/>
      <c r="S197" s="385"/>
      <c r="T197" s="385"/>
    </row>
    <row r="198" spans="2:20" hidden="1">
      <c r="B198" s="69" t="s">
        <v>1220</v>
      </c>
      <c r="C198" s="84" t="str">
        <f>DEC2HEX(J20,4)</f>
        <v>0640</v>
      </c>
      <c r="D198" s="385"/>
      <c r="E198" s="385"/>
      <c r="F198" s="385"/>
      <c r="G198" s="385"/>
      <c r="H198" s="385"/>
      <c r="I198" s="385"/>
      <c r="J198" s="385"/>
      <c r="K198" s="385"/>
      <c r="L198" s="385"/>
      <c r="M198" s="385"/>
      <c r="N198" s="385"/>
      <c r="O198" s="385"/>
      <c r="P198" s="385"/>
      <c r="Q198" s="385"/>
      <c r="R198" s="385"/>
      <c r="S198" s="385"/>
      <c r="T198" s="385"/>
    </row>
    <row r="199" spans="2:20" hidden="1">
      <c r="B199" s="69" t="s">
        <v>1221</v>
      </c>
      <c r="C199" s="84" t="str">
        <f>DEC2HEX(D199,4)</f>
        <v>0070</v>
      </c>
      <c r="D199" s="385">
        <f>D20+E20</f>
        <v>112</v>
      </c>
      <c r="E199" s="385"/>
      <c r="F199" s="385"/>
      <c r="G199" s="385"/>
      <c r="H199" s="385"/>
      <c r="I199" s="385"/>
      <c r="J199" s="385"/>
      <c r="K199" s="385"/>
      <c r="L199" s="385"/>
      <c r="M199" s="385"/>
      <c r="N199" s="385"/>
      <c r="O199" s="385"/>
      <c r="P199" s="385"/>
      <c r="Q199" s="385"/>
      <c r="R199" s="385"/>
      <c r="S199" s="385"/>
      <c r="T199" s="385"/>
    </row>
    <row r="200" spans="2:20" hidden="1">
      <c r="B200" s="69" t="s">
        <v>1222</v>
      </c>
      <c r="C200" s="84" t="str">
        <f>DEC2HEX(D200,4)</f>
        <v>002B</v>
      </c>
      <c r="D200" s="385">
        <f>H20+I20</f>
        <v>43</v>
      </c>
      <c r="E200" s="385"/>
      <c r="F200" s="385"/>
      <c r="G200" s="385"/>
      <c r="H200" s="385"/>
      <c r="I200" s="385"/>
      <c r="J200" s="385"/>
      <c r="K200" s="385"/>
      <c r="L200" s="385"/>
      <c r="M200" s="385"/>
      <c r="N200" s="385"/>
      <c r="O200" s="385"/>
      <c r="P200" s="385"/>
      <c r="Q200" s="385"/>
      <c r="R200" s="385"/>
      <c r="S200" s="385"/>
      <c r="T200" s="385"/>
    </row>
    <row r="201" spans="2:20">
      <c r="D201" s="385"/>
      <c r="E201" s="385"/>
      <c r="F201" s="385"/>
      <c r="G201" s="385"/>
      <c r="H201" s="385"/>
      <c r="I201" s="385"/>
      <c r="J201" s="385"/>
      <c r="K201" s="385"/>
      <c r="L201" s="385"/>
      <c r="M201" s="385"/>
      <c r="N201" s="385"/>
      <c r="O201" s="385"/>
      <c r="P201" s="385"/>
      <c r="Q201" s="385"/>
      <c r="R201" s="385"/>
      <c r="S201" s="385"/>
      <c r="T201" s="385"/>
    </row>
    <row r="202" spans="2:20">
      <c r="D202" s="385"/>
      <c r="E202" s="385"/>
      <c r="F202" s="385"/>
      <c r="G202" s="385"/>
      <c r="H202" s="385"/>
      <c r="I202" s="385"/>
      <c r="J202" s="385"/>
      <c r="K202" s="385"/>
      <c r="L202" s="385"/>
      <c r="M202" s="385"/>
      <c r="N202" s="385"/>
      <c r="O202" s="385"/>
      <c r="P202" s="385"/>
      <c r="Q202" s="385"/>
      <c r="R202" s="385"/>
      <c r="S202" s="385"/>
      <c r="T202" s="385"/>
    </row>
    <row r="203" spans="2:20">
      <c r="D203" s="385"/>
      <c r="E203" s="385"/>
      <c r="F203" s="385"/>
      <c r="G203" s="385"/>
      <c r="H203" s="385"/>
      <c r="I203" s="385"/>
      <c r="J203" s="385"/>
      <c r="K203" s="385"/>
      <c r="L203" s="385"/>
      <c r="M203" s="385"/>
      <c r="N203" s="385"/>
      <c r="O203" s="385"/>
      <c r="P203" s="385"/>
      <c r="Q203" s="385"/>
      <c r="R203" s="385"/>
      <c r="S203" s="385"/>
      <c r="T203" s="385"/>
    </row>
    <row r="204" spans="2:20">
      <c r="D204" s="385"/>
      <c r="E204" s="385"/>
      <c r="F204" s="385"/>
      <c r="G204" s="385"/>
      <c r="H204" s="385"/>
      <c r="I204" s="385"/>
      <c r="J204" s="385"/>
      <c r="K204" s="385"/>
      <c r="L204" s="385"/>
      <c r="M204" s="385"/>
      <c r="N204" s="385"/>
      <c r="O204" s="385"/>
      <c r="P204" s="385"/>
      <c r="Q204" s="385"/>
      <c r="R204" s="385"/>
      <c r="S204" s="385"/>
      <c r="T204" s="385"/>
    </row>
    <row r="205" spans="2:20">
      <c r="D205" s="385"/>
      <c r="E205" s="385"/>
      <c r="F205" s="385"/>
      <c r="G205" s="385"/>
      <c r="H205" s="385"/>
      <c r="I205" s="385"/>
      <c r="J205" s="385"/>
      <c r="K205" s="385"/>
      <c r="L205" s="385"/>
      <c r="M205" s="385"/>
      <c r="N205" s="385"/>
      <c r="O205" s="385"/>
      <c r="P205" s="385"/>
      <c r="Q205" s="385"/>
      <c r="R205" s="385"/>
      <c r="S205" s="385"/>
      <c r="T205" s="385"/>
    </row>
    <row r="206" spans="2:20">
      <c r="D206" s="385"/>
      <c r="E206" s="385"/>
      <c r="F206" s="385"/>
      <c r="G206" s="385"/>
      <c r="H206" s="385"/>
      <c r="I206" s="385"/>
      <c r="J206" s="385"/>
      <c r="K206" s="385"/>
      <c r="L206" s="385"/>
      <c r="M206" s="385"/>
      <c r="N206" s="385"/>
      <c r="O206" s="385"/>
      <c r="P206" s="385"/>
      <c r="Q206" s="385"/>
      <c r="R206" s="385"/>
      <c r="S206" s="385"/>
      <c r="T206" s="385"/>
    </row>
    <row r="207" spans="2:20">
      <c r="D207" s="385"/>
      <c r="E207" s="385"/>
      <c r="F207" s="385"/>
      <c r="G207" s="385"/>
      <c r="H207" s="385"/>
      <c r="I207" s="385"/>
      <c r="J207" s="385"/>
      <c r="K207" s="385"/>
      <c r="L207" s="385"/>
      <c r="M207" s="385"/>
      <c r="N207" s="385"/>
      <c r="O207" s="385"/>
      <c r="P207" s="385"/>
      <c r="Q207" s="385"/>
      <c r="R207" s="385"/>
      <c r="S207" s="385"/>
      <c r="T207" s="385"/>
    </row>
    <row r="208" spans="2:20">
      <c r="D208" s="385"/>
      <c r="E208" s="385"/>
      <c r="F208" s="385"/>
      <c r="G208" s="385"/>
      <c r="H208" s="385"/>
      <c r="I208" s="385"/>
      <c r="J208" s="385"/>
      <c r="K208" s="385"/>
      <c r="L208" s="385"/>
      <c r="M208" s="385"/>
      <c r="N208" s="385"/>
      <c r="O208" s="385"/>
      <c r="P208" s="385"/>
      <c r="Q208" s="385"/>
      <c r="R208" s="385"/>
      <c r="S208" s="385"/>
      <c r="T208" s="385"/>
    </row>
    <row r="209" spans="4:20">
      <c r="D209" s="385"/>
      <c r="E209" s="385"/>
      <c r="F209" s="385"/>
      <c r="G209" s="385"/>
      <c r="H209" s="385"/>
      <c r="I209" s="385"/>
      <c r="J209" s="385"/>
      <c r="K209" s="385"/>
      <c r="L209" s="385"/>
      <c r="M209" s="385"/>
      <c r="N209" s="385"/>
      <c r="O209" s="385"/>
      <c r="P209" s="385"/>
      <c r="Q209" s="385"/>
      <c r="R209" s="385"/>
      <c r="S209" s="385"/>
      <c r="T209" s="385"/>
    </row>
    <row r="210" spans="4:20">
      <c r="D210" s="385"/>
      <c r="E210" s="385"/>
      <c r="F210" s="385"/>
      <c r="G210" s="385"/>
      <c r="H210" s="385"/>
      <c r="I210" s="385"/>
      <c r="J210" s="385"/>
      <c r="K210" s="385"/>
      <c r="L210" s="385"/>
      <c r="M210" s="385"/>
      <c r="N210" s="385"/>
      <c r="O210" s="385"/>
      <c r="P210" s="385"/>
      <c r="Q210" s="385"/>
      <c r="R210" s="385"/>
      <c r="S210" s="385"/>
      <c r="T210" s="385"/>
    </row>
    <row r="211" spans="4:20">
      <c r="D211" s="385"/>
      <c r="E211" s="385"/>
      <c r="F211" s="385"/>
      <c r="G211" s="385"/>
      <c r="H211" s="385"/>
      <c r="I211" s="385"/>
      <c r="J211" s="385"/>
      <c r="K211" s="385"/>
      <c r="L211" s="385"/>
      <c r="M211" s="385"/>
      <c r="N211" s="385"/>
      <c r="O211" s="385"/>
      <c r="P211" s="385"/>
      <c r="Q211" s="385"/>
      <c r="R211" s="385"/>
      <c r="S211" s="385"/>
      <c r="T211" s="385"/>
    </row>
    <row r="212" spans="4:20">
      <c r="D212" s="385"/>
      <c r="E212" s="385"/>
      <c r="F212" s="385"/>
      <c r="G212" s="385"/>
      <c r="H212" s="385"/>
      <c r="I212" s="385"/>
      <c r="J212" s="385"/>
      <c r="K212" s="385"/>
      <c r="L212" s="385"/>
      <c r="M212" s="385"/>
      <c r="N212" s="385"/>
      <c r="O212" s="385"/>
      <c r="P212" s="385"/>
      <c r="Q212" s="385"/>
      <c r="R212" s="385"/>
      <c r="S212" s="385"/>
      <c r="T212" s="385"/>
    </row>
    <row r="213" spans="4:20">
      <c r="D213" s="385"/>
      <c r="E213" s="385"/>
      <c r="F213" s="385"/>
      <c r="G213" s="385"/>
      <c r="H213" s="385"/>
      <c r="I213" s="385"/>
      <c r="J213" s="385"/>
      <c r="K213" s="385"/>
      <c r="L213" s="385"/>
      <c r="M213" s="385"/>
      <c r="N213" s="385"/>
      <c r="O213" s="385"/>
      <c r="P213" s="385"/>
      <c r="Q213" s="385"/>
      <c r="R213" s="385"/>
      <c r="S213" s="385"/>
      <c r="T213" s="385"/>
    </row>
    <row r="214" spans="4:20">
      <c r="D214" s="385"/>
      <c r="E214" s="385"/>
      <c r="F214" s="385"/>
      <c r="G214" s="385"/>
      <c r="H214" s="385"/>
      <c r="I214" s="385"/>
      <c r="J214" s="385"/>
      <c r="K214" s="385"/>
      <c r="L214" s="385"/>
      <c r="M214" s="385"/>
      <c r="N214" s="385"/>
      <c r="O214" s="385"/>
      <c r="P214" s="385"/>
      <c r="Q214" s="385"/>
      <c r="R214" s="385"/>
      <c r="S214" s="385"/>
      <c r="T214" s="385"/>
    </row>
    <row r="215" spans="4:20">
      <c r="D215" s="385"/>
      <c r="E215" s="385"/>
      <c r="F215" s="385"/>
      <c r="G215" s="385"/>
      <c r="H215" s="385"/>
      <c r="I215" s="385"/>
      <c r="J215" s="385"/>
      <c r="K215" s="385"/>
      <c r="L215" s="385"/>
      <c r="M215" s="385"/>
      <c r="N215" s="385"/>
      <c r="O215" s="385"/>
      <c r="P215" s="385"/>
      <c r="Q215" s="385"/>
      <c r="R215" s="385"/>
      <c r="S215" s="385"/>
      <c r="T215" s="385"/>
    </row>
    <row r="216" spans="4:20">
      <c r="D216" s="385"/>
      <c r="E216" s="385"/>
      <c r="F216" s="385"/>
      <c r="G216" s="385"/>
      <c r="H216" s="385"/>
      <c r="I216" s="385"/>
      <c r="J216" s="385"/>
      <c r="K216" s="385"/>
      <c r="L216" s="385"/>
      <c r="M216" s="385"/>
      <c r="N216" s="385"/>
      <c r="O216" s="385"/>
      <c r="P216" s="385"/>
      <c r="Q216" s="385"/>
      <c r="R216" s="385"/>
      <c r="S216" s="385"/>
      <c r="T216" s="385"/>
    </row>
    <row r="217" spans="4:20">
      <c r="D217" s="385"/>
      <c r="E217" s="385"/>
      <c r="F217" s="385"/>
      <c r="G217" s="385"/>
      <c r="H217" s="385"/>
      <c r="I217" s="385"/>
      <c r="J217" s="385"/>
      <c r="K217" s="385"/>
      <c r="L217" s="385"/>
      <c r="M217" s="385"/>
      <c r="N217" s="385"/>
      <c r="O217" s="385"/>
      <c r="P217" s="385"/>
      <c r="Q217" s="385"/>
      <c r="R217" s="385"/>
      <c r="S217" s="385"/>
      <c r="T217" s="385"/>
    </row>
    <row r="218" spans="4:20">
      <c r="D218" s="385"/>
      <c r="E218" s="385"/>
      <c r="F218" s="385"/>
      <c r="G218" s="385"/>
      <c r="H218" s="385"/>
      <c r="I218" s="385"/>
      <c r="J218" s="385"/>
      <c r="K218" s="385"/>
      <c r="L218" s="385"/>
      <c r="M218" s="385"/>
      <c r="N218" s="385"/>
      <c r="O218" s="385"/>
      <c r="P218" s="385"/>
      <c r="Q218" s="385"/>
      <c r="R218" s="385"/>
      <c r="S218" s="385"/>
      <c r="T218" s="385"/>
    </row>
    <row r="219" spans="4:20">
      <c r="D219" s="385"/>
      <c r="E219" s="385"/>
      <c r="F219" s="385"/>
      <c r="G219" s="385"/>
      <c r="H219" s="385"/>
      <c r="I219" s="385"/>
      <c r="J219" s="385"/>
      <c r="K219" s="385"/>
      <c r="L219" s="385"/>
      <c r="M219" s="385"/>
      <c r="N219" s="385"/>
      <c r="O219" s="385"/>
      <c r="P219" s="385"/>
      <c r="Q219" s="385"/>
      <c r="R219" s="385"/>
      <c r="S219" s="385"/>
      <c r="T219" s="385"/>
    </row>
    <row r="220" spans="4:20">
      <c r="D220" s="385"/>
      <c r="E220" s="385"/>
      <c r="F220" s="385"/>
      <c r="G220" s="385"/>
      <c r="H220" s="385"/>
      <c r="I220" s="385"/>
      <c r="J220" s="385"/>
      <c r="K220" s="385"/>
      <c r="L220" s="385"/>
      <c r="M220" s="385"/>
      <c r="N220" s="385"/>
      <c r="O220" s="385"/>
      <c r="P220" s="385"/>
      <c r="Q220" s="385"/>
      <c r="R220" s="385"/>
      <c r="S220" s="385"/>
      <c r="T220" s="385"/>
    </row>
    <row r="221" spans="4:20">
      <c r="D221" s="385"/>
      <c r="E221" s="385"/>
      <c r="F221" s="385"/>
      <c r="G221" s="385"/>
      <c r="H221" s="385"/>
      <c r="I221" s="385"/>
      <c r="J221" s="385"/>
      <c r="K221" s="385"/>
      <c r="L221" s="385"/>
      <c r="M221" s="385"/>
      <c r="N221" s="385"/>
      <c r="O221" s="385"/>
      <c r="P221" s="385"/>
      <c r="Q221" s="385"/>
      <c r="R221" s="385"/>
      <c r="S221" s="385"/>
      <c r="T221" s="385"/>
    </row>
    <row r="222" spans="4:20">
      <c r="D222" s="385"/>
      <c r="E222" s="385"/>
      <c r="F222" s="385"/>
      <c r="G222" s="385"/>
      <c r="H222" s="385"/>
      <c r="I222" s="385"/>
      <c r="J222" s="385"/>
      <c r="K222" s="385"/>
      <c r="L222" s="385"/>
      <c r="M222" s="385"/>
      <c r="N222" s="385"/>
      <c r="O222" s="385"/>
      <c r="P222" s="385"/>
      <c r="Q222" s="385"/>
      <c r="R222" s="385"/>
      <c r="S222" s="385"/>
      <c r="T222" s="385"/>
    </row>
    <row r="223" spans="4:20">
      <c r="D223" s="385"/>
      <c r="E223" s="385"/>
      <c r="F223" s="385"/>
      <c r="G223" s="385"/>
      <c r="H223" s="385"/>
      <c r="I223" s="385"/>
      <c r="J223" s="385"/>
      <c r="K223" s="385"/>
      <c r="L223" s="385"/>
      <c r="M223" s="385"/>
      <c r="N223" s="385"/>
      <c r="O223" s="385"/>
      <c r="P223" s="385"/>
      <c r="Q223" s="385"/>
      <c r="R223" s="385"/>
      <c r="S223" s="385"/>
      <c r="T223" s="385"/>
    </row>
    <row r="224" spans="4:20">
      <c r="D224" s="385"/>
      <c r="E224" s="385"/>
      <c r="F224" s="385"/>
      <c r="G224" s="385"/>
      <c r="H224" s="385"/>
      <c r="I224" s="385"/>
      <c r="J224" s="385"/>
      <c r="K224" s="385"/>
      <c r="L224" s="385"/>
      <c r="M224" s="385"/>
      <c r="N224" s="385"/>
      <c r="O224" s="385"/>
      <c r="P224" s="385"/>
      <c r="Q224" s="385"/>
      <c r="R224" s="385"/>
      <c r="S224" s="385"/>
      <c r="T224" s="385"/>
    </row>
    <row r="225" spans="4:20">
      <c r="D225" s="385"/>
      <c r="E225" s="385"/>
      <c r="F225" s="385"/>
      <c r="G225" s="385"/>
      <c r="H225" s="385"/>
      <c r="I225" s="385"/>
      <c r="J225" s="385"/>
      <c r="K225" s="385"/>
      <c r="L225" s="385"/>
      <c r="M225" s="385"/>
      <c r="N225" s="385"/>
      <c r="O225" s="385"/>
      <c r="P225" s="385"/>
      <c r="Q225" s="385"/>
      <c r="R225" s="385"/>
      <c r="S225" s="385"/>
      <c r="T225" s="385"/>
    </row>
    <row r="226" spans="4:20">
      <c r="D226" s="385"/>
      <c r="E226" s="385"/>
      <c r="F226" s="385"/>
      <c r="G226" s="385"/>
      <c r="H226" s="385"/>
      <c r="I226" s="385"/>
      <c r="J226" s="385"/>
      <c r="K226" s="385"/>
      <c r="L226" s="385"/>
      <c r="M226" s="385"/>
      <c r="N226" s="385"/>
      <c r="O226" s="385"/>
      <c r="P226" s="385"/>
      <c r="Q226" s="385"/>
      <c r="R226" s="385"/>
      <c r="S226" s="385"/>
      <c r="T226" s="385"/>
    </row>
    <row r="227" spans="4:20">
      <c r="D227" s="385"/>
      <c r="E227" s="385"/>
      <c r="F227" s="385"/>
      <c r="G227" s="385"/>
      <c r="H227" s="385"/>
      <c r="I227" s="385"/>
      <c r="J227" s="385"/>
      <c r="K227" s="385"/>
      <c r="L227" s="385"/>
      <c r="M227" s="385"/>
      <c r="N227" s="385"/>
      <c r="O227" s="385"/>
      <c r="P227" s="385"/>
      <c r="Q227" s="385"/>
      <c r="R227" s="385"/>
      <c r="S227" s="385"/>
      <c r="T227" s="385"/>
    </row>
    <row r="228" spans="4:20">
      <c r="D228" s="385"/>
      <c r="E228" s="385"/>
      <c r="F228" s="385"/>
      <c r="G228" s="385"/>
      <c r="H228" s="385"/>
      <c r="I228" s="385"/>
      <c r="J228" s="385"/>
      <c r="K228" s="385"/>
      <c r="L228" s="385"/>
      <c r="M228" s="385"/>
      <c r="N228" s="385"/>
      <c r="O228" s="385"/>
      <c r="P228" s="385"/>
      <c r="Q228" s="385"/>
      <c r="R228" s="385"/>
      <c r="S228" s="385"/>
      <c r="T228" s="385"/>
    </row>
    <row r="229" spans="4:20">
      <c r="D229" s="385"/>
      <c r="E229" s="385"/>
      <c r="F229" s="385"/>
      <c r="G229" s="385"/>
      <c r="H229" s="385"/>
      <c r="I229" s="385"/>
      <c r="J229" s="385"/>
      <c r="K229" s="385"/>
      <c r="L229" s="385"/>
      <c r="M229" s="385"/>
      <c r="N229" s="385"/>
      <c r="O229" s="385"/>
      <c r="P229" s="385"/>
      <c r="Q229" s="385"/>
      <c r="R229" s="385"/>
      <c r="S229" s="385"/>
      <c r="T229" s="385"/>
    </row>
    <row r="230" spans="4:20">
      <c r="D230" s="385"/>
      <c r="E230" s="385"/>
      <c r="F230" s="385"/>
      <c r="G230" s="385"/>
      <c r="H230" s="385"/>
      <c r="I230" s="385"/>
      <c r="J230" s="385"/>
      <c r="K230" s="385"/>
      <c r="L230" s="385"/>
      <c r="M230" s="385"/>
      <c r="N230" s="385"/>
      <c r="O230" s="385"/>
      <c r="P230" s="385"/>
      <c r="Q230" s="385"/>
      <c r="R230" s="385"/>
      <c r="S230" s="385"/>
      <c r="T230" s="385"/>
    </row>
    <row r="231" spans="4:20">
      <c r="D231" s="385"/>
      <c r="E231" s="385"/>
      <c r="F231" s="385"/>
      <c r="G231" s="385"/>
      <c r="H231" s="385"/>
      <c r="I231" s="385"/>
      <c r="J231" s="385"/>
      <c r="K231" s="385"/>
      <c r="L231" s="385"/>
      <c r="M231" s="385"/>
      <c r="N231" s="385"/>
      <c r="O231" s="385"/>
      <c r="P231" s="385"/>
      <c r="Q231" s="385"/>
      <c r="R231" s="385"/>
      <c r="S231" s="385"/>
      <c r="T231" s="385"/>
    </row>
    <row r="232" spans="4:20">
      <c r="D232" s="385"/>
      <c r="E232" s="385"/>
      <c r="F232" s="385"/>
      <c r="G232" s="385"/>
      <c r="H232" s="385"/>
      <c r="I232" s="385"/>
      <c r="J232" s="385"/>
      <c r="K232" s="385"/>
      <c r="L232" s="385"/>
      <c r="M232" s="385"/>
      <c r="N232" s="385"/>
      <c r="O232" s="385"/>
      <c r="P232" s="385"/>
      <c r="Q232" s="385"/>
      <c r="R232" s="385"/>
      <c r="S232" s="385"/>
      <c r="T232" s="385"/>
    </row>
    <row r="233" spans="4:20">
      <c r="D233" s="385"/>
      <c r="E233" s="385"/>
      <c r="F233" s="385"/>
      <c r="G233" s="385"/>
      <c r="H233" s="385"/>
      <c r="I233" s="385"/>
      <c r="J233" s="385"/>
      <c r="K233" s="385"/>
      <c r="L233" s="385"/>
      <c r="M233" s="385"/>
      <c r="N233" s="385"/>
      <c r="O233" s="385"/>
      <c r="P233" s="385"/>
      <c r="Q233" s="385"/>
      <c r="R233" s="385"/>
      <c r="S233" s="385"/>
      <c r="T233" s="385"/>
    </row>
    <row r="234" spans="4:20">
      <c r="D234" s="385"/>
      <c r="E234" s="385"/>
      <c r="F234" s="385"/>
      <c r="G234" s="385"/>
      <c r="H234" s="385"/>
      <c r="I234" s="385"/>
      <c r="J234" s="385"/>
      <c r="K234" s="385"/>
      <c r="L234" s="385"/>
      <c r="M234" s="385"/>
      <c r="N234" s="385"/>
      <c r="O234" s="385"/>
      <c r="P234" s="385"/>
      <c r="Q234" s="385"/>
      <c r="R234" s="385"/>
      <c r="S234" s="385"/>
      <c r="T234" s="385"/>
    </row>
    <row r="235" spans="4:20">
      <c r="D235" s="385"/>
      <c r="E235" s="385"/>
      <c r="F235" s="385"/>
      <c r="G235" s="385"/>
      <c r="H235" s="385"/>
      <c r="I235" s="385"/>
      <c r="J235" s="385"/>
      <c r="K235" s="385"/>
      <c r="L235" s="385"/>
      <c r="M235" s="385"/>
      <c r="N235" s="385"/>
      <c r="O235" s="385"/>
      <c r="P235" s="385"/>
      <c r="Q235" s="385"/>
      <c r="R235" s="385"/>
      <c r="S235" s="385"/>
      <c r="T235" s="385"/>
    </row>
    <row r="236" spans="4:20">
      <c r="D236" s="385"/>
      <c r="E236" s="385"/>
      <c r="F236" s="385"/>
      <c r="G236" s="385"/>
      <c r="H236" s="385"/>
      <c r="I236" s="385"/>
      <c r="J236" s="385"/>
      <c r="K236" s="385"/>
      <c r="L236" s="385"/>
      <c r="M236" s="385"/>
      <c r="N236" s="385"/>
      <c r="O236" s="385"/>
      <c r="P236" s="385"/>
      <c r="Q236" s="385"/>
      <c r="R236" s="385"/>
      <c r="S236" s="385"/>
      <c r="T236" s="385"/>
    </row>
    <row r="237" spans="4:20">
      <c r="D237" s="385"/>
      <c r="E237" s="385"/>
      <c r="F237" s="385"/>
      <c r="G237" s="385"/>
      <c r="H237" s="385"/>
      <c r="I237" s="385"/>
      <c r="J237" s="385"/>
      <c r="K237" s="385"/>
      <c r="L237" s="385"/>
      <c r="M237" s="385"/>
      <c r="N237" s="385"/>
      <c r="O237" s="385"/>
      <c r="P237" s="385"/>
      <c r="Q237" s="385"/>
      <c r="R237" s="385"/>
      <c r="S237" s="385"/>
      <c r="T237" s="385"/>
    </row>
    <row r="238" spans="4:20">
      <c r="D238" s="385"/>
      <c r="E238" s="385"/>
      <c r="F238" s="385"/>
      <c r="G238" s="385"/>
      <c r="H238" s="385"/>
      <c r="I238" s="385"/>
      <c r="J238" s="385"/>
      <c r="K238" s="385"/>
      <c r="L238" s="385"/>
      <c r="M238" s="385"/>
      <c r="N238" s="385"/>
      <c r="O238" s="385"/>
      <c r="P238" s="385"/>
      <c r="Q238" s="385"/>
      <c r="R238" s="385"/>
      <c r="S238" s="385"/>
      <c r="T238" s="385"/>
    </row>
    <row r="239" spans="4:20">
      <c r="D239" s="385"/>
      <c r="E239" s="385"/>
      <c r="F239" s="385"/>
      <c r="G239" s="385"/>
      <c r="H239" s="385"/>
      <c r="I239" s="385"/>
      <c r="J239" s="385"/>
      <c r="K239" s="385"/>
      <c r="L239" s="385"/>
      <c r="M239" s="385"/>
      <c r="N239" s="385"/>
      <c r="O239" s="385"/>
      <c r="P239" s="385"/>
      <c r="Q239" s="385"/>
      <c r="R239" s="385"/>
      <c r="S239" s="385"/>
      <c r="T239" s="385"/>
    </row>
    <row r="240" spans="4:20">
      <c r="D240" s="385"/>
      <c r="E240" s="385"/>
      <c r="F240" s="385"/>
      <c r="G240" s="385"/>
      <c r="H240" s="385"/>
      <c r="I240" s="385"/>
      <c r="J240" s="385"/>
      <c r="K240" s="385"/>
      <c r="L240" s="385"/>
      <c r="M240" s="385"/>
      <c r="N240" s="385"/>
      <c r="O240" s="385"/>
      <c r="P240" s="385"/>
      <c r="Q240" s="385"/>
      <c r="R240" s="385"/>
      <c r="S240" s="385"/>
      <c r="T240" s="385"/>
    </row>
    <row r="241" spans="4:20">
      <c r="D241" s="385"/>
      <c r="E241" s="385"/>
      <c r="F241" s="385"/>
      <c r="G241" s="385"/>
      <c r="H241" s="385"/>
      <c r="I241" s="385"/>
      <c r="J241" s="385"/>
      <c r="K241" s="385"/>
      <c r="L241" s="385"/>
      <c r="M241" s="385"/>
      <c r="N241" s="385"/>
      <c r="O241" s="385"/>
      <c r="P241" s="385"/>
      <c r="Q241" s="385"/>
      <c r="R241" s="385"/>
      <c r="S241" s="385"/>
      <c r="T241" s="385"/>
    </row>
    <row r="242" spans="4:20">
      <c r="D242" s="385"/>
      <c r="E242" s="385"/>
      <c r="F242" s="385"/>
      <c r="G242" s="385"/>
      <c r="H242" s="385"/>
      <c r="I242" s="385"/>
      <c r="J242" s="385"/>
      <c r="K242" s="385"/>
      <c r="L242" s="385"/>
      <c r="M242" s="385"/>
      <c r="N242" s="385"/>
      <c r="O242" s="385"/>
      <c r="P242" s="385"/>
      <c r="Q242" s="385"/>
      <c r="R242" s="385"/>
      <c r="S242" s="385"/>
      <c r="T242" s="385"/>
    </row>
    <row r="243" spans="4:20">
      <c r="D243" s="385"/>
      <c r="E243" s="385"/>
      <c r="F243" s="385"/>
      <c r="G243" s="385"/>
      <c r="H243" s="385"/>
      <c r="I243" s="385"/>
      <c r="J243" s="385"/>
      <c r="K243" s="385"/>
      <c r="L243" s="385"/>
      <c r="M243" s="385"/>
      <c r="N243" s="385"/>
      <c r="O243" s="385"/>
      <c r="P243" s="385"/>
      <c r="Q243" s="385"/>
      <c r="R243" s="385"/>
      <c r="S243" s="385"/>
      <c r="T243" s="385"/>
    </row>
    <row r="244" spans="4:20">
      <c r="D244" s="385"/>
      <c r="E244" s="385"/>
      <c r="F244" s="385"/>
      <c r="G244" s="385"/>
      <c r="H244" s="385"/>
      <c r="I244" s="385"/>
      <c r="J244" s="385"/>
      <c r="K244" s="385"/>
      <c r="L244" s="385"/>
      <c r="M244" s="385"/>
      <c r="N244" s="385"/>
      <c r="O244" s="385"/>
      <c r="P244" s="385"/>
      <c r="Q244" s="385"/>
      <c r="R244" s="385"/>
      <c r="S244" s="385"/>
      <c r="T244" s="385"/>
    </row>
    <row r="245" spans="4:20">
      <c r="D245" s="385"/>
      <c r="E245" s="385"/>
      <c r="F245" s="385"/>
      <c r="G245" s="385"/>
      <c r="H245" s="385"/>
      <c r="I245" s="385"/>
      <c r="J245" s="385"/>
      <c r="K245" s="385"/>
      <c r="L245" s="385"/>
      <c r="M245" s="385"/>
      <c r="N245" s="385"/>
      <c r="O245" s="385"/>
      <c r="P245" s="385"/>
      <c r="Q245" s="385"/>
      <c r="R245" s="385"/>
      <c r="S245" s="385"/>
      <c r="T245" s="385"/>
    </row>
    <row r="246" spans="4:20">
      <c r="D246" s="385"/>
      <c r="E246" s="385"/>
      <c r="F246" s="385"/>
      <c r="G246" s="385"/>
      <c r="H246" s="385"/>
      <c r="I246" s="385"/>
      <c r="J246" s="385"/>
      <c r="K246" s="385"/>
      <c r="L246" s="385"/>
      <c r="M246" s="385"/>
      <c r="N246" s="385"/>
      <c r="O246" s="385"/>
      <c r="P246" s="385"/>
      <c r="Q246" s="385"/>
      <c r="R246" s="385"/>
      <c r="S246" s="385"/>
      <c r="T246" s="385"/>
    </row>
    <row r="247" spans="4:20">
      <c r="D247" s="385"/>
      <c r="E247" s="385"/>
      <c r="F247" s="385"/>
      <c r="G247" s="385"/>
      <c r="H247" s="385"/>
      <c r="I247" s="385"/>
      <c r="J247" s="385"/>
      <c r="K247" s="385"/>
      <c r="L247" s="385"/>
      <c r="M247" s="385"/>
      <c r="N247" s="385"/>
      <c r="O247" s="385"/>
      <c r="P247" s="385"/>
      <c r="Q247" s="385"/>
      <c r="R247" s="385"/>
      <c r="S247" s="385"/>
      <c r="T247" s="385"/>
    </row>
    <row r="248" spans="4:20">
      <c r="D248" s="385"/>
      <c r="E248" s="385"/>
      <c r="F248" s="385"/>
      <c r="G248" s="385"/>
      <c r="H248" s="385"/>
      <c r="I248" s="385"/>
      <c r="J248" s="385"/>
      <c r="K248" s="385"/>
      <c r="L248" s="385"/>
      <c r="M248" s="385"/>
      <c r="N248" s="385"/>
      <c r="O248" s="385"/>
      <c r="P248" s="385"/>
      <c r="Q248" s="385"/>
      <c r="R248" s="385"/>
      <c r="S248" s="385"/>
      <c r="T248" s="385"/>
    </row>
    <row r="249" spans="4:20">
      <c r="D249" s="385"/>
      <c r="E249" s="385"/>
      <c r="F249" s="385"/>
      <c r="G249" s="385"/>
      <c r="H249" s="385"/>
      <c r="I249" s="385"/>
      <c r="J249" s="385"/>
      <c r="K249" s="385"/>
      <c r="L249" s="385"/>
      <c r="M249" s="385"/>
      <c r="N249" s="385"/>
      <c r="O249" s="385"/>
      <c r="P249" s="385"/>
      <c r="Q249" s="385"/>
      <c r="R249" s="385"/>
      <c r="S249" s="385"/>
      <c r="T249" s="385"/>
    </row>
    <row r="250" spans="4:20">
      <c r="D250" s="385"/>
      <c r="E250" s="385"/>
      <c r="F250" s="385"/>
      <c r="G250" s="385"/>
      <c r="H250" s="385"/>
      <c r="I250" s="385"/>
      <c r="J250" s="385"/>
      <c r="K250" s="385"/>
      <c r="L250" s="385"/>
      <c r="M250" s="385"/>
      <c r="N250" s="385"/>
      <c r="O250" s="385"/>
      <c r="P250" s="385"/>
      <c r="Q250" s="385"/>
      <c r="R250" s="385"/>
      <c r="S250" s="385"/>
      <c r="T250" s="385"/>
    </row>
    <row r="251" spans="4:20">
      <c r="D251" s="385"/>
      <c r="E251" s="385"/>
      <c r="F251" s="385"/>
      <c r="G251" s="385"/>
      <c r="H251" s="385"/>
      <c r="I251" s="385"/>
      <c r="J251" s="385"/>
      <c r="K251" s="385"/>
      <c r="L251" s="385"/>
      <c r="M251" s="385"/>
      <c r="N251" s="385"/>
      <c r="O251" s="385"/>
      <c r="P251" s="385"/>
      <c r="Q251" s="385"/>
      <c r="R251" s="385"/>
      <c r="S251" s="385"/>
      <c r="T251" s="385"/>
    </row>
    <row r="252" spans="4:20">
      <c r="D252" s="385"/>
      <c r="E252" s="385"/>
      <c r="F252" s="385"/>
      <c r="G252" s="385"/>
      <c r="H252" s="385"/>
      <c r="I252" s="385"/>
      <c r="J252" s="385"/>
      <c r="K252" s="385"/>
      <c r="L252" s="385"/>
      <c r="M252" s="385"/>
      <c r="N252" s="385"/>
      <c r="O252" s="385"/>
      <c r="P252" s="385"/>
      <c r="Q252" s="385"/>
      <c r="R252" s="385"/>
      <c r="S252" s="385"/>
      <c r="T252" s="385"/>
    </row>
    <row r="253" spans="4:20">
      <c r="D253" s="385"/>
      <c r="E253" s="385"/>
      <c r="F253" s="385"/>
      <c r="G253" s="385"/>
      <c r="H253" s="385"/>
      <c r="I253" s="385"/>
      <c r="J253" s="385"/>
      <c r="K253" s="385"/>
      <c r="L253" s="385"/>
      <c r="M253" s="385"/>
      <c r="N253" s="385"/>
      <c r="O253" s="385"/>
      <c r="P253" s="385"/>
      <c r="Q253" s="385"/>
      <c r="R253" s="385"/>
      <c r="S253" s="385"/>
      <c r="T253" s="385"/>
    </row>
    <row r="254" spans="4:20">
      <c r="D254" s="385"/>
      <c r="E254" s="385"/>
      <c r="F254" s="385"/>
      <c r="G254" s="385"/>
      <c r="H254" s="385"/>
      <c r="I254" s="385"/>
      <c r="J254" s="385"/>
      <c r="K254" s="385"/>
      <c r="L254" s="385"/>
      <c r="M254" s="385"/>
      <c r="N254" s="385"/>
      <c r="O254" s="385"/>
      <c r="P254" s="385"/>
      <c r="Q254" s="385"/>
      <c r="R254" s="385"/>
      <c r="S254" s="385"/>
      <c r="T254" s="385"/>
    </row>
    <row r="255" spans="4:20">
      <c r="D255" s="385"/>
      <c r="E255" s="385"/>
      <c r="F255" s="385"/>
      <c r="G255" s="385"/>
      <c r="H255" s="385"/>
      <c r="I255" s="385"/>
      <c r="J255" s="385"/>
      <c r="K255" s="385"/>
      <c r="L255" s="385"/>
      <c r="M255" s="385"/>
      <c r="N255" s="385"/>
      <c r="O255" s="385"/>
      <c r="P255" s="385"/>
      <c r="Q255" s="385"/>
      <c r="R255" s="385"/>
      <c r="S255" s="385"/>
      <c r="T255" s="385"/>
    </row>
    <row r="256" spans="4:20">
      <c r="D256" s="385"/>
      <c r="E256" s="385"/>
      <c r="F256" s="385"/>
      <c r="G256" s="385"/>
      <c r="H256" s="385"/>
      <c r="I256" s="385"/>
      <c r="J256" s="385"/>
      <c r="K256" s="385"/>
      <c r="L256" s="385"/>
      <c r="M256" s="385"/>
      <c r="N256" s="385"/>
      <c r="O256" s="385"/>
      <c r="P256" s="385"/>
      <c r="Q256" s="385"/>
      <c r="R256" s="385"/>
      <c r="S256" s="385"/>
      <c r="T256" s="385"/>
    </row>
    <row r="257" spans="4:20">
      <c r="D257" s="385"/>
      <c r="E257" s="385"/>
      <c r="F257" s="385"/>
      <c r="G257" s="385"/>
      <c r="H257" s="385"/>
      <c r="I257" s="385"/>
      <c r="J257" s="385"/>
      <c r="K257" s="385"/>
      <c r="L257" s="385"/>
      <c r="M257" s="385"/>
      <c r="N257" s="385"/>
      <c r="O257" s="385"/>
      <c r="P257" s="385"/>
      <c r="Q257" s="385"/>
      <c r="R257" s="385"/>
      <c r="S257" s="385"/>
      <c r="T257" s="385"/>
    </row>
    <row r="258" spans="4:20">
      <c r="D258" s="385"/>
      <c r="E258" s="385"/>
      <c r="F258" s="385"/>
      <c r="G258" s="385"/>
      <c r="H258" s="385"/>
      <c r="I258" s="385"/>
      <c r="J258" s="385"/>
      <c r="K258" s="385"/>
      <c r="L258" s="385"/>
      <c r="M258" s="385"/>
      <c r="N258" s="385"/>
      <c r="O258" s="385"/>
      <c r="P258" s="385"/>
      <c r="Q258" s="385"/>
      <c r="R258" s="385"/>
      <c r="S258" s="385"/>
      <c r="T258" s="385"/>
    </row>
    <row r="259" spans="4:20">
      <c r="D259" s="385"/>
      <c r="E259" s="385"/>
      <c r="F259" s="385"/>
      <c r="G259" s="385"/>
      <c r="H259" s="385"/>
      <c r="I259" s="385"/>
      <c r="J259" s="385"/>
      <c r="K259" s="385"/>
      <c r="L259" s="385"/>
      <c r="M259" s="385"/>
      <c r="N259" s="385"/>
      <c r="O259" s="385"/>
      <c r="P259" s="385"/>
      <c r="Q259" s="385"/>
      <c r="R259" s="385"/>
      <c r="S259" s="385"/>
      <c r="T259" s="385"/>
    </row>
    <row r="260" spans="4:20">
      <c r="D260" s="385"/>
      <c r="E260" s="385"/>
      <c r="F260" s="385"/>
      <c r="G260" s="385"/>
      <c r="H260" s="385"/>
      <c r="I260" s="385"/>
      <c r="J260" s="385"/>
      <c r="K260" s="385"/>
      <c r="L260" s="385"/>
      <c r="M260" s="385"/>
      <c r="N260" s="385"/>
      <c r="O260" s="385"/>
      <c r="P260" s="385"/>
      <c r="Q260" s="385"/>
      <c r="R260" s="385"/>
      <c r="S260" s="385"/>
      <c r="T260" s="385"/>
    </row>
    <row r="261" spans="4:20">
      <c r="D261" s="385"/>
      <c r="E261" s="385"/>
      <c r="F261" s="385"/>
      <c r="G261" s="385"/>
      <c r="H261" s="385"/>
      <c r="I261" s="385"/>
      <c r="J261" s="385"/>
      <c r="K261" s="385"/>
      <c r="L261" s="385"/>
      <c r="M261" s="385"/>
      <c r="N261" s="385"/>
      <c r="O261" s="385"/>
      <c r="P261" s="385"/>
      <c r="Q261" s="385"/>
      <c r="R261" s="385"/>
      <c r="S261" s="385"/>
      <c r="T261" s="385"/>
    </row>
    <row r="262" spans="4:20">
      <c r="D262" s="385"/>
      <c r="E262" s="385"/>
      <c r="F262" s="385"/>
      <c r="G262" s="385"/>
      <c r="H262" s="385"/>
      <c r="I262" s="385"/>
      <c r="J262" s="385"/>
      <c r="K262" s="385"/>
      <c r="L262" s="385"/>
      <c r="M262" s="385"/>
      <c r="N262" s="385"/>
      <c r="O262" s="385"/>
      <c r="P262" s="385"/>
      <c r="Q262" s="385"/>
      <c r="R262" s="385"/>
      <c r="S262" s="385"/>
      <c r="T262" s="385"/>
    </row>
    <row r="263" spans="4:20">
      <c r="D263" s="385"/>
      <c r="E263" s="385"/>
      <c r="F263" s="385"/>
      <c r="G263" s="385"/>
      <c r="H263" s="385"/>
      <c r="I263" s="385"/>
      <c r="J263" s="385"/>
      <c r="K263" s="385"/>
      <c r="L263" s="385"/>
      <c r="M263" s="385"/>
      <c r="N263" s="385"/>
      <c r="O263" s="385"/>
      <c r="P263" s="385"/>
      <c r="Q263" s="385"/>
      <c r="R263" s="385"/>
      <c r="S263" s="385"/>
      <c r="T263" s="385"/>
    </row>
    <row r="264" spans="4:20">
      <c r="D264" s="385"/>
      <c r="E264" s="385"/>
      <c r="F264" s="385"/>
      <c r="G264" s="385"/>
      <c r="H264" s="385"/>
      <c r="I264" s="385"/>
      <c r="J264" s="385"/>
      <c r="K264" s="385"/>
      <c r="L264" s="385"/>
      <c r="M264" s="385"/>
      <c r="N264" s="385"/>
      <c r="O264" s="385"/>
      <c r="P264" s="385"/>
      <c r="Q264" s="385"/>
      <c r="R264" s="385"/>
      <c r="S264" s="385"/>
      <c r="T264" s="385"/>
    </row>
    <row r="265" spans="4:20">
      <c r="D265" s="385"/>
      <c r="E265" s="385"/>
      <c r="F265" s="385"/>
      <c r="G265" s="385"/>
      <c r="H265" s="385"/>
      <c r="I265" s="385"/>
      <c r="J265" s="385"/>
      <c r="K265" s="385"/>
      <c r="L265" s="385"/>
      <c r="M265" s="385"/>
      <c r="N265" s="385"/>
      <c r="O265" s="385"/>
      <c r="P265" s="385"/>
      <c r="Q265" s="385"/>
      <c r="R265" s="385"/>
      <c r="S265" s="385"/>
      <c r="T265" s="385"/>
    </row>
    <row r="266" spans="4:20">
      <c r="D266" s="385"/>
      <c r="E266" s="385"/>
      <c r="F266" s="385"/>
      <c r="G266" s="385"/>
      <c r="H266" s="385"/>
      <c r="I266" s="385"/>
      <c r="J266" s="385"/>
      <c r="K266" s="385"/>
      <c r="L266" s="385"/>
      <c r="M266" s="385"/>
      <c r="N266" s="385"/>
      <c r="O266" s="385"/>
      <c r="P266" s="385"/>
      <c r="Q266" s="385"/>
      <c r="R266" s="385"/>
      <c r="S266" s="385"/>
      <c r="T266" s="385"/>
    </row>
    <row r="267" spans="4:20">
      <c r="D267" s="385"/>
      <c r="E267" s="385"/>
      <c r="F267" s="385"/>
      <c r="G267" s="385"/>
      <c r="H267" s="385"/>
      <c r="I267" s="385"/>
      <c r="J267" s="385"/>
      <c r="K267" s="385"/>
      <c r="L267" s="385"/>
      <c r="M267" s="385"/>
      <c r="N267" s="385"/>
      <c r="O267" s="385"/>
      <c r="P267" s="385"/>
      <c r="Q267" s="385"/>
      <c r="R267" s="385"/>
      <c r="S267" s="385"/>
      <c r="T267" s="385"/>
    </row>
    <row r="268" spans="4:20">
      <c r="D268" s="385"/>
      <c r="E268" s="385"/>
      <c r="F268" s="385"/>
      <c r="G268" s="385"/>
      <c r="H268" s="385"/>
      <c r="I268" s="385"/>
      <c r="J268" s="385"/>
      <c r="K268" s="385"/>
      <c r="L268" s="385"/>
      <c r="M268" s="385"/>
      <c r="N268" s="385"/>
      <c r="O268" s="385"/>
      <c r="P268" s="385"/>
      <c r="Q268" s="385"/>
      <c r="R268" s="385"/>
      <c r="S268" s="385"/>
      <c r="T268" s="385"/>
    </row>
    <row r="269" spans="4:20">
      <c r="D269" s="385"/>
      <c r="E269" s="385"/>
      <c r="F269" s="385"/>
      <c r="G269" s="385"/>
      <c r="H269" s="385"/>
      <c r="I269" s="385"/>
      <c r="J269" s="385"/>
      <c r="K269" s="385"/>
      <c r="L269" s="385"/>
      <c r="M269" s="385"/>
      <c r="N269" s="385"/>
      <c r="O269" s="385"/>
      <c r="P269" s="385"/>
      <c r="Q269" s="385"/>
      <c r="R269" s="385"/>
      <c r="S269" s="385"/>
      <c r="T269" s="385"/>
    </row>
    <row r="270" spans="4:20">
      <c r="D270" s="385"/>
      <c r="E270" s="385"/>
      <c r="F270" s="385"/>
      <c r="G270" s="385"/>
      <c r="H270" s="385"/>
      <c r="I270" s="385"/>
      <c r="J270" s="385"/>
      <c r="K270" s="385"/>
      <c r="L270" s="385"/>
      <c r="M270" s="385"/>
      <c r="N270" s="385"/>
      <c r="O270" s="385"/>
      <c r="P270" s="385"/>
      <c r="Q270" s="385"/>
      <c r="R270" s="385"/>
      <c r="S270" s="385"/>
      <c r="T270" s="385"/>
    </row>
    <row r="271" spans="4:20">
      <c r="D271" s="385"/>
      <c r="E271" s="385"/>
      <c r="F271" s="385"/>
      <c r="G271" s="385"/>
      <c r="H271" s="385"/>
      <c r="I271" s="385"/>
      <c r="J271" s="385"/>
      <c r="K271" s="385"/>
      <c r="L271" s="385"/>
      <c r="M271" s="385"/>
      <c r="N271" s="385"/>
      <c r="O271" s="385"/>
      <c r="P271" s="385"/>
      <c r="Q271" s="385"/>
      <c r="R271" s="385"/>
      <c r="S271" s="385"/>
      <c r="T271" s="385"/>
    </row>
    <row r="272" spans="4:20">
      <c r="D272" s="385"/>
      <c r="E272" s="385"/>
      <c r="F272" s="385"/>
      <c r="G272" s="385"/>
      <c r="H272" s="385"/>
      <c r="I272" s="385"/>
      <c r="J272" s="385"/>
      <c r="K272" s="385"/>
      <c r="L272" s="385"/>
      <c r="M272" s="385"/>
      <c r="N272" s="385"/>
      <c r="O272" s="385"/>
      <c r="P272" s="385"/>
      <c r="Q272" s="385"/>
      <c r="R272" s="385"/>
      <c r="S272" s="385"/>
      <c r="T272" s="385"/>
    </row>
    <row r="273" spans="4:20">
      <c r="D273" s="385"/>
      <c r="E273" s="385"/>
      <c r="F273" s="385"/>
      <c r="G273" s="385"/>
      <c r="H273" s="385"/>
      <c r="I273" s="385"/>
      <c r="J273" s="385"/>
      <c r="K273" s="385"/>
      <c r="L273" s="385"/>
      <c r="M273" s="385"/>
      <c r="N273" s="385"/>
      <c r="O273" s="385"/>
      <c r="P273" s="385"/>
      <c r="Q273" s="385"/>
      <c r="R273" s="385"/>
      <c r="S273" s="385"/>
      <c r="T273" s="385"/>
    </row>
    <row r="274" spans="4:20">
      <c r="D274" s="385"/>
      <c r="E274" s="385"/>
      <c r="F274" s="385"/>
      <c r="G274" s="385"/>
      <c r="H274" s="385"/>
      <c r="I274" s="385"/>
      <c r="J274" s="385"/>
      <c r="K274" s="385"/>
      <c r="L274" s="385"/>
      <c r="M274" s="385"/>
      <c r="N274" s="385"/>
      <c r="O274" s="385"/>
      <c r="P274" s="385"/>
      <c r="Q274" s="385"/>
      <c r="R274" s="385"/>
      <c r="S274" s="385"/>
      <c r="T274" s="385"/>
    </row>
    <row r="275" spans="4:20">
      <c r="D275" s="385"/>
      <c r="E275" s="385"/>
      <c r="F275" s="385"/>
      <c r="G275" s="385"/>
      <c r="H275" s="385"/>
      <c r="I275" s="385"/>
      <c r="J275" s="385"/>
      <c r="K275" s="385"/>
      <c r="L275" s="385"/>
      <c r="M275" s="385"/>
      <c r="N275" s="385"/>
      <c r="O275" s="385"/>
      <c r="P275" s="385"/>
      <c r="Q275" s="385"/>
      <c r="R275" s="385"/>
      <c r="S275" s="385"/>
      <c r="T275" s="385"/>
    </row>
    <row r="276" spans="4:20">
      <c r="D276" s="385"/>
      <c r="E276" s="385"/>
      <c r="F276" s="385"/>
      <c r="G276" s="385"/>
      <c r="H276" s="385"/>
      <c r="I276" s="385"/>
      <c r="J276" s="385"/>
      <c r="K276" s="385"/>
      <c r="L276" s="385"/>
      <c r="M276" s="385"/>
      <c r="N276" s="385"/>
      <c r="O276" s="385"/>
      <c r="P276" s="385"/>
      <c r="Q276" s="385"/>
      <c r="R276" s="385"/>
      <c r="S276" s="385"/>
      <c r="T276" s="385"/>
    </row>
    <row r="277" spans="4:20">
      <c r="D277" s="385"/>
      <c r="E277" s="385"/>
      <c r="F277" s="385"/>
      <c r="G277" s="385"/>
      <c r="H277" s="385"/>
      <c r="I277" s="385"/>
      <c r="J277" s="385"/>
      <c r="K277" s="385"/>
      <c r="L277" s="385"/>
      <c r="M277" s="385"/>
      <c r="N277" s="385"/>
      <c r="O277" s="385"/>
      <c r="P277" s="385"/>
      <c r="Q277" s="385"/>
      <c r="R277" s="385"/>
      <c r="S277" s="385"/>
      <c r="T277" s="385"/>
    </row>
    <row r="278" spans="4:20">
      <c r="D278" s="385"/>
      <c r="E278" s="385"/>
      <c r="F278" s="385"/>
      <c r="G278" s="385"/>
      <c r="H278" s="385"/>
      <c r="I278" s="385"/>
      <c r="J278" s="385"/>
      <c r="K278" s="385"/>
      <c r="L278" s="385"/>
      <c r="M278" s="385"/>
      <c r="N278" s="385"/>
      <c r="O278" s="385"/>
      <c r="P278" s="385"/>
      <c r="Q278" s="385"/>
      <c r="R278" s="385"/>
      <c r="S278" s="385"/>
      <c r="T278" s="385"/>
    </row>
    <row r="279" spans="4:20">
      <c r="D279" s="385"/>
      <c r="E279" s="385"/>
      <c r="F279" s="385"/>
      <c r="G279" s="385"/>
      <c r="H279" s="385"/>
      <c r="I279" s="385"/>
      <c r="J279" s="385"/>
      <c r="K279" s="385"/>
      <c r="L279" s="385"/>
      <c r="M279" s="385"/>
      <c r="N279" s="385"/>
      <c r="O279" s="385"/>
      <c r="P279" s="385"/>
      <c r="Q279" s="385"/>
      <c r="R279" s="385"/>
      <c r="S279" s="385"/>
      <c r="T279" s="385"/>
    </row>
    <row r="280" spans="4:20">
      <c r="D280" s="385"/>
      <c r="E280" s="385"/>
      <c r="F280" s="385"/>
      <c r="G280" s="385"/>
      <c r="H280" s="385"/>
      <c r="I280" s="385"/>
      <c r="J280" s="385"/>
      <c r="K280" s="385"/>
      <c r="L280" s="385"/>
      <c r="M280" s="385"/>
      <c r="N280" s="385"/>
      <c r="O280" s="385"/>
      <c r="P280" s="385"/>
      <c r="Q280" s="385"/>
      <c r="R280" s="385"/>
      <c r="S280" s="385"/>
      <c r="T280" s="385"/>
    </row>
    <row r="281" spans="4:20">
      <c r="D281" s="385"/>
      <c r="E281" s="385"/>
      <c r="F281" s="385"/>
      <c r="G281" s="385"/>
      <c r="H281" s="385"/>
      <c r="I281" s="385"/>
      <c r="J281" s="385"/>
      <c r="K281" s="385"/>
      <c r="L281" s="385"/>
      <c r="M281" s="385"/>
      <c r="N281" s="385"/>
      <c r="O281" s="385"/>
      <c r="P281" s="385"/>
      <c r="Q281" s="385"/>
      <c r="R281" s="385"/>
      <c r="S281" s="385"/>
      <c r="T281" s="385"/>
    </row>
    <row r="282" spans="4:20">
      <c r="D282" s="385"/>
      <c r="E282" s="385"/>
      <c r="F282" s="385"/>
      <c r="G282" s="385"/>
      <c r="H282" s="385"/>
      <c r="I282" s="385"/>
      <c r="J282" s="385"/>
      <c r="K282" s="385"/>
      <c r="L282" s="385"/>
      <c r="M282" s="385"/>
      <c r="N282" s="385"/>
      <c r="O282" s="385"/>
      <c r="P282" s="385"/>
      <c r="Q282" s="385"/>
      <c r="R282" s="385"/>
      <c r="S282" s="385"/>
      <c r="T282" s="385"/>
    </row>
    <row r="283" spans="4:20">
      <c r="D283" s="385"/>
      <c r="E283" s="385"/>
      <c r="F283" s="385"/>
      <c r="G283" s="385"/>
      <c r="H283" s="385"/>
      <c r="I283" s="385"/>
      <c r="J283" s="385"/>
      <c r="K283" s="385"/>
      <c r="L283" s="385"/>
      <c r="M283" s="385"/>
      <c r="N283" s="385"/>
      <c r="O283" s="385"/>
      <c r="P283" s="385"/>
      <c r="Q283" s="385"/>
      <c r="R283" s="385"/>
      <c r="S283" s="385"/>
      <c r="T283" s="385"/>
    </row>
    <row r="284" spans="4:20">
      <c r="D284" s="385"/>
      <c r="E284" s="385"/>
      <c r="F284" s="385"/>
      <c r="G284" s="385"/>
      <c r="H284" s="385"/>
      <c r="I284" s="385"/>
      <c r="J284" s="385"/>
      <c r="K284" s="385"/>
      <c r="L284" s="385"/>
      <c r="M284" s="385"/>
      <c r="N284" s="385"/>
      <c r="O284" s="385"/>
      <c r="P284" s="385"/>
      <c r="Q284" s="385"/>
      <c r="R284" s="385"/>
      <c r="S284" s="385"/>
      <c r="T284" s="385"/>
    </row>
    <row r="285" spans="4:20">
      <c r="D285" s="385"/>
      <c r="E285" s="385"/>
      <c r="F285" s="385"/>
      <c r="G285" s="385"/>
      <c r="H285" s="385"/>
      <c r="I285" s="385"/>
      <c r="J285" s="385"/>
      <c r="K285" s="385"/>
      <c r="L285" s="385"/>
      <c r="M285" s="385"/>
      <c r="N285" s="385"/>
      <c r="O285" s="385"/>
      <c r="P285" s="385"/>
      <c r="Q285" s="385"/>
      <c r="R285" s="385"/>
      <c r="S285" s="385"/>
      <c r="T285" s="385"/>
    </row>
    <row r="286" spans="4:20">
      <c r="D286" s="385"/>
      <c r="E286" s="385"/>
      <c r="F286" s="385"/>
      <c r="G286" s="385"/>
      <c r="H286" s="385"/>
      <c r="I286" s="385"/>
      <c r="J286" s="385"/>
      <c r="K286" s="385"/>
      <c r="L286" s="385"/>
      <c r="M286" s="385"/>
      <c r="N286" s="385"/>
      <c r="O286" s="385"/>
      <c r="P286" s="385"/>
      <c r="Q286" s="385"/>
      <c r="R286" s="385"/>
      <c r="S286" s="385"/>
      <c r="T286" s="385"/>
    </row>
    <row r="287" spans="4:20">
      <c r="D287" s="385"/>
      <c r="E287" s="385"/>
      <c r="F287" s="385"/>
      <c r="G287" s="385"/>
      <c r="H287" s="385"/>
      <c r="I287" s="385"/>
      <c r="J287" s="385"/>
      <c r="K287" s="385"/>
      <c r="L287" s="385"/>
      <c r="M287" s="385"/>
      <c r="N287" s="385"/>
      <c r="O287" s="385"/>
      <c r="P287" s="385"/>
      <c r="Q287" s="385"/>
      <c r="R287" s="385"/>
      <c r="S287" s="385"/>
      <c r="T287" s="385"/>
    </row>
    <row r="288" spans="4:20">
      <c r="D288" s="385"/>
      <c r="E288" s="385"/>
      <c r="F288" s="385"/>
      <c r="G288" s="385"/>
      <c r="H288" s="385"/>
      <c r="I288" s="385"/>
      <c r="J288" s="385"/>
      <c r="K288" s="385"/>
      <c r="L288" s="385"/>
      <c r="M288" s="385"/>
      <c r="N288" s="385"/>
      <c r="O288" s="385"/>
      <c r="P288" s="385"/>
      <c r="Q288" s="385"/>
      <c r="R288" s="385"/>
      <c r="S288" s="385"/>
      <c r="T288" s="385"/>
    </row>
    <row r="289" spans="4:20">
      <c r="D289" s="385"/>
      <c r="E289" s="385"/>
      <c r="F289" s="385"/>
      <c r="G289" s="385"/>
      <c r="H289" s="385"/>
      <c r="I289" s="385"/>
      <c r="J289" s="385"/>
      <c r="K289" s="385"/>
      <c r="L289" s="385"/>
      <c r="M289" s="385"/>
      <c r="N289" s="385"/>
      <c r="O289" s="385"/>
      <c r="P289" s="385"/>
      <c r="Q289" s="385"/>
      <c r="R289" s="385"/>
      <c r="S289" s="385"/>
      <c r="T289" s="385"/>
    </row>
    <row r="290" spans="4:20">
      <c r="D290" s="385"/>
      <c r="E290" s="385"/>
      <c r="F290" s="385"/>
      <c r="G290" s="385"/>
      <c r="H290" s="385"/>
      <c r="I290" s="385"/>
      <c r="J290" s="385"/>
      <c r="K290" s="385"/>
      <c r="L290" s="385"/>
      <c r="M290" s="385"/>
      <c r="N290" s="385"/>
      <c r="O290" s="385"/>
      <c r="P290" s="385"/>
      <c r="Q290" s="385"/>
      <c r="R290" s="385"/>
      <c r="S290" s="385"/>
      <c r="T290" s="385"/>
    </row>
    <row r="291" spans="4:20">
      <c r="D291" s="385"/>
      <c r="E291" s="385"/>
      <c r="F291" s="385"/>
      <c r="G291" s="385"/>
      <c r="H291" s="385"/>
      <c r="I291" s="385"/>
      <c r="J291" s="385"/>
      <c r="K291" s="385"/>
      <c r="L291" s="385"/>
      <c r="M291" s="385"/>
      <c r="N291" s="385"/>
      <c r="O291" s="385"/>
      <c r="P291" s="385"/>
      <c r="Q291" s="385"/>
      <c r="R291" s="385"/>
      <c r="S291" s="385"/>
      <c r="T291" s="385"/>
    </row>
    <row r="292" spans="4:20">
      <c r="D292" s="385"/>
      <c r="E292" s="385"/>
      <c r="F292" s="385"/>
      <c r="G292" s="385"/>
      <c r="H292" s="385"/>
      <c r="I292" s="385"/>
      <c r="J292" s="385"/>
      <c r="K292" s="385"/>
      <c r="L292" s="385"/>
      <c r="M292" s="385"/>
      <c r="N292" s="385"/>
      <c r="O292" s="385"/>
      <c r="P292" s="385"/>
      <c r="Q292" s="385"/>
      <c r="R292" s="385"/>
      <c r="S292" s="385"/>
      <c r="T292" s="385"/>
    </row>
    <row r="293" spans="4:20">
      <c r="D293" s="385"/>
      <c r="E293" s="385"/>
      <c r="F293" s="385"/>
      <c r="G293" s="385"/>
      <c r="H293" s="385"/>
      <c r="I293" s="385"/>
      <c r="J293" s="385"/>
      <c r="K293" s="385"/>
      <c r="L293" s="385"/>
      <c r="M293" s="385"/>
      <c r="N293" s="385"/>
      <c r="O293" s="385"/>
      <c r="P293" s="385"/>
      <c r="Q293" s="385"/>
      <c r="R293" s="385"/>
      <c r="S293" s="385"/>
      <c r="T293" s="385"/>
    </row>
    <row r="294" spans="4:20">
      <c r="D294" s="385"/>
      <c r="E294" s="385"/>
      <c r="F294" s="385"/>
      <c r="G294" s="385"/>
      <c r="H294" s="385"/>
      <c r="I294" s="385"/>
      <c r="J294" s="385"/>
      <c r="K294" s="385"/>
      <c r="L294" s="385"/>
      <c r="M294" s="385"/>
      <c r="N294" s="385"/>
      <c r="O294" s="385"/>
      <c r="P294" s="385"/>
      <c r="Q294" s="385"/>
      <c r="R294" s="385"/>
      <c r="S294" s="385"/>
      <c r="T294" s="385"/>
    </row>
  </sheetData>
  <sheetProtection password="EE8F" sheet="1" objects="1" scenarios="1" selectLockedCells="1"/>
  <mergeCells count="123">
    <mergeCell ref="M115:N115"/>
    <mergeCell ref="M108:N108"/>
    <mergeCell ref="R108:T109"/>
    <mergeCell ref="M109:N109"/>
    <mergeCell ref="F92:H93"/>
    <mergeCell ref="F76:H76"/>
    <mergeCell ref="F96:H97"/>
    <mergeCell ref="F90:H90"/>
    <mergeCell ref="F91:H91"/>
    <mergeCell ref="F112:H113"/>
    <mergeCell ref="F106:H107"/>
    <mergeCell ref="F100:H100"/>
    <mergeCell ref="F101:H101"/>
    <mergeCell ref="F98:H99"/>
    <mergeCell ref="F102:H103"/>
    <mergeCell ref="F110:H111"/>
    <mergeCell ref="F104:H105"/>
    <mergeCell ref="F108:H109"/>
    <mergeCell ref="R90:T90"/>
    <mergeCell ref="R91:T91"/>
    <mergeCell ref="R94:T95"/>
    <mergeCell ref="R106:T107"/>
    <mergeCell ref="R98:T99"/>
    <mergeCell ref="R100:T100"/>
    <mergeCell ref="F72:H72"/>
    <mergeCell ref="R96:T97"/>
    <mergeCell ref="M97:N97"/>
    <mergeCell ref="M92:N92"/>
    <mergeCell ref="R92:T93"/>
    <mergeCell ref="R73:T73"/>
    <mergeCell ref="O75:O76"/>
    <mergeCell ref="P75:P76"/>
    <mergeCell ref="R82:T82"/>
    <mergeCell ref="R83:T83"/>
    <mergeCell ref="R84:T85"/>
    <mergeCell ref="R86:T86"/>
    <mergeCell ref="M90:N90"/>
    <mergeCell ref="M91:N91"/>
    <mergeCell ref="M94:N94"/>
    <mergeCell ref="M95:N95"/>
    <mergeCell ref="F77:H77"/>
    <mergeCell ref="F82:H82"/>
    <mergeCell ref="F83:H83"/>
    <mergeCell ref="F94:H95"/>
    <mergeCell ref="F87:H87"/>
    <mergeCell ref="F84:H85"/>
    <mergeCell ref="F86:H86"/>
    <mergeCell ref="R88:T89"/>
    <mergeCell ref="B16:L16"/>
    <mergeCell ref="F88:H89"/>
    <mergeCell ref="Q9:R9"/>
    <mergeCell ref="M17:O17"/>
    <mergeCell ref="F73:H73"/>
    <mergeCell ref="F75:H75"/>
    <mergeCell ref="B71:H71"/>
    <mergeCell ref="C75:C76"/>
    <mergeCell ref="D75:D76"/>
    <mergeCell ref="B75:B76"/>
    <mergeCell ref="M58:N58"/>
    <mergeCell ref="M72:N72"/>
    <mergeCell ref="B59:B64"/>
    <mergeCell ref="M59:N64"/>
    <mergeCell ref="B58:I58"/>
    <mergeCell ref="M73:N73"/>
    <mergeCell ref="M74:N74"/>
    <mergeCell ref="M77:N77"/>
    <mergeCell ref="M75:N76"/>
    <mergeCell ref="M78:N78"/>
    <mergeCell ref="M79:N79"/>
    <mergeCell ref="M80:N80"/>
    <mergeCell ref="M81:N81"/>
    <mergeCell ref="R87:T87"/>
    <mergeCell ref="R102:T103"/>
    <mergeCell ref="R104:T105"/>
    <mergeCell ref="M85:N85"/>
    <mergeCell ref="M86:N86"/>
    <mergeCell ref="M87:N87"/>
    <mergeCell ref="M110:N110"/>
    <mergeCell ref="M111:N111"/>
    <mergeCell ref="M112:N112"/>
    <mergeCell ref="R110:T111"/>
    <mergeCell ref="R112:T113"/>
    <mergeCell ref="M113:N113"/>
    <mergeCell ref="Q2:T2"/>
    <mergeCell ref="R75:T75"/>
    <mergeCell ref="R76:T76"/>
    <mergeCell ref="R77:T77"/>
    <mergeCell ref="Q10:R10"/>
    <mergeCell ref="M2:O2"/>
    <mergeCell ref="S8:T8"/>
    <mergeCell ref="S9:T9"/>
    <mergeCell ref="S10:T10"/>
    <mergeCell ref="P58:U58"/>
    <mergeCell ref="R72:T72"/>
    <mergeCell ref="Q3:R3"/>
    <mergeCell ref="Q4:R4"/>
    <mergeCell ref="Q6:R6"/>
    <mergeCell ref="Q7:R7"/>
    <mergeCell ref="Q8:R8"/>
    <mergeCell ref="M114:N114"/>
    <mergeCell ref="S3:T3"/>
    <mergeCell ref="S4:T4"/>
    <mergeCell ref="S5:T5"/>
    <mergeCell ref="S6:T6"/>
    <mergeCell ref="S7:T7"/>
    <mergeCell ref="M102:N102"/>
    <mergeCell ref="M103:N103"/>
    <mergeCell ref="M104:N104"/>
    <mergeCell ref="M105:N105"/>
    <mergeCell ref="M106:N106"/>
    <mergeCell ref="M107:N107"/>
    <mergeCell ref="M98:N98"/>
    <mergeCell ref="M99:N99"/>
    <mergeCell ref="M93:N93"/>
    <mergeCell ref="M96:N96"/>
    <mergeCell ref="M100:N100"/>
    <mergeCell ref="M101:N101"/>
    <mergeCell ref="M88:N88"/>
    <mergeCell ref="M89:N89"/>
    <mergeCell ref="M82:N82"/>
    <mergeCell ref="M83:N83"/>
    <mergeCell ref="M84:N84"/>
    <mergeCell ref="R101:T101"/>
  </mergeCells>
  <phoneticPr fontId="16"/>
  <conditionalFormatting sqref="O4">
    <cfRule type="expression" dxfId="95" priority="73" stopIfTrue="1">
      <formula>M4="Disable"</formula>
    </cfRule>
    <cfRule type="expression" dxfId="94" priority="129" stopIfTrue="1">
      <formula>N4="Auto"</formula>
    </cfRule>
  </conditionalFormatting>
  <conditionalFormatting sqref="N4">
    <cfRule type="expression" dxfId="93" priority="128" stopIfTrue="1">
      <formula>M4="Disable"</formula>
    </cfRule>
  </conditionalFormatting>
  <conditionalFormatting sqref="N6">
    <cfRule type="expression" dxfId="92" priority="115" stopIfTrue="1">
      <formula>M4="Disable"</formula>
    </cfRule>
  </conditionalFormatting>
  <conditionalFormatting sqref="O6">
    <cfRule type="expression" dxfId="91" priority="114" stopIfTrue="1">
      <formula>M4="Disable"</formula>
    </cfRule>
  </conditionalFormatting>
  <conditionalFormatting sqref="B20">
    <cfRule type="expression" dxfId="90" priority="161" stopIfTrue="1">
      <formula>D62="Color Bar"</formula>
    </cfRule>
  </conditionalFormatting>
  <conditionalFormatting sqref="D61">
    <cfRule type="expression" dxfId="89" priority="14" stopIfTrue="1">
      <formula>D45="SyncEvent"</formula>
    </cfRule>
    <cfRule type="expression" dxfId="88" priority="76" stopIfTrue="1">
      <formula>D60="Follow Input"</formula>
    </cfRule>
  </conditionalFormatting>
  <conditionalFormatting sqref="E61">
    <cfRule type="expression" dxfId="87" priority="74" stopIfTrue="1">
      <formula>E60="Follow Input"</formula>
    </cfRule>
  </conditionalFormatting>
  <conditionalFormatting sqref="P61">
    <cfRule type="expression" dxfId="86" priority="12" stopIfTrue="1">
      <formula>D45="SyncEvent"</formula>
    </cfRule>
    <cfRule type="expression" dxfId="85" priority="70" stopIfTrue="1">
      <formula>P60="Follow Input"</formula>
    </cfRule>
  </conditionalFormatting>
  <conditionalFormatting sqref="Q61">
    <cfRule type="expression" dxfId="84" priority="68" stopIfTrue="1">
      <formula>Q60="Follow Input"</formula>
    </cfRule>
  </conditionalFormatting>
  <conditionalFormatting sqref="O73 O76">
    <cfRule type="expression" dxfId="83" priority="65" stopIfTrue="1">
      <formula>O58="Same as TX0"</formula>
    </cfRule>
  </conditionalFormatting>
  <conditionalFormatting sqref="O78">
    <cfRule type="expression" dxfId="82" priority="62" stopIfTrue="1">
      <formula>O58="Same as TX0"</formula>
    </cfRule>
  </conditionalFormatting>
  <conditionalFormatting sqref="O85">
    <cfRule type="expression" dxfId="81" priority="60" stopIfTrue="1">
      <formula>O58="Same as TX0"</formula>
    </cfRule>
  </conditionalFormatting>
  <conditionalFormatting sqref="O87">
    <cfRule type="expression" dxfId="80" priority="59" stopIfTrue="1">
      <formula>O58="Same as TX0"</formula>
    </cfRule>
  </conditionalFormatting>
  <conditionalFormatting sqref="O89">
    <cfRule type="expression" dxfId="79" priority="58" stopIfTrue="1">
      <formula>O58="Same as TX0"</formula>
    </cfRule>
  </conditionalFormatting>
  <conditionalFormatting sqref="O91">
    <cfRule type="expression" dxfId="78" priority="57" stopIfTrue="1">
      <formula>O58="Same as TX0"</formula>
    </cfRule>
  </conditionalFormatting>
  <conditionalFormatting sqref="O95">
    <cfRule type="expression" dxfId="77" priority="56" stopIfTrue="1">
      <formula>O58="Same as TX0"</formula>
    </cfRule>
  </conditionalFormatting>
  <conditionalFormatting sqref="O99">
    <cfRule type="expression" dxfId="76" priority="55" stopIfTrue="1">
      <formula>O58="Same as TX0"</formula>
    </cfRule>
  </conditionalFormatting>
  <conditionalFormatting sqref="O101">
    <cfRule type="expression" dxfId="75" priority="54" stopIfTrue="1">
      <formula>O58="Same as TX0"</formula>
    </cfRule>
  </conditionalFormatting>
  <conditionalFormatting sqref="O103">
    <cfRule type="expression" dxfId="74" priority="53" stopIfTrue="1">
      <formula>O58="Same as TX0"</formula>
    </cfRule>
  </conditionalFormatting>
  <conditionalFormatting sqref="O105">
    <cfRule type="expression" dxfId="73" priority="52" stopIfTrue="1">
      <formula>O58="Same as TX0"</formula>
    </cfRule>
  </conditionalFormatting>
  <conditionalFormatting sqref="O107">
    <cfRule type="expression" dxfId="72" priority="51" stopIfTrue="1">
      <formula>O58="Same as TX0"</formula>
    </cfRule>
  </conditionalFormatting>
  <conditionalFormatting sqref="D42">
    <cfRule type="expression" dxfId="71" priority="50" stopIfTrue="1">
      <formula>C42&lt;&gt;"Half(Auto)"</formula>
    </cfRule>
  </conditionalFormatting>
  <conditionalFormatting sqref="E42">
    <cfRule type="expression" dxfId="70" priority="49" stopIfTrue="1">
      <formula>C42&lt;&gt;"Manual"</formula>
    </cfRule>
  </conditionalFormatting>
  <conditionalFormatting sqref="E45">
    <cfRule type="expression" dxfId="69" priority="48" stopIfTrue="1">
      <formula>C42&lt;&gt;"Manual"</formula>
    </cfRule>
  </conditionalFormatting>
  <conditionalFormatting sqref="G42">
    <cfRule type="expression" dxfId="68" priority="47" stopIfTrue="1">
      <formula>C42&lt;&gt;"Manual"</formula>
    </cfRule>
  </conditionalFormatting>
  <conditionalFormatting sqref="G45">
    <cfRule type="expression" dxfId="67" priority="46" stopIfTrue="1">
      <formula>C42&lt;&gt;"Manual"</formula>
    </cfRule>
  </conditionalFormatting>
  <conditionalFormatting sqref="I42">
    <cfRule type="expression" dxfId="66" priority="38" stopIfTrue="1">
      <formula>M21="Progressive"</formula>
    </cfRule>
  </conditionalFormatting>
  <conditionalFormatting sqref="J42">
    <cfRule type="expression" dxfId="65" priority="37" stopIfTrue="1">
      <formula>M21="Progressive"</formula>
    </cfRule>
  </conditionalFormatting>
  <conditionalFormatting sqref="S14">
    <cfRule type="expression" dxfId="64" priority="383" stopIfTrue="1">
      <formula>N67="Color Bar"</formula>
    </cfRule>
    <cfRule type="expression" dxfId="63" priority="384" stopIfTrue="1">
      <formula>R14="Original"</formula>
    </cfRule>
    <cfRule type="expression" dxfId="62" priority="385" stopIfTrue="1">
      <formula>R10="Disable"</formula>
    </cfRule>
  </conditionalFormatting>
  <conditionalFormatting sqref="R14">
    <cfRule type="expression" dxfId="61" priority="386" stopIfTrue="1">
      <formula>N67="Color Bar"</formula>
    </cfRule>
    <cfRule type="expression" dxfId="60" priority="387" stopIfTrue="1">
      <formula>R10="Disable"</formula>
    </cfRule>
  </conditionalFormatting>
  <conditionalFormatting sqref="S13">
    <cfRule type="expression" dxfId="59" priority="388" stopIfTrue="1">
      <formula>N67="Color Bar"</formula>
    </cfRule>
    <cfRule type="expression" dxfId="58" priority="389" stopIfTrue="1">
      <formula>R13="Original"</formula>
    </cfRule>
    <cfRule type="expression" dxfId="57" priority="390" stopIfTrue="1">
      <formula>R10="Disable"</formula>
    </cfRule>
  </conditionalFormatting>
  <conditionalFormatting sqref="R13">
    <cfRule type="expression" dxfId="56" priority="391" stopIfTrue="1">
      <formula>N67="Color Bar"</formula>
    </cfRule>
    <cfRule type="expression" dxfId="55" priority="392" stopIfTrue="1">
      <formula>R10="Disable"</formula>
    </cfRule>
  </conditionalFormatting>
  <conditionalFormatting sqref="S11:S12">
    <cfRule type="expression" dxfId="54" priority="393" stopIfTrue="1">
      <formula>N66="Color Bar"</formula>
    </cfRule>
    <cfRule type="expression" dxfId="53" priority="394" stopIfTrue="1">
      <formula>R11="Original"</formula>
    </cfRule>
    <cfRule type="expression" dxfId="52" priority="395" stopIfTrue="1">
      <formula>R9="Disable"</formula>
    </cfRule>
  </conditionalFormatting>
  <conditionalFormatting sqref="R11:R12">
    <cfRule type="expression" dxfId="51" priority="396" stopIfTrue="1">
      <formula>N66="Color Bar"</formula>
    </cfRule>
    <cfRule type="expression" dxfId="50" priority="397" stopIfTrue="1">
      <formula>R9="Disable"</formula>
    </cfRule>
  </conditionalFormatting>
  <conditionalFormatting sqref="M4">
    <cfRule type="expression" dxfId="49" priority="438" stopIfTrue="1">
      <formula>J42="Color Bar"</formula>
    </cfRule>
  </conditionalFormatting>
  <conditionalFormatting sqref="O74">
    <cfRule type="expression" dxfId="48" priority="446" stopIfTrue="1">
      <formula>O58="Same as TX0"</formula>
    </cfRule>
  </conditionalFormatting>
  <conditionalFormatting sqref="O75">
    <cfRule type="expression" dxfId="47" priority="448" stopIfTrue="1">
      <formula>O58="Same as TX0"</formula>
    </cfRule>
  </conditionalFormatting>
  <conditionalFormatting sqref="O79">
    <cfRule type="expression" dxfId="46" priority="450" stopIfTrue="1">
      <formula>O58="Same as TX0"</formula>
    </cfRule>
  </conditionalFormatting>
  <conditionalFormatting sqref="O80">
    <cfRule type="expression" dxfId="45" priority="451" stopIfTrue="1">
      <formula>O58="Same as TX0"</formula>
    </cfRule>
  </conditionalFormatting>
  <conditionalFormatting sqref="O111">
    <cfRule type="expression" dxfId="44" priority="462" stopIfTrue="1">
      <formula>O58="Same as TX0"</formula>
    </cfRule>
  </conditionalFormatting>
  <conditionalFormatting sqref="O93">
    <cfRule type="expression" dxfId="43" priority="18" stopIfTrue="1">
      <formula>O58="Same as TX0"</formula>
    </cfRule>
  </conditionalFormatting>
  <conditionalFormatting sqref="O97">
    <cfRule type="expression" dxfId="42" priority="17" stopIfTrue="1">
      <formula>O58="Same as TX0"</formula>
    </cfRule>
  </conditionalFormatting>
  <conditionalFormatting sqref="O109">
    <cfRule type="expression" dxfId="41" priority="16" stopIfTrue="1">
      <formula>O58="Same as TX0"</formula>
    </cfRule>
  </conditionalFormatting>
  <conditionalFormatting sqref="D60">
    <cfRule type="expression" dxfId="40" priority="15" stopIfTrue="1">
      <formula>D45="SyncEvent"</formula>
    </cfRule>
  </conditionalFormatting>
  <conditionalFormatting sqref="P60">
    <cfRule type="expression" dxfId="39" priority="13" stopIfTrue="1">
      <formula>D45="SyncEvent"</formula>
    </cfRule>
  </conditionalFormatting>
  <conditionalFormatting sqref="C19">
    <cfRule type="expression" dxfId="38" priority="11" stopIfTrue="1">
      <formula>B20&lt;&gt;"Original"</formula>
    </cfRule>
  </conditionalFormatting>
  <conditionalFormatting sqref="D19">
    <cfRule type="expression" dxfId="37" priority="10" stopIfTrue="1">
      <formula>B20&lt;&gt;"Original"</formula>
    </cfRule>
  </conditionalFormatting>
  <conditionalFormatting sqref="E19">
    <cfRule type="expression" dxfId="36" priority="9" stopIfTrue="1">
      <formula>B20&lt;&gt;"Original"</formula>
    </cfRule>
  </conditionalFormatting>
  <conditionalFormatting sqref="F19">
    <cfRule type="expression" dxfId="35" priority="8" stopIfTrue="1">
      <formula>B20&lt;&gt;"Original"</formula>
    </cfRule>
  </conditionalFormatting>
  <conditionalFormatting sqref="G19">
    <cfRule type="expression" dxfId="34" priority="7" stopIfTrue="1">
      <formula>B20&lt;&gt;"Original"</formula>
    </cfRule>
  </conditionalFormatting>
  <conditionalFormatting sqref="H19">
    <cfRule type="expression" dxfId="33" priority="6" stopIfTrue="1">
      <formula>B20&lt;&gt;"Original"</formula>
    </cfRule>
  </conditionalFormatting>
  <conditionalFormatting sqref="I19">
    <cfRule type="expression" dxfId="32" priority="5" stopIfTrue="1">
      <formula>B20&lt;&gt;"Original"</formula>
    </cfRule>
  </conditionalFormatting>
  <conditionalFormatting sqref="J19">
    <cfRule type="expression" dxfId="31" priority="4" stopIfTrue="1">
      <formula>B20&lt;&gt;"Original"</formula>
    </cfRule>
  </conditionalFormatting>
  <conditionalFormatting sqref="K19">
    <cfRule type="expression" dxfId="30" priority="3" stopIfTrue="1">
      <formula>B20&lt;&gt;"Original"</formula>
    </cfRule>
  </conditionalFormatting>
  <conditionalFormatting sqref="M23">
    <cfRule type="expression" dxfId="29" priority="463" stopIfTrue="1">
      <formula>C29="Color Bar"</formula>
    </cfRule>
    <cfRule type="expression" dxfId="28" priority="2">
      <formula>B20&lt;&gt;"Original"</formula>
    </cfRule>
  </conditionalFormatting>
  <conditionalFormatting sqref="L21">
    <cfRule type="expression" dxfId="27" priority="464" stopIfTrue="1">
      <formula>C29="Color Bar"</formula>
    </cfRule>
    <cfRule type="expression" dxfId="26" priority="465" stopIfTrue="1">
      <formula>B20&lt;&gt;"Original"</formula>
    </cfRule>
  </conditionalFormatting>
  <conditionalFormatting sqref="S3">
    <cfRule type="expression" dxfId="25" priority="466" stopIfTrue="1">
      <formula>C29="Color Bar"</formula>
    </cfRule>
  </conditionalFormatting>
  <conditionalFormatting sqref="R5">
    <cfRule type="expression" dxfId="24" priority="467" stopIfTrue="1">
      <formula>C29="Color Bar"</formula>
    </cfRule>
  </conditionalFormatting>
  <conditionalFormatting sqref="L20">
    <cfRule type="expression" dxfId="23" priority="468" stopIfTrue="1">
      <formula>C29="Color Bar"</formula>
    </cfRule>
  </conditionalFormatting>
  <conditionalFormatting sqref="M24">
    <cfRule type="expression" dxfId="22" priority="469" stopIfTrue="1">
      <formula>C29="Color Bar"</formula>
    </cfRule>
    <cfRule type="expression" dxfId="21" priority="1">
      <formula>B20&lt;&gt;"Original"</formula>
    </cfRule>
  </conditionalFormatting>
  <conditionalFormatting sqref="S4">
    <cfRule type="expression" dxfId="20" priority="471" stopIfTrue="1">
      <formula>C29="Color Bar"</formula>
    </cfRule>
  </conditionalFormatting>
  <conditionalFormatting sqref="S6">
    <cfRule type="expression" dxfId="19" priority="472" stopIfTrue="1">
      <formula>C29="Color Bar"</formula>
    </cfRule>
  </conditionalFormatting>
  <conditionalFormatting sqref="S7">
    <cfRule type="expression" dxfId="18" priority="473" stopIfTrue="1">
      <formula>C29="Color Bar"</formula>
    </cfRule>
  </conditionalFormatting>
  <conditionalFormatting sqref="S8">
    <cfRule type="expression" dxfId="17" priority="474" stopIfTrue="1">
      <formula>C29="Color Bar"</formula>
    </cfRule>
  </conditionalFormatting>
  <conditionalFormatting sqref="S9">
    <cfRule type="expression" dxfId="16" priority="475" stopIfTrue="1">
      <formula>C29="Color Bar"</formula>
    </cfRule>
  </conditionalFormatting>
  <conditionalFormatting sqref="S10">
    <cfRule type="expression" dxfId="15" priority="476" stopIfTrue="1">
      <formula>C29="Color Bar"</formula>
    </cfRule>
  </conditionalFormatting>
  <conditionalFormatting sqref="D29">
    <cfRule type="expression" dxfId="14" priority="477" stopIfTrue="1">
      <formula>C29="HDMI"</formula>
    </cfRule>
  </conditionalFormatting>
  <dataValidations count="31">
    <dataValidation type="list" allowBlank="1" showInputMessage="1" showErrorMessage="1" sqref="C74 O74">
      <formula1>"62.5M-125M,125M-250M,250M-500M,500M-1G"</formula1>
    </dataValidation>
    <dataValidation type="list" allowBlank="1" showInputMessage="1" showErrorMessage="1" sqref="C79 O79">
      <formula1>"Yes, No"</formula1>
    </dataValidation>
    <dataValidation type="list" allowBlank="1" showInputMessage="1" showErrorMessage="1" sqref="C80:C81 O80:O81">
      <formula1>"Enable, Disable"</formula1>
    </dataValidation>
    <dataValidation type="list" allowBlank="1" showInputMessage="1" showErrorMessage="1" sqref="C78 O78">
      <formula1>"1,2,3,4"</formula1>
    </dataValidation>
    <dataValidation type="list" allowBlank="1" showInputMessage="1" showErrorMessage="1" sqref="R5">
      <formula1>"Disable,Enable"</formula1>
    </dataValidation>
    <dataValidation type="list" allowBlank="1" showInputMessage="1" showErrorMessage="1" sqref="N4">
      <formula1>"Auto,By REG"</formula1>
    </dataValidation>
    <dataValidation type="list" allowBlank="1" showInputMessage="1" showErrorMessage="1" sqref="O4">
      <formula1>"2,4,6,8"</formula1>
    </dataValidation>
    <dataValidation type="list" allowBlank="1" showInputMessage="1" showErrorMessage="1" sqref="N6">
      <formula1>"No Delay, 1Clk Dly"</formula1>
    </dataValidation>
    <dataValidation type="list" allowBlank="1" showInputMessage="1" showErrorMessage="1" sqref="O6">
      <formula1>"Free Run, Stop at Mute"</formula1>
    </dataValidation>
    <dataValidation type="list" allowBlank="1" showInputMessage="1" showErrorMessage="1" sqref="O8">
      <formula1>"No, Auto Inc"</formula1>
    </dataValidation>
    <dataValidation type="list" allowBlank="1" showInputMessage="1" showErrorMessage="1" sqref="M4">
      <formula1>"I2S,TDM,SLIMBus,Disable"</formula1>
    </dataValidation>
    <dataValidation type="list" allowBlank="1" showInputMessage="1" showErrorMessage="1" sqref="R11:R14">
      <formula1>"Original,Select"</formula1>
    </dataValidation>
    <dataValidation type="list" allowBlank="1" showInputMessage="1" showErrorMessage="1" sqref="S11:S14">
      <formula1>"640x480p60Hz (1),720x480p60Hz (2),1280x720p60Hz (4),1920x1080p60Hz (16)"</formula1>
    </dataValidation>
    <dataValidation type="list" allowBlank="1" showInputMessage="1" showErrorMessage="1" sqref="B20">
      <formula1>"640x480p60Hz (1),720x480p60Hz (2),1280x720p60Hz (4),1920x1080p60Hz (16),1920x1200p60Hz (68),2560x1600p60Hz (76),Original"</formula1>
    </dataValidation>
    <dataValidation type="list" allowBlank="1" showInputMessage="1" showErrorMessage="1" sqref="P60:Q60 D60:E60">
      <formula1>"Follow Input,Set"</formula1>
    </dataValidation>
    <dataValidation type="list" allowBlank="1" showInputMessage="1" showErrorMessage="1" sqref="D45">
      <formula1>"SyncEvent,SyncPulse"</formula1>
    </dataValidation>
    <dataValidation type="list" allowBlank="1" showInputMessage="1" showErrorMessage="1" sqref="L20">
      <formula1>"RGB888,YCbCr422,YCbCr444"</formula1>
    </dataValidation>
    <dataValidation type="list" allowBlank="1" showInputMessage="1" showErrorMessage="1" sqref="D42">
      <formula1>"DSI0,DSI1"</formula1>
    </dataValidation>
    <dataValidation type="list" allowBlank="1" showInputMessage="1" showErrorMessage="1" sqref="O58">
      <formula1>"Same as TX0, Original"</formula1>
    </dataValidation>
    <dataValidation type="list" allowBlank="1" showInputMessage="1" showErrorMessage="1" sqref="C42">
      <formula1>"Half(Auto),Manual"</formula1>
    </dataValidation>
    <dataValidation type="list" allowBlank="1" showInputMessage="1" showErrorMessage="1" sqref="C45">
      <formula1>"RGB888,pRGB666,lpRGB666"</formula1>
    </dataValidation>
    <dataValidation type="list" allowBlank="1" showInputMessage="1" showErrorMessage="1" sqref="F45 H42 F42 H45">
      <formula1>"0,1,2,3,4,5,6,7,8,9,10,11,12,13,14,15,16,17,18,19,20,21,22,23,24,25,26,27,28,29,30,31,32"</formula1>
    </dataValidation>
    <dataValidation type="list" allowBlank="1" showInputMessage="1" showErrorMessage="1" sqref="F40 H40">
      <formula1>"Enable, Bypass"</formula1>
    </dataValidation>
    <dataValidation type="list" allowBlank="1" showInputMessage="1" showErrorMessage="1" sqref="L21">
      <formula1>"Progressive,Interlace"</formula1>
    </dataValidation>
    <dataValidation type="list" allowBlank="1" showInputMessage="1" showErrorMessage="1" sqref="L22">
      <formula1>"HDCP Enable, HDCP Disable"</formula1>
    </dataValidation>
    <dataValidation type="list" allowBlank="1" showInputMessage="1" showErrorMessage="1" sqref="D47">
      <formula1>"Enable,Disable"</formula1>
    </dataValidation>
    <dataValidation type="list" allowBlank="1" showInputMessage="1" showErrorMessage="1" sqref="C29">
      <formula1>"Color Bar, HDMI"</formula1>
    </dataValidation>
    <dataValidation type="list" allowBlank="1" showInputMessage="1" showErrorMessage="1" sqref="M23:M24">
      <formula1>"H Active,L Active"</formula1>
    </dataValidation>
    <dataValidation type="list" allowBlank="1" showInputMessage="1" showErrorMessage="1" sqref="S3:T4 S6:T10">
      <formula1>"640x480p60Hz (1),720x480p60Hz (2),1280x720p60Hz (4),1920x1080p60Hz (16),1920x1200p60Hz (68),2560x1600p60Hz (76),Original,New"</formula1>
    </dataValidation>
    <dataValidation type="list" allowBlank="1" showInputMessage="1" showErrorMessage="1" sqref="D29">
      <formula1>"Bar, Checker"</formula1>
    </dataValidation>
    <dataValidation type="list" allowBlank="1" showInputMessage="1" showErrorMessage="1" sqref="C60 O60">
      <formula1>"LP,HS"</formula1>
    </dataValidation>
  </dataValidations>
  <pageMargins left="0.75" right="0.75" top="1" bottom="1" header="0.5" footer="0.5"/>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indexed="20"/>
  </sheetPr>
  <dimension ref="B1:BS952"/>
  <sheetViews>
    <sheetView showGridLines="0" zoomScale="75" zoomScaleNormal="75" workbookViewId="0">
      <selection activeCell="L4" sqref="L4"/>
    </sheetView>
  </sheetViews>
  <sheetFormatPr defaultRowHeight="14.25" outlineLevelRow="1"/>
  <cols>
    <col min="1" max="1" width="3.375" style="3" customWidth="1"/>
    <col min="2" max="2" width="7.875" style="3" customWidth="1"/>
    <col min="3" max="3" width="29" style="3" customWidth="1"/>
    <col min="4" max="4" width="11" style="3" customWidth="1"/>
    <col min="5" max="5" width="12.625" style="116" customWidth="1"/>
    <col min="6" max="6" width="41.2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56" ht="18">
      <c r="B1" s="12" t="s">
        <v>1579</v>
      </c>
      <c r="C1" s="12"/>
      <c r="F1" s="152"/>
      <c r="G1" s="407" t="s">
        <v>1623</v>
      </c>
      <c r="H1" s="135" t="s">
        <v>144</v>
      </c>
      <c r="I1" s="21"/>
      <c r="J1" s="4"/>
      <c r="K1"/>
      <c r="L1" s="18"/>
    </row>
    <row r="2" spans="2:56" ht="18">
      <c r="B2" s="3" t="s">
        <v>835</v>
      </c>
      <c r="H2" s="152" t="s">
        <v>725</v>
      </c>
      <c r="I2"/>
      <c r="J2"/>
      <c r="K2"/>
      <c r="L2"/>
      <c r="M2"/>
      <c r="N2"/>
      <c r="O2"/>
      <c r="P2"/>
    </row>
    <row r="3" spans="2:56">
      <c r="B3" s="3" t="s">
        <v>1393</v>
      </c>
      <c r="C3" s="11"/>
      <c r="D3" s="1"/>
      <c r="E3" s="117"/>
      <c r="F3" s="1"/>
      <c r="G3" s="1"/>
      <c r="H3" s="1"/>
      <c r="I3"/>
      <c r="J3"/>
      <c r="K3"/>
      <c r="L3"/>
      <c r="M3"/>
      <c r="N3"/>
      <c r="O3"/>
      <c r="P3"/>
      <c r="Q3"/>
      <c r="R3"/>
      <c r="S3"/>
      <c r="T3"/>
      <c r="U3"/>
      <c r="V3"/>
      <c r="W3"/>
      <c r="X3" s="376"/>
      <c r="AH3" s="376"/>
    </row>
    <row r="4" spans="2:56" ht="15">
      <c r="B4" s="10"/>
      <c r="C4" s="11"/>
      <c r="D4" s="1"/>
      <c r="E4" s="117"/>
      <c r="F4" s="1"/>
      <c r="G4" s="1"/>
      <c r="H4" s="20"/>
      <c r="I4"/>
      <c r="J4"/>
      <c r="K4"/>
      <c r="L4"/>
      <c r="M4"/>
      <c r="N4"/>
      <c r="O4"/>
      <c r="P4"/>
      <c r="Q4"/>
      <c r="R4"/>
      <c r="S4"/>
      <c r="T4"/>
      <c r="U4"/>
      <c r="V4"/>
      <c r="W4"/>
      <c r="X4" s="376"/>
      <c r="AH4" s="376"/>
    </row>
    <row r="5" spans="2:56" ht="18.75">
      <c r="B5" s="96" t="s">
        <v>146</v>
      </c>
      <c r="C5" s="94"/>
      <c r="D5" s="94"/>
      <c r="E5" s="118"/>
      <c r="F5" s="95"/>
      <c r="I5"/>
      <c r="J5"/>
      <c r="K5"/>
      <c r="L5"/>
      <c r="M5"/>
      <c r="N5"/>
      <c r="O5"/>
      <c r="P5"/>
      <c r="Q5"/>
      <c r="R5"/>
      <c r="S5"/>
      <c r="T5"/>
      <c r="U5"/>
      <c r="V5"/>
      <c r="W5"/>
      <c r="X5" s="376"/>
      <c r="AH5" s="376"/>
    </row>
    <row r="6" spans="2:56" ht="15">
      <c r="B6" s="92" t="s">
        <v>13</v>
      </c>
      <c r="C6" s="92" t="s">
        <v>0</v>
      </c>
      <c r="D6" s="92" t="s">
        <v>1</v>
      </c>
      <c r="E6" s="119" t="s">
        <v>14</v>
      </c>
      <c r="F6" s="93" t="s">
        <v>145</v>
      </c>
      <c r="G6" s="7"/>
      <c r="H6"/>
      <c r="I6"/>
      <c r="J6"/>
      <c r="K6"/>
      <c r="L6"/>
      <c r="M6"/>
      <c r="N6"/>
      <c r="O6"/>
      <c r="P6"/>
      <c r="Q6"/>
      <c r="R6"/>
      <c r="S6"/>
      <c r="T6"/>
      <c r="U6"/>
      <c r="V6"/>
      <c r="W6"/>
      <c r="X6" s="376"/>
      <c r="AH6" s="376"/>
    </row>
    <row r="7" spans="2:56">
      <c r="B7" s="86" t="s">
        <v>15</v>
      </c>
      <c r="C7" s="87" t="s">
        <v>70</v>
      </c>
      <c r="D7" s="87"/>
      <c r="E7" s="120"/>
      <c r="F7" s="103"/>
      <c r="G7"/>
      <c r="H7"/>
      <c r="I7"/>
      <c r="J7"/>
      <c r="K7"/>
      <c r="L7"/>
      <c r="M7"/>
      <c r="N7"/>
      <c r="O7"/>
      <c r="P7"/>
      <c r="Q7"/>
      <c r="R7"/>
      <c r="S7"/>
      <c r="T7"/>
      <c r="U7"/>
      <c r="V7"/>
      <c r="W7"/>
      <c r="X7" s="376"/>
      <c r="AH7" s="376"/>
    </row>
    <row r="8" spans="2:56">
      <c r="B8" s="219" t="s">
        <v>73</v>
      </c>
      <c r="C8" s="5" t="s">
        <v>1149</v>
      </c>
      <c r="D8" s="17" t="s">
        <v>160</v>
      </c>
      <c r="E8" s="122" t="str">
        <f>Main_Parameters!$C$118</f>
        <v>0004</v>
      </c>
      <c r="F8" s="179"/>
      <c r="G8"/>
      <c r="H8"/>
      <c r="I8"/>
      <c r="J8"/>
      <c r="K8"/>
      <c r="L8"/>
      <c r="M8"/>
      <c r="N8"/>
      <c r="O8"/>
      <c r="P8"/>
      <c r="Q8"/>
      <c r="R8"/>
      <c r="S8"/>
      <c r="T8"/>
      <c r="U8"/>
      <c r="V8"/>
      <c r="W8"/>
      <c r="X8" s="376"/>
      <c r="AH8" s="376"/>
    </row>
    <row r="9" spans="2:56">
      <c r="B9" s="19" t="s">
        <v>73</v>
      </c>
      <c r="C9" s="8" t="s">
        <v>74</v>
      </c>
      <c r="D9" s="15" t="s">
        <v>71</v>
      </c>
      <c r="E9" s="89" t="s">
        <v>1225</v>
      </c>
      <c r="F9" s="39" t="s">
        <v>715</v>
      </c>
      <c r="G9"/>
      <c r="H9"/>
      <c r="I9"/>
      <c r="J9"/>
      <c r="K9"/>
      <c r="L9"/>
      <c r="M9"/>
      <c r="N9"/>
      <c r="O9"/>
      <c r="P9"/>
      <c r="Q9"/>
      <c r="R9"/>
      <c r="S9"/>
      <c r="T9"/>
      <c r="U9"/>
      <c r="V9"/>
      <c r="W9"/>
      <c r="X9" s="376"/>
      <c r="AH9" s="376"/>
    </row>
    <row r="10" spans="2:56">
      <c r="B10" s="19" t="s">
        <v>73</v>
      </c>
      <c r="C10" s="8" t="s">
        <v>74</v>
      </c>
      <c r="D10" s="15" t="s">
        <v>71</v>
      </c>
      <c r="E10" s="109" t="str">
        <f>IF(Main_Parameters!$M$4="Disable","0080","0000")</f>
        <v>0000</v>
      </c>
      <c r="F10" s="39" t="s">
        <v>714</v>
      </c>
      <c r="G10"/>
      <c r="H10"/>
      <c r="I10"/>
      <c r="J10"/>
      <c r="K10"/>
      <c r="L10"/>
      <c r="M10"/>
      <c r="N10"/>
      <c r="O10"/>
      <c r="P10"/>
      <c r="Q10"/>
      <c r="R10"/>
      <c r="S10"/>
      <c r="T10"/>
      <c r="U10"/>
      <c r="V10"/>
      <c r="W10"/>
      <c r="X10" s="376"/>
      <c r="AH10" s="376"/>
    </row>
    <row r="11" spans="2:56">
      <c r="B11" s="19" t="s">
        <v>73</v>
      </c>
      <c r="C11" s="5" t="s">
        <v>1171</v>
      </c>
      <c r="D11" s="17" t="s">
        <v>1148</v>
      </c>
      <c r="E11" s="109" t="str">
        <f>Main_Parameters!$C$120</f>
        <v>0008</v>
      </c>
      <c r="F11" s="39"/>
      <c r="G11"/>
      <c r="H11"/>
      <c r="I11" s="2"/>
    </row>
    <row r="12" spans="2:56">
      <c r="B12" s="86" t="s">
        <v>15</v>
      </c>
      <c r="C12" s="88" t="s">
        <v>1026</v>
      </c>
      <c r="D12" s="86"/>
      <c r="E12" s="123"/>
      <c r="F12" s="103"/>
      <c r="G12"/>
      <c r="H12"/>
      <c r="I12"/>
      <c r="J12"/>
      <c r="K12"/>
      <c r="L12"/>
      <c r="M12"/>
      <c r="N12"/>
      <c r="O12"/>
      <c r="P12"/>
      <c r="Q12"/>
      <c r="R12"/>
      <c r="S12"/>
      <c r="T12"/>
      <c r="U12"/>
      <c r="V12"/>
      <c r="W12"/>
      <c r="X12" s="376"/>
      <c r="AH12" s="376"/>
    </row>
    <row r="13" spans="2:56">
      <c r="B13" s="19" t="s">
        <v>75</v>
      </c>
      <c r="C13" s="254" t="s">
        <v>886</v>
      </c>
      <c r="D13" s="255" t="s">
        <v>887</v>
      </c>
      <c r="E13" s="89" t="s">
        <v>944</v>
      </c>
      <c r="F13" s="179"/>
      <c r="G13"/>
      <c r="H13"/>
      <c r="I13"/>
      <c r="J13"/>
      <c r="K13"/>
      <c r="L13"/>
      <c r="M13"/>
      <c r="N13"/>
      <c r="O13"/>
      <c r="P13"/>
      <c r="Q13"/>
      <c r="R13"/>
      <c r="S13"/>
      <c r="T13"/>
      <c r="U13"/>
      <c r="V13"/>
      <c r="W13"/>
      <c r="X13" s="376"/>
      <c r="Y13" s="168">
        <v>31</v>
      </c>
      <c r="Z13" s="168">
        <v>30</v>
      </c>
      <c r="AA13" s="168">
        <v>29</v>
      </c>
      <c r="AB13" s="168">
        <v>28</v>
      </c>
      <c r="AC13" s="168">
        <v>27</v>
      </c>
      <c r="AD13" s="168">
        <v>26</v>
      </c>
      <c r="AE13" s="168">
        <v>25</v>
      </c>
      <c r="AF13" s="168">
        <v>24</v>
      </c>
      <c r="AG13" s="168">
        <v>23</v>
      </c>
      <c r="AH13" s="376">
        <v>22</v>
      </c>
      <c r="AI13" s="168">
        <v>21</v>
      </c>
      <c r="AJ13" s="168">
        <v>20</v>
      </c>
      <c r="AK13" s="168">
        <v>19</v>
      </c>
      <c r="AL13" s="168">
        <v>18</v>
      </c>
      <c r="AM13" s="168">
        <v>17</v>
      </c>
      <c r="AN13" s="168">
        <v>16</v>
      </c>
      <c r="AO13" s="168">
        <v>15</v>
      </c>
      <c r="AP13" s="168">
        <v>14</v>
      </c>
      <c r="AQ13" s="168">
        <v>13</v>
      </c>
      <c r="AR13" s="168">
        <v>12</v>
      </c>
      <c r="AS13" s="168">
        <v>11</v>
      </c>
      <c r="AT13" s="168">
        <v>10</v>
      </c>
      <c r="AU13" s="168">
        <v>9</v>
      </c>
      <c r="AV13" s="168">
        <v>8</v>
      </c>
      <c r="AW13" s="168">
        <v>7</v>
      </c>
      <c r="AX13" s="168">
        <v>6</v>
      </c>
      <c r="AY13" s="168">
        <v>5</v>
      </c>
      <c r="AZ13" s="168">
        <v>4</v>
      </c>
      <c r="BA13" s="168">
        <v>3</v>
      </c>
      <c r="BB13" s="168">
        <v>2</v>
      </c>
      <c r="BC13" s="168">
        <v>1</v>
      </c>
      <c r="BD13" s="168">
        <v>0</v>
      </c>
    </row>
    <row r="14" spans="2:56">
      <c r="B14" s="19" t="s">
        <v>75</v>
      </c>
      <c r="C14" s="254" t="s">
        <v>888</v>
      </c>
      <c r="D14" s="255" t="s">
        <v>889</v>
      </c>
      <c r="E14" s="122" t="str">
        <f>DEC2HEX(Y14*2^31+Z14*2^30+AA14*2^29+AB14*2^28+AC14*2^27+AD14*2^26+AE14*2^25+AF14*2^24+AG14*2^23+AH14*2^22+AI14*2^21+AJ14*2^20+AK14*2^19+AL14*2^18+AM14*2^17+AN14*2^16+AO14*2^15+AP14*2^14+AQ14*2^13+AR14*2^12+AS14*2^11+AT14*2^10+AU14*2^9+AV14*2^8+AW14*2^7+AX14*2^6+AY14*2^5+AZ14*2^4+BA14*2^3+BB14*2^2+BC14*2^1+BD14*2^0,8)</f>
        <v>00000001</v>
      </c>
      <c r="F14" s="179"/>
      <c r="G14" s="256"/>
      <c r="H14" s="265"/>
      <c r="I14" s="268"/>
      <c r="J14" s="268"/>
      <c r="K14" s="266"/>
      <c r="L14" s="258" t="s">
        <v>948</v>
      </c>
      <c r="M14" s="280" t="s">
        <v>945</v>
      </c>
      <c r="N14" s="258" t="s">
        <v>947</v>
      </c>
      <c r="O14" s="280" t="s">
        <v>945</v>
      </c>
      <c r="P14" s="360"/>
      <c r="Q14" s="259"/>
      <c r="R14" s="259"/>
      <c r="S14" s="259"/>
      <c r="T14" s="259"/>
      <c r="U14" s="260"/>
      <c r="V14" s="258" t="s">
        <v>946</v>
      </c>
      <c r="W14" s="280" t="s">
        <v>36</v>
      </c>
      <c r="X14" s="395"/>
      <c r="Y14" s="396">
        <v>0</v>
      </c>
      <c r="Z14" s="396">
        <v>0</v>
      </c>
      <c r="AA14" s="396">
        <v>0</v>
      </c>
      <c r="AB14" s="396">
        <v>0</v>
      </c>
      <c r="AC14" s="396">
        <v>0</v>
      </c>
      <c r="AD14" s="396">
        <v>0</v>
      </c>
      <c r="AE14" s="396">
        <v>0</v>
      </c>
      <c r="AF14" s="396">
        <v>0</v>
      </c>
      <c r="AG14" s="396">
        <v>0</v>
      </c>
      <c r="AH14" s="395">
        <v>0</v>
      </c>
      <c r="AI14" s="396">
        <v>0</v>
      </c>
      <c r="AJ14" s="396">
        <v>0</v>
      </c>
      <c r="AK14" s="396">
        <v>0</v>
      </c>
      <c r="AL14" s="396">
        <v>0</v>
      </c>
      <c r="AM14" s="396">
        <v>0</v>
      </c>
      <c r="AN14" s="396">
        <v>0</v>
      </c>
      <c r="AO14" s="396">
        <v>0</v>
      </c>
      <c r="AP14" s="396">
        <v>0</v>
      </c>
      <c r="AQ14" s="396">
        <v>0</v>
      </c>
      <c r="AR14" s="396">
        <v>0</v>
      </c>
      <c r="AS14" s="396">
        <v>0</v>
      </c>
      <c r="AT14" s="396">
        <f>IF(M14="HSCK/8",0,IF(M14="HSCK/4",1,2))</f>
        <v>0</v>
      </c>
      <c r="AU14" s="396">
        <v>0</v>
      </c>
      <c r="AV14" s="396">
        <f>IF(O14="HSCK/8",0,IF(O14="HSCK/4",1,2))</f>
        <v>0</v>
      </c>
      <c r="AW14" s="396">
        <v>0</v>
      </c>
      <c r="AX14" s="396">
        <v>0</v>
      </c>
      <c r="AY14" s="396">
        <v>0</v>
      </c>
      <c r="AZ14" s="396">
        <v>0</v>
      </c>
      <c r="BA14" s="396">
        <v>0</v>
      </c>
      <c r="BB14" s="396">
        <v>0</v>
      </c>
      <c r="BC14" s="396">
        <v>0</v>
      </c>
      <c r="BD14" s="396">
        <f>IF(W14="Enable",1,0)</f>
        <v>1</v>
      </c>
    </row>
    <row r="15" spans="2:56">
      <c r="B15" s="19" t="s">
        <v>75</v>
      </c>
      <c r="C15" s="5" t="s">
        <v>1021</v>
      </c>
      <c r="D15" s="15" t="s">
        <v>1020</v>
      </c>
      <c r="E15" s="89" t="s">
        <v>147</v>
      </c>
      <c r="F15" s="39"/>
      <c r="G15"/>
      <c r="H15"/>
      <c r="I15"/>
      <c r="J15"/>
      <c r="K15"/>
      <c r="L15"/>
      <c r="M15"/>
      <c r="N15"/>
      <c r="O15"/>
      <c r="P15"/>
      <c r="Q15"/>
      <c r="R15"/>
      <c r="S15"/>
      <c r="T15"/>
      <c r="U15"/>
      <c r="V15"/>
      <c r="W15"/>
    </row>
    <row r="16" spans="2:56">
      <c r="B16" s="19" t="s">
        <v>75</v>
      </c>
      <c r="C16" s="254" t="s">
        <v>885</v>
      </c>
      <c r="D16" s="255" t="s">
        <v>884</v>
      </c>
      <c r="E16" s="122" t="str">
        <f>Main_Parameters!$C$124</f>
        <v>000090BD</v>
      </c>
      <c r="F16" s="179" t="s">
        <v>1254</v>
      </c>
      <c r="G16"/>
      <c r="H16"/>
      <c r="I16"/>
      <c r="J16"/>
      <c r="K16"/>
      <c r="L16"/>
      <c r="M16"/>
      <c r="N16"/>
      <c r="O16"/>
      <c r="P16"/>
      <c r="Q16"/>
      <c r="R16"/>
      <c r="S16"/>
      <c r="T16"/>
      <c r="U16"/>
      <c r="V16"/>
      <c r="W16"/>
      <c r="X16" s="376"/>
      <c r="AH16" s="376"/>
    </row>
    <row r="17" spans="2:57">
      <c r="B17" s="19" t="s">
        <v>828</v>
      </c>
      <c r="C17" s="254"/>
      <c r="D17" s="310">
        <v>1000</v>
      </c>
      <c r="E17" s="310"/>
      <c r="F17" s="179"/>
      <c r="G17"/>
      <c r="H17"/>
      <c r="I17"/>
      <c r="J17"/>
      <c r="K17"/>
      <c r="L17"/>
      <c r="M17"/>
      <c r="N17"/>
      <c r="O17"/>
      <c r="P17"/>
      <c r="Q17"/>
      <c r="R17"/>
      <c r="S17"/>
      <c r="T17"/>
      <c r="U17"/>
      <c r="V17"/>
      <c r="W17"/>
      <c r="X17" s="376"/>
      <c r="AH17" s="376"/>
    </row>
    <row r="18" spans="2:57">
      <c r="B18" s="19" t="s">
        <v>75</v>
      </c>
      <c r="C18" s="5" t="s">
        <v>1021</v>
      </c>
      <c r="D18" s="15" t="s">
        <v>1020</v>
      </c>
      <c r="E18" s="89" t="s">
        <v>1022</v>
      </c>
      <c r="F18" s="39"/>
      <c r="G18"/>
      <c r="H18"/>
      <c r="I18"/>
      <c r="J18"/>
      <c r="K18"/>
      <c r="L18"/>
      <c r="M18"/>
      <c r="N18"/>
      <c r="O18"/>
      <c r="P18"/>
      <c r="Q18"/>
      <c r="R18"/>
      <c r="S18"/>
      <c r="T18"/>
      <c r="U18"/>
      <c r="V18"/>
      <c r="W18"/>
    </row>
    <row r="19" spans="2:57">
      <c r="B19" s="19" t="s">
        <v>75</v>
      </c>
      <c r="C19" s="254" t="s">
        <v>892</v>
      </c>
      <c r="D19" s="255" t="s">
        <v>893</v>
      </c>
      <c r="E19" s="122" t="str">
        <f>Main_Parameters!$C$127</f>
        <v>00000014</v>
      </c>
      <c r="F19" s="179"/>
      <c r="G19"/>
      <c r="H19"/>
      <c r="I19"/>
      <c r="J19"/>
      <c r="K19"/>
      <c r="L19"/>
      <c r="M19"/>
      <c r="N19"/>
      <c r="O19"/>
      <c r="P19"/>
      <c r="Q19"/>
      <c r="R19"/>
      <c r="S19"/>
      <c r="T19"/>
      <c r="U19"/>
      <c r="V19"/>
      <c r="W19"/>
      <c r="X19" s="376"/>
      <c r="AH19" s="376"/>
    </row>
    <row r="20" spans="2:57">
      <c r="B20" s="19" t="s">
        <v>75</v>
      </c>
      <c r="C20" s="254" t="s">
        <v>894</v>
      </c>
      <c r="D20" s="255" t="s">
        <v>870</v>
      </c>
      <c r="E20" s="122" t="str">
        <f>Main_Parameters!$C$128</f>
        <v>00001770</v>
      </c>
      <c r="F20" s="179"/>
      <c r="G20"/>
      <c r="H20"/>
      <c r="I20"/>
      <c r="J20"/>
      <c r="K20"/>
      <c r="L20"/>
      <c r="M20"/>
      <c r="N20"/>
      <c r="O20"/>
      <c r="P20"/>
      <c r="Q20"/>
      <c r="R20"/>
      <c r="S20"/>
      <c r="T20"/>
      <c r="U20"/>
      <c r="V20"/>
      <c r="W20"/>
      <c r="X20" s="376"/>
      <c r="AH20" s="376"/>
    </row>
    <row r="21" spans="2:57" ht="15">
      <c r="B21" s="19" t="s">
        <v>75</v>
      </c>
      <c r="C21" s="254" t="s">
        <v>895</v>
      </c>
      <c r="D21" s="255" t="s">
        <v>896</v>
      </c>
      <c r="E21" s="122" t="str">
        <f>DEC2HEX(HEX2DEC(K21),8)</f>
        <v>00000000</v>
      </c>
      <c r="F21" s="179"/>
      <c r="G21"/>
      <c r="H21" s="495" t="s">
        <v>953</v>
      </c>
      <c r="I21" s="496"/>
      <c r="J21" s="497"/>
      <c r="K21" s="283">
        <v>0</v>
      </c>
      <c r="L21" s="267" t="str">
        <f>IF(HEX2DEC(K21)&lt;0,"NG",IF(HEX2DEC(K21)&gt;4294967295,"NG","OK"))</f>
        <v>OK</v>
      </c>
      <c r="M21" s="265"/>
      <c r="N21" s="268"/>
      <c r="O21" s="268"/>
      <c r="P21" s="268"/>
      <c r="Q21" s="268"/>
      <c r="R21" s="268"/>
      <c r="S21" s="268"/>
      <c r="T21" s="268"/>
      <c r="U21" s="268"/>
      <c r="V21" s="268"/>
      <c r="W21" s="266"/>
      <c r="X21" s="376"/>
      <c r="AH21" s="376"/>
    </row>
    <row r="22" spans="2:57">
      <c r="B22" s="19" t="s">
        <v>75</v>
      </c>
      <c r="C22" s="254" t="s">
        <v>897</v>
      </c>
      <c r="D22" s="255" t="s">
        <v>898</v>
      </c>
      <c r="E22" s="122" t="str">
        <f>DEC2HEX(Y22*2^31+Z22*2^30+AA22*2^29+AB22*2^28+AC22*2^27+AD22*2^26+AE22*2^25+AF22*2^24+AG22*2^23+AH22*2^22+AI22*2^21+AJ22*2^20+AK22*2^19+AL22*2^18+AM22*2^17+AN22*2^16+AO22*2^15+AP22*2^14+AQ22*2^13+AR22*2^12+AS22*2^11+AT22*2^10+AU22*2^9+AV22*2^8+AW22*2^7+AX22*2^6+AY22*2^5+AZ22*2^4+BA22*2^3+BB22*2^2+BC22*2^1+BD22*2^0,8)</f>
        <v>00000101</v>
      </c>
      <c r="F22" s="179"/>
      <c r="G22"/>
      <c r="H22" s="265"/>
      <c r="I22" s="268"/>
      <c r="J22" s="268"/>
      <c r="K22" s="268"/>
      <c r="L22" s="282" t="s">
        <v>1584</v>
      </c>
      <c r="M22" s="282" t="s">
        <v>1585</v>
      </c>
      <c r="N22" s="282" t="s">
        <v>1586</v>
      </c>
      <c r="O22" s="282" t="s">
        <v>1587</v>
      </c>
      <c r="P22" s="282" t="s">
        <v>1588</v>
      </c>
      <c r="Q22" s="282" t="s">
        <v>1589</v>
      </c>
      <c r="R22" s="282" t="s">
        <v>1590</v>
      </c>
      <c r="S22" s="282" t="s">
        <v>955</v>
      </c>
      <c r="T22" s="282" t="s">
        <v>956</v>
      </c>
      <c r="U22" s="282" t="s">
        <v>957</v>
      </c>
      <c r="V22" s="409" t="s">
        <v>1523</v>
      </c>
      <c r="W22" s="280" t="s">
        <v>954</v>
      </c>
      <c r="X22" s="376"/>
      <c r="Y22" s="168">
        <v>0</v>
      </c>
      <c r="Z22" s="168">
        <v>0</v>
      </c>
      <c r="AA22" s="168">
        <v>0</v>
      </c>
      <c r="AB22" s="168">
        <v>0</v>
      </c>
      <c r="AC22" s="168">
        <v>0</v>
      </c>
      <c r="AD22" s="168">
        <v>0</v>
      </c>
      <c r="AE22" s="168">
        <v>0</v>
      </c>
      <c r="AF22" s="168">
        <v>0</v>
      </c>
      <c r="AG22" s="168">
        <v>0</v>
      </c>
      <c r="AH22" s="376">
        <f>IF(L22="INIT Int Enb",1,0)</f>
        <v>0</v>
      </c>
      <c r="AI22" s="376">
        <f>IF(M22="ApErr Int Enb",1,0)</f>
        <v>0</v>
      </c>
      <c r="AJ22" s="376">
        <f>IF(N22="DSIPrto Int Enb",1,0)</f>
        <v>0</v>
      </c>
      <c r="AK22" s="376">
        <f>IF(O22="DSIrErr Int Enb",1,0)</f>
        <v>0</v>
      </c>
      <c r="AL22" s="376">
        <f>IF(P22="DSILPTX Int Enb",1,0)</f>
        <v>0</v>
      </c>
      <c r="AM22" s="376">
        <f>IF(Q22="DSIrTrg Int Enb",1,0)</f>
        <v>0</v>
      </c>
      <c r="AN22" s="376">
        <f>IF(R22="DSIrStat Int Enb",1,0)</f>
        <v>0</v>
      </c>
      <c r="AO22" s="168">
        <v>0</v>
      </c>
      <c r="AP22" s="376">
        <f>IF(S22="PRESP_TO Enb",1,0)</f>
        <v>0</v>
      </c>
      <c r="AQ22" s="376">
        <v>0</v>
      </c>
      <c r="AR22" s="376">
        <v>0</v>
      </c>
      <c r="AS22" s="376">
        <v>0</v>
      </c>
      <c r="AT22" s="376">
        <f>IF(T22="HSTX_TO Enb",1,0)</f>
        <v>0</v>
      </c>
      <c r="AU22" s="376">
        <f>IF(U22="IND_TO Enb",1,0)</f>
        <v>0</v>
      </c>
      <c r="AV22" s="376">
        <f>IF(V22="INDMdSel Reg",1,0)</f>
        <v>1</v>
      </c>
      <c r="AW22" s="168">
        <v>0</v>
      </c>
      <c r="AX22" s="168">
        <v>0</v>
      </c>
      <c r="AY22" s="168">
        <v>0</v>
      </c>
      <c r="AZ22" s="168">
        <v>0</v>
      </c>
      <c r="BA22" s="168">
        <v>0</v>
      </c>
      <c r="BB22" s="168">
        <v>0</v>
      </c>
      <c r="BC22" s="168">
        <v>0</v>
      </c>
      <c r="BD22" s="376">
        <f>IF(W22="VHDELAY Reg",1,0)</f>
        <v>1</v>
      </c>
    </row>
    <row r="23" spans="2:57" ht="15">
      <c r="B23" s="280" t="s">
        <v>1100</v>
      </c>
      <c r="C23" s="254" t="s">
        <v>1230</v>
      </c>
      <c r="D23" s="255" t="s">
        <v>1229</v>
      </c>
      <c r="E23" s="122" t="str">
        <f>DEC2HEX(Y23*2^31+Z23*2^30+AA23*2^29+AB23*2^28+AC23*2^27+AD23*2^26+AE23*2^25+AF23*2^24+AG23*2^23+AH23*2^22+AI23*2^21+AJ23*2^20+AK23*2^19+AL23*2^18+AM23*2^17+AN23*2^16+AO23*2^15+AP23*2^14+AQ23*2^13+AR23*2^12+AS23*2^11+AT23*2^10+AU23*2^9+AV23*2^8+AW23*2^7+AX23*2^6+AY23*2^5+AZ23*2^4+BA23*2^3+BB23*2^2+BC23*2^1+BD23*2^0,8)</f>
        <v>00000000</v>
      </c>
      <c r="F23" s="179"/>
      <c r="G23"/>
      <c r="H23" s="265"/>
      <c r="I23" s="268"/>
      <c r="J23" s="268"/>
      <c r="K23" s="268"/>
      <c r="L23" s="268"/>
      <c r="M23" s="268"/>
      <c r="N23" s="273"/>
      <c r="O23" s="273"/>
      <c r="P23" s="273"/>
      <c r="Q23" s="279" t="s">
        <v>1235</v>
      </c>
      <c r="R23" s="264" t="str">
        <f>IF(S23&gt;8191,"NG",IF(S23&lt;0,"NG","OK"))</f>
        <v>OK</v>
      </c>
      <c r="S23" s="315">
        <v>0</v>
      </c>
      <c r="T23" s="261" t="s">
        <v>1233</v>
      </c>
      <c r="U23" s="282" t="s">
        <v>1236</v>
      </c>
      <c r="V23" s="261" t="s">
        <v>1231</v>
      </c>
      <c r="W23" s="280" t="s">
        <v>1232</v>
      </c>
      <c r="X23" s="376"/>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f>S23</f>
        <v>0</v>
      </c>
      <c r="BB23" s="168">
        <v>0</v>
      </c>
      <c r="BC23" s="168">
        <f>IF(U23="VFP",0,IF(U23="Immediate",2,1))</f>
        <v>0</v>
      </c>
      <c r="BD23" s="168">
        <f>IF(W23="Input",0,1)</f>
        <v>0</v>
      </c>
      <c r="BE23" s="376"/>
    </row>
    <row r="24" spans="2:57" ht="15">
      <c r="B24" s="19" t="s">
        <v>75</v>
      </c>
      <c r="C24" s="254" t="s">
        <v>899</v>
      </c>
      <c r="D24" s="255" t="s">
        <v>900</v>
      </c>
      <c r="E24" s="122" t="str">
        <f t="shared" ref="E24:E31" si="0">DEC2HEX(HEX2DEC(K24),8)</f>
        <v>00010000</v>
      </c>
      <c r="F24" s="179"/>
      <c r="G24"/>
      <c r="H24" s="495" t="s">
        <v>958</v>
      </c>
      <c r="I24" s="496"/>
      <c r="J24" s="497"/>
      <c r="K24" s="283" t="s">
        <v>959</v>
      </c>
      <c r="L24" s="264" t="str">
        <f t="shared" ref="L24:L31" si="1">IF(HEX2DEC(K24)&lt;0,"NG",IF(HEX2DEC(K24)&gt;4294967295,"NG","OK"))</f>
        <v>OK</v>
      </c>
      <c r="M24" s="265"/>
      <c r="N24" s="268"/>
      <c r="O24" s="268"/>
      <c r="P24" s="268"/>
      <c r="Q24" s="268"/>
      <c r="R24" s="268"/>
      <c r="S24" s="268"/>
      <c r="T24" s="268"/>
      <c r="U24" s="268"/>
      <c r="V24" s="268"/>
      <c r="W24" s="266"/>
    </row>
    <row r="25" spans="2:57" ht="15">
      <c r="B25" s="19" t="s">
        <v>75</v>
      </c>
      <c r="C25" s="254" t="s">
        <v>901</v>
      </c>
      <c r="D25" s="255" t="s">
        <v>902</v>
      </c>
      <c r="E25" s="122" t="str">
        <f t="shared" si="0"/>
        <v>00005000</v>
      </c>
      <c r="F25" s="179"/>
      <c r="G25"/>
      <c r="H25" s="495" t="s">
        <v>1019</v>
      </c>
      <c r="I25" s="496"/>
      <c r="J25" s="497"/>
      <c r="K25" s="283" t="s">
        <v>960</v>
      </c>
      <c r="L25" s="264" t="str">
        <f t="shared" si="1"/>
        <v>OK</v>
      </c>
      <c r="M25" s="265"/>
      <c r="N25" s="268"/>
      <c r="O25" s="268"/>
      <c r="P25" s="268"/>
      <c r="Q25" s="268"/>
      <c r="R25" s="268"/>
      <c r="S25" s="268"/>
      <c r="T25" s="268"/>
      <c r="U25" s="268"/>
      <c r="V25" s="268"/>
      <c r="W25" s="266"/>
      <c r="X25" s="376"/>
      <c r="AH25" s="376"/>
    </row>
    <row r="26" spans="2:57" ht="15">
      <c r="B26" s="19" t="s">
        <v>75</v>
      </c>
      <c r="C26" s="254" t="s">
        <v>903</v>
      </c>
      <c r="D26" s="255" t="s">
        <v>904</v>
      </c>
      <c r="E26" s="122" t="str">
        <f t="shared" si="0"/>
        <v>00010000</v>
      </c>
      <c r="F26" s="179"/>
      <c r="G26"/>
      <c r="H26" s="495" t="s">
        <v>961</v>
      </c>
      <c r="I26" s="496"/>
      <c r="J26" s="497"/>
      <c r="K26" s="283" t="s">
        <v>967</v>
      </c>
      <c r="L26" s="264" t="str">
        <f t="shared" si="1"/>
        <v>OK</v>
      </c>
      <c r="M26" s="265"/>
      <c r="N26" s="268"/>
      <c r="O26" s="268"/>
      <c r="P26" s="268"/>
      <c r="Q26" s="268"/>
      <c r="R26" s="268"/>
      <c r="S26" s="268"/>
      <c r="T26" s="268"/>
      <c r="U26" s="268"/>
      <c r="V26" s="268"/>
      <c r="W26" s="266"/>
      <c r="X26" s="376"/>
      <c r="AH26" s="376"/>
    </row>
    <row r="27" spans="2:57" ht="15">
      <c r="B27" s="19" t="s">
        <v>75</v>
      </c>
      <c r="C27" s="254" t="s">
        <v>905</v>
      </c>
      <c r="D27" s="255" t="s">
        <v>906</v>
      </c>
      <c r="E27" s="122" t="str">
        <f t="shared" si="0"/>
        <v>00010000</v>
      </c>
      <c r="F27" s="179"/>
      <c r="G27"/>
      <c r="H27" s="495" t="s">
        <v>962</v>
      </c>
      <c r="I27" s="496"/>
      <c r="J27" s="497"/>
      <c r="K27" s="283" t="s">
        <v>967</v>
      </c>
      <c r="L27" s="264" t="str">
        <f t="shared" si="1"/>
        <v>OK</v>
      </c>
      <c r="M27" s="265"/>
      <c r="N27" s="268"/>
      <c r="O27" s="268"/>
      <c r="P27" s="268"/>
      <c r="Q27" s="268"/>
      <c r="R27" s="268"/>
      <c r="S27" s="268"/>
      <c r="T27" s="268"/>
      <c r="U27" s="268"/>
      <c r="V27" s="268"/>
      <c r="W27" s="266"/>
      <c r="X27" s="376"/>
      <c r="AH27" s="376"/>
    </row>
    <row r="28" spans="2:57" ht="15">
      <c r="B28" s="19" t="s">
        <v>75</v>
      </c>
      <c r="C28" s="254" t="s">
        <v>907</v>
      </c>
      <c r="D28" s="255" t="s">
        <v>908</v>
      </c>
      <c r="E28" s="122" t="str">
        <f t="shared" si="0"/>
        <v>00010000</v>
      </c>
      <c r="F28" s="179"/>
      <c r="G28"/>
      <c r="H28" s="495" t="s">
        <v>963</v>
      </c>
      <c r="I28" s="496"/>
      <c r="J28" s="497"/>
      <c r="K28" s="283" t="s">
        <v>967</v>
      </c>
      <c r="L28" s="264" t="str">
        <f t="shared" si="1"/>
        <v>OK</v>
      </c>
      <c r="M28" s="265"/>
      <c r="N28" s="268"/>
      <c r="O28" s="268"/>
      <c r="P28" s="268"/>
      <c r="Q28" s="268"/>
      <c r="R28" s="268"/>
      <c r="S28" s="268"/>
      <c r="T28" s="268"/>
      <c r="U28" s="268"/>
      <c r="V28" s="268"/>
      <c r="W28" s="266"/>
      <c r="X28" s="376"/>
      <c r="AH28" s="376"/>
    </row>
    <row r="29" spans="2:57" ht="15">
      <c r="B29" s="19" t="s">
        <v>75</v>
      </c>
      <c r="C29" s="254" t="s">
        <v>909</v>
      </c>
      <c r="D29" s="255" t="s">
        <v>76</v>
      </c>
      <c r="E29" s="122" t="str">
        <f t="shared" si="0"/>
        <v>00010000</v>
      </c>
      <c r="F29" s="179"/>
      <c r="G29"/>
      <c r="H29" s="495" t="s">
        <v>964</v>
      </c>
      <c r="I29" s="496"/>
      <c r="J29" s="497"/>
      <c r="K29" s="283" t="s">
        <v>967</v>
      </c>
      <c r="L29" s="264" t="str">
        <f t="shared" si="1"/>
        <v>OK</v>
      </c>
      <c r="M29" s="265"/>
      <c r="N29" s="268"/>
      <c r="O29" s="268"/>
      <c r="P29" s="268"/>
      <c r="Q29" s="268"/>
      <c r="R29" s="268"/>
      <c r="S29" s="268"/>
      <c r="T29" s="268"/>
      <c r="U29" s="268"/>
      <c r="V29" s="268"/>
      <c r="W29" s="266"/>
      <c r="X29" s="376"/>
      <c r="AH29" s="376"/>
    </row>
    <row r="30" spans="2:57" ht="15">
      <c r="B30" s="19" t="s">
        <v>75</v>
      </c>
      <c r="C30" s="254" t="s">
        <v>910</v>
      </c>
      <c r="D30" s="255" t="s">
        <v>77</v>
      </c>
      <c r="E30" s="122" t="str">
        <f t="shared" si="0"/>
        <v>00001000</v>
      </c>
      <c r="F30" s="179"/>
      <c r="G30"/>
      <c r="H30" s="495" t="s">
        <v>965</v>
      </c>
      <c r="I30" s="496"/>
      <c r="J30" s="497"/>
      <c r="K30" s="283" t="s">
        <v>968</v>
      </c>
      <c r="L30" s="264" t="str">
        <f t="shared" si="1"/>
        <v>OK</v>
      </c>
      <c r="M30" s="265"/>
      <c r="N30" s="268"/>
      <c r="O30" s="268"/>
      <c r="P30" s="268"/>
      <c r="Q30" s="268"/>
      <c r="R30" s="268"/>
      <c r="S30" s="268"/>
      <c r="T30" s="268"/>
      <c r="U30" s="268"/>
      <c r="V30" s="268"/>
      <c r="W30" s="266"/>
      <c r="X30" s="376"/>
      <c r="AH30" s="376"/>
    </row>
    <row r="31" spans="2:57" ht="15">
      <c r="B31" s="19" t="s">
        <v>75</v>
      </c>
      <c r="C31" s="254" t="s">
        <v>911</v>
      </c>
      <c r="D31" s="255" t="s">
        <v>78</v>
      </c>
      <c r="E31" s="122" t="str">
        <f t="shared" si="0"/>
        <v>00010000</v>
      </c>
      <c r="F31" s="179"/>
      <c r="G31"/>
      <c r="H31" s="495" t="s">
        <v>966</v>
      </c>
      <c r="I31" s="496"/>
      <c r="J31" s="497"/>
      <c r="K31" s="283" t="s">
        <v>967</v>
      </c>
      <c r="L31" s="264" t="str">
        <f t="shared" si="1"/>
        <v>OK</v>
      </c>
      <c r="M31" s="265"/>
      <c r="N31" s="268"/>
      <c r="O31" s="268"/>
      <c r="P31" s="268"/>
      <c r="Q31" s="268"/>
      <c r="R31" s="268"/>
      <c r="S31" s="268"/>
      <c r="T31" s="268"/>
      <c r="U31" s="268"/>
      <c r="V31" s="268"/>
      <c r="W31" s="266"/>
      <c r="X31" s="376"/>
      <c r="AH31" s="376"/>
    </row>
    <row r="32" spans="2:57">
      <c r="B32" s="19" t="s">
        <v>75</v>
      </c>
      <c r="C32" s="254" t="s">
        <v>912</v>
      </c>
      <c r="D32" s="255" t="s">
        <v>79</v>
      </c>
      <c r="E32" s="122" t="str">
        <f>DEC2HEX(Y32*2^31+Z32*2^30+AA32*2^29+AB32*2^28+AC32*2^27+AD32*2^26+AE32*2^25+AF32*2^24+AG32*2^23+AH32*2^22+AI32*2^21+AJ32*2^20+AK32*2^19+AL32*2^18+AM32*2^17+AN32*2^16+AO32*2^15+AP32*2^14+AQ32*2^13+AR32*2^12+AS32*2^11+AT32*2^10+AU32*2^9+AV32*2^8+AW32*2^7+AX32*2^6+AY32*2^5+AZ32*2^4+BA32*2^3+BB32*2^2+BC32*2^1+BD32*2^0,8)</f>
        <v>00000160</v>
      </c>
      <c r="F32" s="179"/>
      <c r="G32"/>
      <c r="H32" s="269"/>
      <c r="I32" s="270"/>
      <c r="J32" s="270"/>
      <c r="K32" s="271"/>
      <c r="L32" s="257" t="s">
        <v>974</v>
      </c>
      <c r="M32" s="280" t="s">
        <v>975</v>
      </c>
      <c r="N32" s="257" t="s">
        <v>973</v>
      </c>
      <c r="O32" s="280" t="s">
        <v>36</v>
      </c>
      <c r="P32" s="257" t="s">
        <v>972</v>
      </c>
      <c r="Q32" s="280" t="s">
        <v>38</v>
      </c>
      <c r="R32" s="257" t="s">
        <v>971</v>
      </c>
      <c r="S32" s="281" t="s">
        <v>38</v>
      </c>
      <c r="T32" s="261" t="s">
        <v>970</v>
      </c>
      <c r="U32" s="262" t="str">
        <f>IF(Main_Parameters!$C$80="Enable","Continuous","Discontinuous")</f>
        <v>Continuous</v>
      </c>
      <c r="V32" s="261" t="s">
        <v>969</v>
      </c>
      <c r="W32" s="262" t="str">
        <f>IF(Main_Parameters!$C$79="Yes","Yes","No")</f>
        <v>No</v>
      </c>
      <c r="X32" s="395"/>
      <c r="Y32" s="396">
        <v>0</v>
      </c>
      <c r="Z32" s="396">
        <v>0</v>
      </c>
      <c r="AA32" s="396">
        <v>0</v>
      </c>
      <c r="AB32" s="396">
        <v>0</v>
      </c>
      <c r="AC32" s="396">
        <v>0</v>
      </c>
      <c r="AD32" s="396">
        <v>0</v>
      </c>
      <c r="AE32" s="396">
        <v>0</v>
      </c>
      <c r="AF32" s="396">
        <v>0</v>
      </c>
      <c r="AG32" s="396">
        <v>0</v>
      </c>
      <c r="AH32" s="395">
        <v>0</v>
      </c>
      <c r="AI32" s="396">
        <v>0</v>
      </c>
      <c r="AJ32" s="396">
        <v>0</v>
      </c>
      <c r="AK32" s="396">
        <v>0</v>
      </c>
      <c r="AL32" s="396">
        <v>0</v>
      </c>
      <c r="AM32" s="396">
        <v>0</v>
      </c>
      <c r="AN32" s="396">
        <v>0</v>
      </c>
      <c r="AO32" s="396">
        <v>0</v>
      </c>
      <c r="AP32" s="396">
        <v>0</v>
      </c>
      <c r="AQ32" s="396">
        <v>0</v>
      </c>
      <c r="AR32" s="396">
        <v>0</v>
      </c>
      <c r="AS32" s="396">
        <v>0</v>
      </c>
      <c r="AT32" s="396">
        <f>IF(M32="Forced to STOP",1,0)</f>
        <v>0</v>
      </c>
      <c r="AU32" s="396">
        <f>IF(O32="Disable",1,0)</f>
        <v>0</v>
      </c>
      <c r="AV32" s="396">
        <f>IF(Q32="Disable",1,0)</f>
        <v>1</v>
      </c>
      <c r="AW32" s="396">
        <v>0</v>
      </c>
      <c r="AX32" s="396">
        <f>IF(S32="Disable",1,0)</f>
        <v>1</v>
      </c>
      <c r="AY32" s="396">
        <f>IF(U32="Continuous",1,0)</f>
        <v>1</v>
      </c>
      <c r="AZ32" s="396">
        <v>0</v>
      </c>
      <c r="BA32" s="396">
        <v>0</v>
      </c>
      <c r="BB32" s="396">
        <v>0</v>
      </c>
      <c r="BC32" s="396">
        <v>0</v>
      </c>
      <c r="BD32" s="396">
        <f>IF(W32="Yes",1,0)</f>
        <v>0</v>
      </c>
    </row>
    <row r="33" spans="2:57">
      <c r="B33" s="19" t="s">
        <v>75</v>
      </c>
      <c r="C33" s="254" t="s">
        <v>913</v>
      </c>
      <c r="D33" s="255" t="s">
        <v>914</v>
      </c>
      <c r="E33" s="122" t="str">
        <f>DEC2HEX(Y33*2^31+Z33*2^30+AA33*2^29+AB33*2^28+AC33*2^27+AD33*2^26+AE33*2^25+AF33*2^24+AG33*2^23+AH33*2^22+AI33*2^21+AJ33*2^20+AK33*2^19+AL33*2^18+AM33*2^17+AN33*2^16+AO33*2^15+AP33*2^14+AQ33*2^13+AR33*2^12+AS33*2^11+AT33*2^10+AU33*2^9+AV33*2^8+AW33*2^7+AX33*2^6+AY33*2^5+AZ33*2^4+BA33*2^3+BB33*2^2+BC33*2^1+BD33*2^0,8)</f>
        <v>00000001</v>
      </c>
      <c r="F33" s="179"/>
      <c r="G33"/>
      <c r="H33" s="265"/>
      <c r="I33" s="268"/>
      <c r="J33" s="268"/>
      <c r="K33" s="268"/>
      <c r="L33" s="268"/>
      <c r="M33" s="268"/>
      <c r="N33" s="268"/>
      <c r="O33" s="266"/>
      <c r="P33" s="258" t="s">
        <v>979</v>
      </c>
      <c r="Q33" s="280" t="s">
        <v>38</v>
      </c>
      <c r="R33" s="258" t="s">
        <v>978</v>
      </c>
      <c r="S33" s="280" t="s">
        <v>38</v>
      </c>
      <c r="T33" s="258" t="s">
        <v>977</v>
      </c>
      <c r="U33" s="280" t="s">
        <v>38</v>
      </c>
      <c r="V33" s="258" t="s">
        <v>976</v>
      </c>
      <c r="W33" s="280" t="s">
        <v>36</v>
      </c>
      <c r="X33" s="395"/>
      <c r="Y33" s="396">
        <v>0</v>
      </c>
      <c r="Z33" s="396">
        <v>0</v>
      </c>
      <c r="AA33" s="396">
        <v>0</v>
      </c>
      <c r="AB33" s="396">
        <v>0</v>
      </c>
      <c r="AC33" s="396">
        <v>0</v>
      </c>
      <c r="AD33" s="396">
        <v>0</v>
      </c>
      <c r="AE33" s="396">
        <v>0</v>
      </c>
      <c r="AF33" s="396">
        <v>0</v>
      </c>
      <c r="AG33" s="396">
        <v>0</v>
      </c>
      <c r="AH33" s="395">
        <v>0</v>
      </c>
      <c r="AI33" s="396">
        <v>0</v>
      </c>
      <c r="AJ33" s="396">
        <v>0</v>
      </c>
      <c r="AK33" s="396">
        <v>0</v>
      </c>
      <c r="AL33" s="396">
        <v>0</v>
      </c>
      <c r="AM33" s="396">
        <v>0</v>
      </c>
      <c r="AN33" s="396">
        <v>0</v>
      </c>
      <c r="AO33" s="396">
        <v>0</v>
      </c>
      <c r="AP33" s="396">
        <v>0</v>
      </c>
      <c r="AQ33" s="396">
        <v>0</v>
      </c>
      <c r="AR33" s="396">
        <v>0</v>
      </c>
      <c r="AS33" s="396">
        <v>0</v>
      </c>
      <c r="AT33" s="396">
        <v>0</v>
      </c>
      <c r="AU33" s="396">
        <v>0</v>
      </c>
      <c r="AV33" s="396">
        <v>0</v>
      </c>
      <c r="AW33" s="396">
        <v>0</v>
      </c>
      <c r="AX33" s="396">
        <v>0</v>
      </c>
      <c r="AY33" s="396">
        <v>0</v>
      </c>
      <c r="AZ33" s="396">
        <v>0</v>
      </c>
      <c r="BA33" s="396">
        <f>IF(Q33="Enable",1,0)</f>
        <v>0</v>
      </c>
      <c r="BB33" s="396">
        <f>IF(S33="Enable",1,0)</f>
        <v>0</v>
      </c>
      <c r="BC33" s="396">
        <f>IF(U33="Enable",1,0)</f>
        <v>0</v>
      </c>
      <c r="BD33" s="396">
        <f>IF(W33="Enable",1,0)</f>
        <v>1</v>
      </c>
    </row>
    <row r="34" spans="2:57" ht="15">
      <c r="B34" s="19" t="s">
        <v>75</v>
      </c>
      <c r="C34" s="254" t="s">
        <v>915</v>
      </c>
      <c r="D34" s="255" t="s">
        <v>916</v>
      </c>
      <c r="E34" s="122" t="str">
        <f>DEC2HEX(HEX2DEC(K34),8)</f>
        <v>000000C8</v>
      </c>
      <c r="F34" s="179"/>
      <c r="G34"/>
      <c r="H34" s="495" t="s">
        <v>980</v>
      </c>
      <c r="I34" s="496"/>
      <c r="J34" s="497"/>
      <c r="K34" s="283" t="s">
        <v>981</v>
      </c>
      <c r="L34" s="264" t="str">
        <f>IF(HEX2DEC(K34)&lt;0,"NG",IF(HEX2DEC(K34)&gt;4294967295,"NG","OK"))</f>
        <v>OK</v>
      </c>
      <c r="M34" s="265"/>
      <c r="N34" s="268"/>
      <c r="O34" s="268"/>
      <c r="P34" s="268"/>
      <c r="Q34" s="268"/>
      <c r="R34" s="268"/>
      <c r="S34" s="268"/>
      <c r="T34" s="268"/>
      <c r="U34" s="268"/>
      <c r="V34" s="268"/>
      <c r="W34" s="266"/>
      <c r="X34" s="376"/>
      <c r="AH34" s="376"/>
    </row>
    <row r="35" spans="2:57">
      <c r="B35" s="280" t="s">
        <v>1100</v>
      </c>
      <c r="C35" s="254" t="s">
        <v>1257</v>
      </c>
      <c r="D35" s="255" t="s">
        <v>1256</v>
      </c>
      <c r="E35" s="122" t="str">
        <f>DEC2HEX(Y35*2^31+Z35*2^30+AA35*2^29+AB35*2^28+AC35*2^27+AD35*2^26+AE35*2^25+AF35*2^24+AG35*2^23+AH35*2^22+AI35*2^21+AJ35*2^20+AK35*2^19+AL35*2^18+AM35*2^17+AN35*2^16+AO35*2^15+AP35*2^14+AQ35*2^13+AR35*2^12+AS35*2^11+AT35*2^10+AU35*2^9+AV35*2^8+AW35*2^7+AX35*2^6+AY35*2^5+AZ35*2^4+BA35*2^3+BB35*2^2+BC35*2^1+BD35*2^0,8)</f>
        <v>00000014</v>
      </c>
      <c r="F35" s="179"/>
      <c r="G35"/>
      <c r="H35" s="265"/>
      <c r="I35" s="268"/>
      <c r="J35" s="268"/>
      <c r="K35" s="268"/>
      <c r="L35" s="268"/>
      <c r="M35" s="268"/>
      <c r="N35" s="259"/>
      <c r="O35" s="259"/>
      <c r="P35" s="273"/>
      <c r="Q35" s="260"/>
      <c r="R35" s="305" t="s">
        <v>1260</v>
      </c>
      <c r="S35" s="280" t="s">
        <v>1261</v>
      </c>
      <c r="T35" s="304" t="s">
        <v>1259</v>
      </c>
      <c r="U35" s="280" t="s">
        <v>1261</v>
      </c>
      <c r="V35" s="304" t="s">
        <v>1258</v>
      </c>
      <c r="W35" s="280" t="s">
        <v>991</v>
      </c>
      <c r="X35" s="376"/>
      <c r="Y35" s="168">
        <v>0</v>
      </c>
      <c r="Z35" s="168">
        <v>0</v>
      </c>
      <c r="AA35" s="168">
        <v>0</v>
      </c>
      <c r="AB35" s="168">
        <v>0</v>
      </c>
      <c r="AC35" s="168">
        <v>0</v>
      </c>
      <c r="AD35" s="168">
        <v>0</v>
      </c>
      <c r="AE35" s="168">
        <v>0</v>
      </c>
      <c r="AF35" s="168">
        <v>0</v>
      </c>
      <c r="AG35" s="168">
        <v>0</v>
      </c>
      <c r="AH35" s="168">
        <v>0</v>
      </c>
      <c r="AI35" s="168">
        <v>0</v>
      </c>
      <c r="AJ35" s="168">
        <v>0</v>
      </c>
      <c r="AK35" s="168">
        <v>0</v>
      </c>
      <c r="AL35" s="168">
        <v>0</v>
      </c>
      <c r="AM35" s="168">
        <v>0</v>
      </c>
      <c r="AN35" s="168">
        <v>0</v>
      </c>
      <c r="AO35" s="168">
        <v>0</v>
      </c>
      <c r="AP35" s="168">
        <v>0</v>
      </c>
      <c r="AQ35" s="168">
        <v>0</v>
      </c>
      <c r="AR35" s="168">
        <v>0</v>
      </c>
      <c r="AS35" s="168">
        <v>0</v>
      </c>
      <c r="AT35" s="168">
        <v>0</v>
      </c>
      <c r="AU35" s="168">
        <v>0</v>
      </c>
      <c r="AV35" s="168">
        <v>0</v>
      </c>
      <c r="AW35" s="168">
        <v>0</v>
      </c>
      <c r="AX35" s="168">
        <v>0</v>
      </c>
      <c r="AY35" s="168">
        <v>0</v>
      </c>
      <c r="AZ35" s="168">
        <f>IF(S35="Mask",1,0)</f>
        <v>1</v>
      </c>
      <c r="BA35" s="168">
        <v>0</v>
      </c>
      <c r="BB35" s="168">
        <f>IF(U35="Mask",1,0)</f>
        <v>1</v>
      </c>
      <c r="BC35" s="168">
        <v>0</v>
      </c>
      <c r="BD35" s="168">
        <f>IF(W35="Mask",1,0)</f>
        <v>0</v>
      </c>
      <c r="BE35" s="376"/>
    </row>
    <row r="36" spans="2:57" ht="15">
      <c r="B36" s="19" t="s">
        <v>75</v>
      </c>
      <c r="C36" s="254" t="s">
        <v>917</v>
      </c>
      <c r="D36" s="255" t="s">
        <v>918</v>
      </c>
      <c r="E36" s="122" t="str">
        <f>DEC2HEX(HEX2DEC(K36),8)</f>
        <v>0000002A</v>
      </c>
      <c r="F36" s="179"/>
      <c r="G36"/>
      <c r="H36" s="495" t="s">
        <v>982</v>
      </c>
      <c r="I36" s="496"/>
      <c r="J36" s="497"/>
      <c r="K36" s="283" t="s">
        <v>1271</v>
      </c>
      <c r="L36" s="264" t="str">
        <f>IF(HEX2DEC(K36)&lt;0,"NG",IF(HEX2DEC(K36)&gt;65535,"NG","OK"))</f>
        <v>OK</v>
      </c>
      <c r="M36" s="265"/>
      <c r="N36" s="268"/>
      <c r="O36" s="268"/>
      <c r="P36" s="268"/>
      <c r="Q36" s="268"/>
      <c r="R36" s="268"/>
      <c r="S36" s="268"/>
      <c r="T36" s="268"/>
      <c r="U36" s="268"/>
      <c r="V36" s="268"/>
      <c r="W36" s="266"/>
      <c r="X36" s="376"/>
      <c r="AH36" s="376"/>
    </row>
    <row r="37" spans="2:57">
      <c r="B37" s="19" t="s">
        <v>75</v>
      </c>
      <c r="C37" s="254" t="s">
        <v>919</v>
      </c>
      <c r="D37" s="255" t="s">
        <v>920</v>
      </c>
      <c r="E37" s="122" t="str">
        <f>Main_Parameters!$C$130</f>
        <v>00000478</v>
      </c>
      <c r="F37" s="179"/>
      <c r="G37"/>
      <c r="H37"/>
      <c r="I37"/>
      <c r="J37"/>
      <c r="K37"/>
      <c r="L37"/>
      <c r="M37"/>
      <c r="N37"/>
      <c r="O37"/>
      <c r="P37"/>
      <c r="Q37"/>
      <c r="R37"/>
      <c r="S37"/>
      <c r="T37"/>
      <c r="U37"/>
      <c r="V37"/>
      <c r="W37"/>
      <c r="X37" s="376"/>
      <c r="AH37" s="376"/>
    </row>
    <row r="38" spans="2:57">
      <c r="B38" s="280" t="s">
        <v>1100</v>
      </c>
      <c r="C38" s="254" t="s">
        <v>921</v>
      </c>
      <c r="D38" s="255" t="s">
        <v>922</v>
      </c>
      <c r="E38" s="122" t="str">
        <f>DEC2HEX(Y38*2^31+Z38*2^30+AA38*2^29+AB38*2^28+AC38*2^27+AD38*2^26+AE38*2^25+AF38*2^24+AG38*2^23+AH38*2^22+AI38*2^21+AJ38*2^20+AK38*2^19+AL38*2^18+AM38*2^17+AN38*2^16+AO38*2^15+AP38*2^14+AQ38*2^13+AR38*2^12+AS38*2^11+AT38*2^10+AU38*2^9+AV38*2^8+AW38*2^7+AX38*2^6+AY38*2^5+AZ38*2^4+BA38*2^3+BB38*2^2+BC38*2^1+BD38*2^0,8)</f>
        <v>00000001</v>
      </c>
      <c r="F38" s="179"/>
      <c r="G38"/>
      <c r="H38" s="269"/>
      <c r="I38" s="270"/>
      <c r="J38" s="270"/>
      <c r="K38" s="270"/>
      <c r="L38" s="270"/>
      <c r="M38" s="270"/>
      <c r="N38" s="270"/>
      <c r="O38" s="270"/>
      <c r="P38" s="273"/>
      <c r="Q38" s="273"/>
      <c r="R38" s="274"/>
      <c r="S38" s="275"/>
      <c r="T38" s="275" t="s">
        <v>985</v>
      </c>
      <c r="U38" s="284">
        <v>0</v>
      </c>
      <c r="V38" s="261" t="s">
        <v>984</v>
      </c>
      <c r="W38" s="280" t="s">
        <v>983</v>
      </c>
      <c r="X38" s="395"/>
      <c r="Y38" s="396">
        <v>0</v>
      </c>
      <c r="Z38" s="396">
        <v>0</v>
      </c>
      <c r="AA38" s="396">
        <v>0</v>
      </c>
      <c r="AB38" s="396">
        <v>0</v>
      </c>
      <c r="AC38" s="396">
        <v>0</v>
      </c>
      <c r="AD38" s="396">
        <v>0</v>
      </c>
      <c r="AE38" s="396">
        <v>0</v>
      </c>
      <c r="AF38" s="396">
        <v>0</v>
      </c>
      <c r="AG38" s="396">
        <v>0</v>
      </c>
      <c r="AH38" s="396">
        <v>0</v>
      </c>
      <c r="AI38" s="396">
        <v>0</v>
      </c>
      <c r="AJ38" s="396">
        <v>0</v>
      </c>
      <c r="AK38" s="396">
        <v>0</v>
      </c>
      <c r="AL38" s="396">
        <v>0</v>
      </c>
      <c r="AM38" s="396">
        <v>0</v>
      </c>
      <c r="AN38" s="396">
        <v>0</v>
      </c>
      <c r="AO38" s="396">
        <v>0</v>
      </c>
      <c r="AP38" s="396">
        <v>0</v>
      </c>
      <c r="AQ38" s="396">
        <v>0</v>
      </c>
      <c r="AR38" s="396">
        <v>0</v>
      </c>
      <c r="AS38" s="396">
        <v>0</v>
      </c>
      <c r="AT38" s="396">
        <v>0</v>
      </c>
      <c r="AU38" s="396">
        <v>0</v>
      </c>
      <c r="AV38" s="396">
        <v>0</v>
      </c>
      <c r="AW38" s="396">
        <v>0</v>
      </c>
      <c r="AX38" s="396">
        <v>0</v>
      </c>
      <c r="AY38" s="396">
        <v>0</v>
      </c>
      <c r="AZ38" s="396">
        <v>0</v>
      </c>
      <c r="BA38" s="396">
        <v>0</v>
      </c>
      <c r="BB38" s="396">
        <v>0</v>
      </c>
      <c r="BC38" s="396">
        <f>U38</f>
        <v>0</v>
      </c>
      <c r="BD38" s="396">
        <f>IF(W38="By Reg",1,0)</f>
        <v>1</v>
      </c>
    </row>
    <row r="39" spans="2:57">
      <c r="B39" s="19" t="s">
        <v>75</v>
      </c>
      <c r="C39" s="254" t="s">
        <v>923</v>
      </c>
      <c r="D39" s="255" t="s">
        <v>924</v>
      </c>
      <c r="E39" s="122" t="str">
        <f>Main_Parameters!$C$132</f>
        <v>00000081</v>
      </c>
      <c r="F39" s="179"/>
      <c r="G39"/>
      <c r="H39"/>
      <c r="I39"/>
      <c r="J39"/>
      <c r="K39"/>
      <c r="L39"/>
      <c r="M39"/>
      <c r="N39"/>
      <c r="O39"/>
      <c r="P39"/>
      <c r="Q39"/>
      <c r="R39"/>
      <c r="S39"/>
      <c r="T39"/>
      <c r="U39"/>
      <c r="V39"/>
      <c r="W39"/>
      <c r="X39" s="376"/>
      <c r="Y39" s="376"/>
      <c r="Z39" s="376"/>
      <c r="AA39" s="376"/>
      <c r="AB39" s="376"/>
      <c r="AC39" s="376"/>
      <c r="AD39" s="376"/>
      <c r="AE39" s="376"/>
      <c r="AF39" s="376"/>
      <c r="AG39" s="376"/>
      <c r="AH39" s="376"/>
      <c r="AI39" s="376"/>
      <c r="AJ39" s="376"/>
      <c r="AK39" s="376"/>
      <c r="AL39" s="376"/>
      <c r="AM39" s="376"/>
      <c r="AN39" s="376"/>
      <c r="AO39" s="376"/>
      <c r="AP39" s="376"/>
      <c r="AQ39" s="376"/>
      <c r="AR39" s="376"/>
      <c r="AS39" s="376"/>
      <c r="AT39" s="376"/>
      <c r="AU39" s="376"/>
      <c r="AV39" s="376"/>
      <c r="AW39" s="376"/>
      <c r="AX39" s="376"/>
      <c r="AY39" s="376"/>
      <c r="AZ39" s="376"/>
      <c r="BA39" s="376"/>
      <c r="BB39" s="376"/>
      <c r="BC39" s="376"/>
      <c r="BD39" s="376"/>
    </row>
    <row r="40" spans="2:57">
      <c r="B40" s="19" t="s">
        <v>75</v>
      </c>
      <c r="C40" s="254" t="s">
        <v>925</v>
      </c>
      <c r="D40" s="255" t="s">
        <v>926</v>
      </c>
      <c r="E40" s="122" t="str">
        <f>Main_Parameters!$C$133</f>
        <v>00000001</v>
      </c>
      <c r="F40" s="179"/>
      <c r="G40"/>
      <c r="H40"/>
      <c r="I40"/>
      <c r="J40"/>
      <c r="K40"/>
      <c r="L40"/>
      <c r="M40"/>
      <c r="N40"/>
      <c r="O40"/>
      <c r="P40"/>
      <c r="Q40"/>
      <c r="R40"/>
      <c r="S40"/>
      <c r="T40"/>
      <c r="U40"/>
      <c r="V40"/>
      <c r="W40"/>
      <c r="X40" s="376"/>
      <c r="AH40" s="376"/>
    </row>
    <row r="41" spans="2:57">
      <c r="B41" s="19" t="s">
        <v>75</v>
      </c>
      <c r="C41" s="254" t="s">
        <v>927</v>
      </c>
      <c r="D41" s="255" t="s">
        <v>928</v>
      </c>
      <c r="E41" s="122" t="str">
        <f>Main_Parameters!$C$134</f>
        <v>00000104</v>
      </c>
      <c r="F41" s="179"/>
      <c r="G41"/>
      <c r="H41"/>
      <c r="I41"/>
      <c r="J41"/>
      <c r="K41"/>
      <c r="L41"/>
      <c r="M41"/>
      <c r="N41"/>
      <c r="O41"/>
      <c r="P41"/>
      <c r="Q41"/>
      <c r="R41"/>
      <c r="S41"/>
      <c r="T41"/>
      <c r="U41"/>
      <c r="V41"/>
      <c r="W41"/>
      <c r="X41" s="376"/>
      <c r="AH41" s="376"/>
    </row>
    <row r="42" spans="2:57">
      <c r="B42" s="280" t="s">
        <v>1237</v>
      </c>
      <c r="C42" s="254" t="s">
        <v>929</v>
      </c>
      <c r="D42" s="255" t="s">
        <v>930</v>
      </c>
      <c r="E42" s="122" t="str">
        <f>DEC2HEX(Y42*2^31+Z42*2^30+AA42*2^29+AB42*2^28+AC42*2^27+AD42*2^26+AE42*2^25+AF42*2^24+AG42*2^23+AH42*2^22+AI42*2^21+AJ42*2^20+AK42*2^19+AL42*2^18+AM42*2^17+AN42*2^16+AO42*2^15+AP42*2^14+AQ42*2^13+AR42*2^12+AS42*2^11+AT42*2^10+AU42*2^9+AV42*2^8+AW42*2^7+AX42*2^6+AY42*2^5+AZ42*2^4+BA42*2^3+BB42*2^2+BC42*2^1+BD42*2^0,8)</f>
        <v>00000000</v>
      </c>
      <c r="F42" s="179"/>
      <c r="G42"/>
      <c r="H42" s="269"/>
      <c r="I42" s="270"/>
      <c r="J42" s="270"/>
      <c r="K42" s="270"/>
      <c r="L42" s="270"/>
      <c r="M42" s="271"/>
      <c r="N42" s="275" t="s">
        <v>990</v>
      </c>
      <c r="O42" s="284" t="s">
        <v>991</v>
      </c>
      <c r="P42" s="258" t="s">
        <v>989</v>
      </c>
      <c r="Q42" s="281" t="s">
        <v>991</v>
      </c>
      <c r="R42" s="257" t="s">
        <v>988</v>
      </c>
      <c r="S42" s="281" t="s">
        <v>991</v>
      </c>
      <c r="T42" s="261" t="s">
        <v>987</v>
      </c>
      <c r="U42" s="281" t="s">
        <v>991</v>
      </c>
      <c r="V42" s="261" t="s">
        <v>986</v>
      </c>
      <c r="W42" s="280" t="s">
        <v>991</v>
      </c>
      <c r="X42" s="395"/>
      <c r="Y42" s="396">
        <v>0</v>
      </c>
      <c r="Z42" s="396">
        <v>0</v>
      </c>
      <c r="AA42" s="396">
        <v>0</v>
      </c>
      <c r="AB42" s="396">
        <v>0</v>
      </c>
      <c r="AC42" s="396">
        <v>0</v>
      </c>
      <c r="AD42" s="396">
        <v>0</v>
      </c>
      <c r="AE42" s="396">
        <v>0</v>
      </c>
      <c r="AF42" s="396">
        <v>0</v>
      </c>
      <c r="AG42" s="396">
        <v>0</v>
      </c>
      <c r="AH42" s="396">
        <v>0</v>
      </c>
      <c r="AI42" s="396">
        <v>0</v>
      </c>
      <c r="AJ42" s="396">
        <v>0</v>
      </c>
      <c r="AK42" s="396">
        <v>0</v>
      </c>
      <c r="AL42" s="396">
        <v>0</v>
      </c>
      <c r="AM42" s="396">
        <v>0</v>
      </c>
      <c r="AN42" s="396">
        <v>0</v>
      </c>
      <c r="AO42" s="396">
        <v>0</v>
      </c>
      <c r="AP42" s="396">
        <v>0</v>
      </c>
      <c r="AQ42" s="396">
        <v>0</v>
      </c>
      <c r="AR42" s="396">
        <v>0</v>
      </c>
      <c r="AS42" s="396">
        <v>0</v>
      </c>
      <c r="AT42" s="396">
        <v>0</v>
      </c>
      <c r="AU42" s="396">
        <v>0</v>
      </c>
      <c r="AV42" s="396">
        <v>0</v>
      </c>
      <c r="AW42" s="396">
        <v>0</v>
      </c>
      <c r="AX42" s="396">
        <v>0</v>
      </c>
      <c r="AY42" s="396">
        <v>0</v>
      </c>
      <c r="AZ42" s="396">
        <f>IF(O42="Mask",1,0)</f>
        <v>0</v>
      </c>
      <c r="BA42" s="396">
        <f>IF(Q42="Mask",1,0)</f>
        <v>0</v>
      </c>
      <c r="BB42" s="396">
        <f>IF(S42="Mask",1,0)</f>
        <v>0</v>
      </c>
      <c r="BC42" s="396">
        <f>IF(U42="Mask",1,0)</f>
        <v>0</v>
      </c>
      <c r="BD42" s="396">
        <f>IF(W42="Mask",1,0)</f>
        <v>0</v>
      </c>
    </row>
    <row r="43" spans="2:57">
      <c r="B43" s="280" t="s">
        <v>1100</v>
      </c>
      <c r="C43" s="254" t="s">
        <v>931</v>
      </c>
      <c r="D43" s="255" t="s">
        <v>932</v>
      </c>
      <c r="E43" s="122" t="str">
        <f>DEC2HEX(Y43*2^31+Z43*2^30+AA43*2^29+AB43*2^28+AC43*2^27+AD43*2^26+AE43*2^25+AF43*2^24+AG43*2^23+AH43*2^22+AI43*2^21+AJ43*2^20+AK43*2^19+AL43*2^18+AM43*2^17+AN43*2^16+AO43*2^15+AP43*2^14+AQ43*2^13+AR43*2^12+AS43*2^11+AT43*2^10+AU43*2^9+AV43*2^8+AW43*2^7+AX43*2^6+AY43*2^5+AZ43*2^4+BA43*2^3+BB43*2^2+BC43*2^1+BD43*2^0,8)</f>
        <v>00000000</v>
      </c>
      <c r="F43" s="179"/>
      <c r="G43"/>
      <c r="H43" s="265"/>
      <c r="I43" s="268"/>
      <c r="J43" s="268"/>
      <c r="K43" s="268"/>
      <c r="L43" s="268"/>
      <c r="M43" s="268"/>
      <c r="N43" s="273"/>
      <c r="O43" s="261"/>
      <c r="P43" s="266" t="s">
        <v>995</v>
      </c>
      <c r="Q43" s="281" t="s">
        <v>991</v>
      </c>
      <c r="R43" s="271" t="s">
        <v>994</v>
      </c>
      <c r="S43" s="284" t="s">
        <v>991</v>
      </c>
      <c r="T43" s="266" t="s">
        <v>993</v>
      </c>
      <c r="U43" s="281" t="s">
        <v>991</v>
      </c>
      <c r="V43" s="271" t="s">
        <v>992</v>
      </c>
      <c r="W43" s="285" t="s">
        <v>991</v>
      </c>
      <c r="X43" s="395"/>
      <c r="Y43" s="396">
        <v>0</v>
      </c>
      <c r="Z43" s="396">
        <v>0</v>
      </c>
      <c r="AA43" s="396">
        <v>0</v>
      </c>
      <c r="AB43" s="396">
        <v>0</v>
      </c>
      <c r="AC43" s="396">
        <v>0</v>
      </c>
      <c r="AD43" s="396">
        <v>0</v>
      </c>
      <c r="AE43" s="396">
        <v>0</v>
      </c>
      <c r="AF43" s="396">
        <v>0</v>
      </c>
      <c r="AG43" s="396">
        <v>0</v>
      </c>
      <c r="AH43" s="396">
        <v>0</v>
      </c>
      <c r="AI43" s="396">
        <v>0</v>
      </c>
      <c r="AJ43" s="396">
        <v>0</v>
      </c>
      <c r="AK43" s="396">
        <v>0</v>
      </c>
      <c r="AL43" s="396">
        <v>0</v>
      </c>
      <c r="AM43" s="396">
        <v>0</v>
      </c>
      <c r="AN43" s="396">
        <v>0</v>
      </c>
      <c r="AO43" s="396">
        <v>0</v>
      </c>
      <c r="AP43" s="396">
        <v>0</v>
      </c>
      <c r="AQ43" s="396">
        <v>0</v>
      </c>
      <c r="AR43" s="396">
        <v>0</v>
      </c>
      <c r="AS43" s="396">
        <v>0</v>
      </c>
      <c r="AT43" s="396">
        <v>0</v>
      </c>
      <c r="AU43" s="396">
        <v>0</v>
      </c>
      <c r="AV43" s="396">
        <v>0</v>
      </c>
      <c r="AW43" s="396">
        <v>0</v>
      </c>
      <c r="AX43" s="396">
        <v>0</v>
      </c>
      <c r="AY43" s="396">
        <v>0</v>
      </c>
      <c r="AZ43" s="396">
        <v>0</v>
      </c>
      <c r="BA43" s="396">
        <f>IF(Q43="Mask",1,0)</f>
        <v>0</v>
      </c>
      <c r="BB43" s="396">
        <f>IF(S43="Mask",1,0)</f>
        <v>0</v>
      </c>
      <c r="BC43" s="396">
        <f>IF(U43="Mask",1,0)</f>
        <v>0</v>
      </c>
      <c r="BD43" s="396">
        <f>IF(W43="Mask",1,0)</f>
        <v>0</v>
      </c>
    </row>
    <row r="44" spans="2:57" ht="15">
      <c r="B44" s="280" t="s">
        <v>1237</v>
      </c>
      <c r="C44" s="254" t="s">
        <v>933</v>
      </c>
      <c r="D44" s="255" t="s">
        <v>934</v>
      </c>
      <c r="E44" s="122" t="str">
        <f>DEC2HEX(HEX2DEC(K44),8)</f>
        <v>00000015</v>
      </c>
      <c r="F44" s="179"/>
      <c r="G44"/>
      <c r="H44" s="495" t="s">
        <v>996</v>
      </c>
      <c r="I44" s="496"/>
      <c r="J44" s="497"/>
      <c r="K44" s="283" t="s">
        <v>1273</v>
      </c>
      <c r="L44" s="264" t="str">
        <f>IF(HEX2DEC(K44)&lt;0,"NG",IF(HEX2DEC(K44)&gt;31,"NG","OK"))</f>
        <v>OK</v>
      </c>
      <c r="M44" s="265"/>
      <c r="N44" s="268"/>
      <c r="O44" s="268"/>
      <c r="P44" s="268"/>
      <c r="Q44" s="268"/>
      <c r="R44" s="268"/>
      <c r="S44" s="268"/>
      <c r="T44" s="268"/>
      <c r="U44" s="268"/>
      <c r="V44" s="268"/>
      <c r="W44" s="266"/>
      <c r="X44" s="376"/>
      <c r="AH44" s="376"/>
    </row>
    <row r="45" spans="2:57">
      <c r="B45" s="280" t="s">
        <v>1100</v>
      </c>
      <c r="C45" s="254" t="s">
        <v>1265</v>
      </c>
      <c r="D45" s="255" t="s">
        <v>1264</v>
      </c>
      <c r="E45" s="122" t="str">
        <f>DEC2HEX(Y45*2^31+Z45*2^30+AA45*2^29+AB45*2^28+AC45*2^27+AD45*2^26+AE45*2^25+AF45*2^24+AG45*2^23+AH45*2^22+AI45*2^21+AJ45*2^20+AK45*2^19+AL45*2^18+AM45*2^17+AN45*2^16+AO45*2^15+AP45*2^14+AQ45*2^13+AR45*2^12+AS45*2^11+AT45*2^10+AU45*2^9+AV45*2^8+AW45*2^7+AX45*2^6+AY45*2^5+AZ45*2^4+BA45*2^3+BB45*2^2+BC45*2^1+BD45*2^0,8)</f>
        <v>00000000</v>
      </c>
      <c r="F45" s="179"/>
      <c r="G45"/>
      <c r="H45" s="265"/>
      <c r="I45" s="268"/>
      <c r="J45" s="268"/>
      <c r="K45" s="268"/>
      <c r="L45" s="268"/>
      <c r="M45" s="268"/>
      <c r="N45" s="273"/>
      <c r="O45" s="261"/>
      <c r="P45" s="266" t="s">
        <v>1267</v>
      </c>
      <c r="Q45" s="281" t="s">
        <v>991</v>
      </c>
      <c r="R45" s="265"/>
      <c r="S45" s="266"/>
      <c r="T45" s="266" t="s">
        <v>1266</v>
      </c>
      <c r="U45" s="281" t="s">
        <v>991</v>
      </c>
      <c r="V45" s="265"/>
      <c r="W45" s="266"/>
      <c r="X45" s="395"/>
      <c r="Y45" s="396">
        <v>0</v>
      </c>
      <c r="Z45" s="396">
        <v>0</v>
      </c>
      <c r="AA45" s="396">
        <v>0</v>
      </c>
      <c r="AB45" s="396">
        <v>0</v>
      </c>
      <c r="AC45" s="396">
        <v>0</v>
      </c>
      <c r="AD45" s="396">
        <v>0</v>
      </c>
      <c r="AE45" s="396">
        <v>0</v>
      </c>
      <c r="AF45" s="396">
        <v>0</v>
      </c>
      <c r="AG45" s="396">
        <v>0</v>
      </c>
      <c r="AH45" s="396">
        <v>0</v>
      </c>
      <c r="AI45" s="396">
        <v>0</v>
      </c>
      <c r="AJ45" s="396">
        <v>0</v>
      </c>
      <c r="AK45" s="396">
        <v>0</v>
      </c>
      <c r="AL45" s="396">
        <v>0</v>
      </c>
      <c r="AM45" s="396">
        <v>0</v>
      </c>
      <c r="AN45" s="396">
        <v>0</v>
      </c>
      <c r="AO45" s="396">
        <v>0</v>
      </c>
      <c r="AP45" s="396">
        <v>0</v>
      </c>
      <c r="AQ45" s="396">
        <v>0</v>
      </c>
      <c r="AR45" s="396">
        <v>0</v>
      </c>
      <c r="AS45" s="396">
        <v>0</v>
      </c>
      <c r="AT45" s="396">
        <v>0</v>
      </c>
      <c r="AU45" s="396">
        <v>0</v>
      </c>
      <c r="AV45" s="396">
        <v>0</v>
      </c>
      <c r="AW45" s="396">
        <v>0</v>
      </c>
      <c r="AX45" s="396">
        <v>0</v>
      </c>
      <c r="AY45" s="396">
        <v>0</v>
      </c>
      <c r="AZ45" s="396">
        <v>0</v>
      </c>
      <c r="BA45" s="396">
        <f>IF(Q45="Mask",1,0)</f>
        <v>0</v>
      </c>
      <c r="BB45" s="396">
        <v>0</v>
      </c>
      <c r="BC45" s="396">
        <f>IF(U45="Mask",1,0)</f>
        <v>0</v>
      </c>
      <c r="BD45" s="396">
        <v>0</v>
      </c>
    </row>
    <row r="46" spans="2:57">
      <c r="B46" s="280" t="s">
        <v>1237</v>
      </c>
      <c r="C46" s="254" t="s">
        <v>935</v>
      </c>
      <c r="D46" s="255" t="s">
        <v>67</v>
      </c>
      <c r="E46" s="122" t="str">
        <f>DEC2HEX(Y46*2^31+Z46*2^30+AA46*2^29+AB46*2^28+AC46*2^27+AD46*2^26+AE46*2^25+AF46*2^24+AG46*2^23+AH46*2^22+AI46*2^21+AJ46*2^20+AK46*2^19+AL46*2^18+AM46*2^17+AN46*2^16+AO46*2^15+AP46*2^14+AQ46*2^13+AR46*2^12+AS46*2^11+AT46*2^10+AU46*2^9+AV46*2^8+AW46*2^7+AX46*2^6+AY46*2^5+AZ46*2^4+BA46*2^3+BB46*2^2+BC46*2^1+BD46*2^0,8)</f>
        <v>00000000</v>
      </c>
      <c r="F46" s="179"/>
      <c r="G46"/>
      <c r="H46" s="258" t="s">
        <v>1004</v>
      </c>
      <c r="I46" s="280" t="s">
        <v>991</v>
      </c>
      <c r="J46" s="258" t="s">
        <v>1003</v>
      </c>
      <c r="K46" s="280" t="s">
        <v>991</v>
      </c>
      <c r="L46" s="258" t="s">
        <v>1002</v>
      </c>
      <c r="M46" s="280" t="s">
        <v>991</v>
      </c>
      <c r="N46" s="258" t="s">
        <v>1001</v>
      </c>
      <c r="O46" s="280" t="s">
        <v>991</v>
      </c>
      <c r="P46" s="258" t="s">
        <v>1000</v>
      </c>
      <c r="Q46" s="280" t="s">
        <v>991</v>
      </c>
      <c r="R46" s="308" t="s">
        <v>999</v>
      </c>
      <c r="S46" s="309" t="s">
        <v>991</v>
      </c>
      <c r="T46" s="258" t="s">
        <v>998</v>
      </c>
      <c r="U46" s="285" t="s">
        <v>991</v>
      </c>
      <c r="V46" s="306" t="s">
        <v>997</v>
      </c>
      <c r="W46" s="307" t="s">
        <v>991</v>
      </c>
      <c r="X46" s="376"/>
      <c r="Y46" s="396">
        <v>0</v>
      </c>
      <c r="Z46" s="396">
        <v>0</v>
      </c>
      <c r="AA46" s="396">
        <v>0</v>
      </c>
      <c r="AB46" s="396">
        <v>0</v>
      </c>
      <c r="AC46" s="396">
        <v>0</v>
      </c>
      <c r="AD46" s="396">
        <v>0</v>
      </c>
      <c r="AE46" s="396">
        <v>0</v>
      </c>
      <c r="AF46" s="396">
        <v>0</v>
      </c>
      <c r="AG46" s="396">
        <v>0</v>
      </c>
      <c r="AH46" s="396">
        <v>0</v>
      </c>
      <c r="AI46" s="396">
        <v>0</v>
      </c>
      <c r="AJ46" s="396">
        <v>0</v>
      </c>
      <c r="AK46" s="396">
        <v>0</v>
      </c>
      <c r="AL46" s="396">
        <v>0</v>
      </c>
      <c r="AM46" s="396">
        <v>0</v>
      </c>
      <c r="AN46" s="396">
        <v>0</v>
      </c>
      <c r="AO46" s="396">
        <v>0</v>
      </c>
      <c r="AP46" s="396">
        <v>0</v>
      </c>
      <c r="AQ46" s="396">
        <v>0</v>
      </c>
      <c r="AR46" s="396">
        <v>0</v>
      </c>
      <c r="AS46" s="396">
        <v>0</v>
      </c>
      <c r="AT46" s="396">
        <v>0</v>
      </c>
      <c r="AU46" s="396">
        <f>IF(I46="Mask",1,0)</f>
        <v>0</v>
      </c>
      <c r="AV46" s="396">
        <f>IF(K46="Mask",1,0)</f>
        <v>0</v>
      </c>
      <c r="AW46" s="396">
        <v>0</v>
      </c>
      <c r="AX46" s="396">
        <f>IF(M46="Mask",1,0)</f>
        <v>0</v>
      </c>
      <c r="AY46" s="396">
        <v>0</v>
      </c>
      <c r="AZ46" s="396">
        <f>IF(O46="Mask",1,0)</f>
        <v>0</v>
      </c>
      <c r="BA46" s="396">
        <f>IF(Q46="Mask",1,0)</f>
        <v>0</v>
      </c>
      <c r="BB46" s="396">
        <f>IF(S46="Mask",1,0)</f>
        <v>0</v>
      </c>
      <c r="BC46" s="396">
        <f>IF(U46="Mask",1,0)</f>
        <v>0</v>
      </c>
      <c r="BD46" s="396">
        <f>IF(W46="Mask",1,0)</f>
        <v>0</v>
      </c>
    </row>
    <row r="47" spans="2:57">
      <c r="B47" s="280" t="s">
        <v>1237</v>
      </c>
      <c r="C47" s="254" t="s">
        <v>936</v>
      </c>
      <c r="D47" s="255" t="s">
        <v>68</v>
      </c>
      <c r="E47" s="122" t="str">
        <f>DEC2HEX(Y47*2^31+Z47*2^30+AA47*2^29+AB47*2^28+AC47*2^27+AD47*2^26+AE47*2^25+AF47*2^24+AG47*2^23+AH47*2^22+AI47*2^21+AJ47*2^20+AK47*2^19+AL47*2^18+AM47*2^17+AN47*2^16+AO47*2^15+AP47*2^14+AQ47*2^13+AR47*2^12+AS47*2^11+AT47*2^10+AU47*2^9+AV47*2^8+AW47*2^7+AX47*2^6+AY47*2^5+AZ47*2^4+BA47*2^3+BB47*2^2+BC47*2^1+BD47*2^0,8)</f>
        <v>00000080</v>
      </c>
      <c r="F47" s="179"/>
      <c r="G47"/>
      <c r="H47" s="498" t="s">
        <v>1005</v>
      </c>
      <c r="I47" s="499"/>
      <c r="J47" s="285" t="s">
        <v>991</v>
      </c>
      <c r="K47" s="285" t="s">
        <v>991</v>
      </c>
      <c r="L47" s="280" t="s">
        <v>991</v>
      </c>
      <c r="M47" s="280" t="s">
        <v>991</v>
      </c>
      <c r="N47" s="280" t="s">
        <v>991</v>
      </c>
      <c r="O47" s="280" t="s">
        <v>991</v>
      </c>
      <c r="P47" s="397" t="s">
        <v>1571</v>
      </c>
      <c r="Q47" s="285" t="s">
        <v>991</v>
      </c>
      <c r="R47" s="276"/>
      <c r="S47" s="285" t="s">
        <v>991</v>
      </c>
      <c r="T47" s="284" t="s">
        <v>991</v>
      </c>
      <c r="U47" s="278"/>
      <c r="V47" s="273"/>
      <c r="W47" s="261"/>
      <c r="X47" s="376"/>
      <c r="Y47" s="396">
        <v>0</v>
      </c>
      <c r="Z47" s="396">
        <v>0</v>
      </c>
      <c r="AA47" s="396">
        <v>0</v>
      </c>
      <c r="AB47" s="396">
        <v>0</v>
      </c>
      <c r="AC47" s="396">
        <v>0</v>
      </c>
      <c r="AD47" s="396">
        <v>0</v>
      </c>
      <c r="AE47" s="396">
        <v>0</v>
      </c>
      <c r="AF47" s="396">
        <v>0</v>
      </c>
      <c r="AG47" s="396">
        <v>0</v>
      </c>
      <c r="AH47" s="396">
        <v>0</v>
      </c>
      <c r="AI47" s="396">
        <v>0</v>
      </c>
      <c r="AJ47" s="396">
        <v>0</v>
      </c>
      <c r="AK47" s="396">
        <v>0</v>
      </c>
      <c r="AL47" s="396">
        <v>0</v>
      </c>
      <c r="AM47" s="396">
        <v>0</v>
      </c>
      <c r="AN47" s="396">
        <v>0</v>
      </c>
      <c r="AO47" s="396">
        <v>0</v>
      </c>
      <c r="AP47" s="396">
        <v>0</v>
      </c>
      <c r="AQ47" s="396">
        <f t="shared" ref="AQ47:AX47" si="2">IF(J47="Mask",1,0)</f>
        <v>0</v>
      </c>
      <c r="AR47" s="396">
        <f t="shared" si="2"/>
        <v>0</v>
      </c>
      <c r="AS47" s="396">
        <f t="shared" si="2"/>
        <v>0</v>
      </c>
      <c r="AT47" s="396">
        <f t="shared" si="2"/>
        <v>0</v>
      </c>
      <c r="AU47" s="396">
        <f t="shared" si="2"/>
        <v>0</v>
      </c>
      <c r="AV47" s="396">
        <f t="shared" si="2"/>
        <v>0</v>
      </c>
      <c r="AW47" s="396">
        <f t="shared" si="2"/>
        <v>1</v>
      </c>
      <c r="AX47" s="396">
        <f t="shared" si="2"/>
        <v>0</v>
      </c>
      <c r="AY47" s="396">
        <v>0</v>
      </c>
      <c r="AZ47" s="396">
        <f>IF(S47="Mask",1,0)</f>
        <v>0</v>
      </c>
      <c r="BA47" s="396">
        <f>IF(T47="Mask",1,0)</f>
        <v>0</v>
      </c>
      <c r="BB47" s="396">
        <v>0</v>
      </c>
      <c r="BC47" s="396">
        <v>0</v>
      </c>
      <c r="BD47" s="396">
        <v>0</v>
      </c>
    </row>
    <row r="48" spans="2:57">
      <c r="B48" s="280" t="s">
        <v>1237</v>
      </c>
      <c r="C48" s="254" t="s">
        <v>937</v>
      </c>
      <c r="D48" s="255" t="s">
        <v>69</v>
      </c>
      <c r="E48" s="122" t="str">
        <f>DEC2HEX(Y48*2^31+Z48*2^30+AA48*2^29+AB48*2^28+AC48*2^27+AD48*2^26+AE48*2^25+AF48*2^24+AG48*2^23+AH48*2^22+AI48*2^21+AJ48*2^20+AK48*2^19+AL48*2^18+AM48*2^17+AN48*2^16+AO48*2^15+AP48*2^14+AQ48*2^13+AR48*2^12+AS48*2^11+AT48*2^10+AU48*2^9+AV48*2^8+AW48*2^7+AX48*2^6+AY48*2^5+AZ48*2^4+BA48*2^3+BB48*2^2+BC48*2^1+BD48*2^0,8)</f>
        <v>00000000</v>
      </c>
      <c r="F48" s="179"/>
      <c r="G48"/>
      <c r="H48" s="277"/>
      <c r="I48" s="273"/>
      <c r="J48" s="273"/>
      <c r="K48" s="261"/>
      <c r="L48" s="261" t="s">
        <v>1008</v>
      </c>
      <c r="M48" s="280" t="s">
        <v>991</v>
      </c>
      <c r="N48" s="258" t="s">
        <v>1007</v>
      </c>
      <c r="O48" s="281" t="s">
        <v>991</v>
      </c>
      <c r="P48" s="277"/>
      <c r="Q48" s="273"/>
      <c r="R48" s="273"/>
      <c r="S48" s="273"/>
      <c r="T48" s="273"/>
      <c r="U48" s="261"/>
      <c r="V48" s="258" t="s">
        <v>1006</v>
      </c>
      <c r="W48" s="280" t="s">
        <v>991</v>
      </c>
      <c r="X48" s="376"/>
      <c r="Y48" s="396">
        <v>0</v>
      </c>
      <c r="Z48" s="396">
        <v>0</v>
      </c>
      <c r="AA48" s="396">
        <v>0</v>
      </c>
      <c r="AB48" s="396">
        <v>0</v>
      </c>
      <c r="AC48" s="396">
        <v>0</v>
      </c>
      <c r="AD48" s="396">
        <v>0</v>
      </c>
      <c r="AE48" s="396">
        <v>0</v>
      </c>
      <c r="AF48" s="396">
        <v>0</v>
      </c>
      <c r="AG48" s="396">
        <v>0</v>
      </c>
      <c r="AH48" s="396">
        <v>0</v>
      </c>
      <c r="AI48" s="396">
        <v>0</v>
      </c>
      <c r="AJ48" s="396">
        <v>0</v>
      </c>
      <c r="AK48" s="396">
        <v>0</v>
      </c>
      <c r="AL48" s="396">
        <v>0</v>
      </c>
      <c r="AM48" s="396">
        <v>0</v>
      </c>
      <c r="AN48" s="396">
        <v>0</v>
      </c>
      <c r="AO48" s="396">
        <v>0</v>
      </c>
      <c r="AP48" s="396">
        <v>0</v>
      </c>
      <c r="AQ48" s="396">
        <v>0</v>
      </c>
      <c r="AR48" s="396">
        <v>0</v>
      </c>
      <c r="AS48" s="396">
        <v>0</v>
      </c>
      <c r="AT48" s="396">
        <v>0</v>
      </c>
      <c r="AU48" s="396">
        <f>IF(M48="Mask",1,0)</f>
        <v>0</v>
      </c>
      <c r="AV48" s="396">
        <f>IF(O48="Mask",1,0)</f>
        <v>0</v>
      </c>
      <c r="AW48" s="396">
        <v>0</v>
      </c>
      <c r="AX48" s="396">
        <v>0</v>
      </c>
      <c r="AY48" s="396">
        <v>0</v>
      </c>
      <c r="AZ48" s="396">
        <v>0</v>
      </c>
      <c r="BA48" s="396">
        <v>0</v>
      </c>
      <c r="BB48" s="396">
        <v>0</v>
      </c>
      <c r="BC48" s="396">
        <v>0</v>
      </c>
      <c r="BD48" s="396">
        <f>IF(W48="Mask",1,0)</f>
        <v>0</v>
      </c>
    </row>
    <row r="49" spans="2:56">
      <c r="B49" s="280" t="s">
        <v>1100</v>
      </c>
      <c r="C49" s="8" t="s">
        <v>1239</v>
      </c>
      <c r="D49" s="15" t="s">
        <v>1238</v>
      </c>
      <c r="E49" s="122" t="str">
        <f>DEC2HEX(Y49*2^31+Z49*2^30+AA49*2^29+AB49*2^28+AC49*2^27+AD49*2^26+AE49*2^25+AF49*2^24+AG49*2^23+AH49*2^22+AI49*2^21+AJ49*2^20+AK49*2^19+AL49*2^18+AM49*2^17+AN49*2^16+AO49*2^15+AP49*2^14+AQ49*2^13+AR49*2^12+AS49*2^11+AT49*2^10+AU49*2^9+AV49*2^8+AW49*2^7+AX49*2^6+AY49*2^5+AZ49*2^4+BA49*2^3+BB49*2^2+BC49*2^1+BD49*2^0,8)</f>
        <v>00000000</v>
      </c>
      <c r="F49" s="39"/>
      <c r="G49"/>
      <c r="H49" s="277"/>
      <c r="I49" s="273"/>
      <c r="J49" s="273"/>
      <c r="K49" s="273"/>
      <c r="L49" s="273"/>
      <c r="M49" s="261"/>
      <c r="N49" s="303" t="s">
        <v>1251</v>
      </c>
      <c r="O49" s="280">
        <v>0</v>
      </c>
      <c r="P49" s="303" t="s">
        <v>1250</v>
      </c>
      <c r="Q49" s="280">
        <v>0</v>
      </c>
      <c r="R49" s="303" t="s">
        <v>1249</v>
      </c>
      <c r="S49" s="280">
        <v>0</v>
      </c>
      <c r="T49" s="303" t="s">
        <v>1248</v>
      </c>
      <c r="U49" s="280">
        <v>0</v>
      </c>
      <c r="V49" s="303" t="s">
        <v>1240</v>
      </c>
      <c r="W49" s="280">
        <v>0</v>
      </c>
      <c r="X49" s="376"/>
      <c r="Y49" s="396">
        <v>0</v>
      </c>
      <c r="Z49" s="396">
        <v>0</v>
      </c>
      <c r="AA49" s="396">
        <v>0</v>
      </c>
      <c r="AB49" s="396">
        <v>0</v>
      </c>
      <c r="AC49" s="396">
        <v>0</v>
      </c>
      <c r="AD49" s="396">
        <v>0</v>
      </c>
      <c r="AE49" s="396">
        <v>0</v>
      </c>
      <c r="AF49" s="396">
        <v>0</v>
      </c>
      <c r="AG49" s="396">
        <v>0</v>
      </c>
      <c r="AH49" s="396">
        <v>0</v>
      </c>
      <c r="AI49" s="396">
        <v>0</v>
      </c>
      <c r="AJ49" s="396">
        <v>0</v>
      </c>
      <c r="AK49" s="396">
        <v>0</v>
      </c>
      <c r="AL49" s="396">
        <v>0</v>
      </c>
      <c r="AM49" s="396">
        <v>0</v>
      </c>
      <c r="AN49" s="396">
        <f>O49</f>
        <v>0</v>
      </c>
      <c r="AO49" s="396">
        <v>0</v>
      </c>
      <c r="AP49" s="396">
        <v>0</v>
      </c>
      <c r="AQ49" s="396">
        <v>0</v>
      </c>
      <c r="AR49" s="396">
        <f>Q49</f>
        <v>0</v>
      </c>
      <c r="AS49" s="396">
        <v>0</v>
      </c>
      <c r="AT49" s="396">
        <v>0</v>
      </c>
      <c r="AU49" s="396">
        <v>0</v>
      </c>
      <c r="AV49" s="396">
        <f>S49</f>
        <v>0</v>
      </c>
      <c r="AW49" s="396">
        <v>0</v>
      </c>
      <c r="AX49" s="396">
        <v>0</v>
      </c>
      <c r="AY49" s="396">
        <v>0</v>
      </c>
      <c r="AZ49" s="396">
        <f>U49</f>
        <v>0</v>
      </c>
      <c r="BA49" s="396">
        <v>0</v>
      </c>
      <c r="BB49" s="396">
        <v>0</v>
      </c>
      <c r="BC49" s="396">
        <v>0</v>
      </c>
      <c r="BD49" s="396">
        <f>W49</f>
        <v>0</v>
      </c>
    </row>
    <row r="50" spans="2:56">
      <c r="B50" s="19" t="s">
        <v>75</v>
      </c>
      <c r="C50" s="8" t="s">
        <v>80</v>
      </c>
      <c r="D50" s="15" t="s">
        <v>871</v>
      </c>
      <c r="E50" s="122" t="str">
        <f>Main_Parameters!$C$136</f>
        <v>00000006</v>
      </c>
      <c r="F50" s="39"/>
      <c r="G50"/>
      <c r="H50"/>
      <c r="I50"/>
      <c r="J50"/>
      <c r="K50"/>
      <c r="L50"/>
      <c r="M50"/>
      <c r="N50"/>
      <c r="O50"/>
      <c r="P50"/>
      <c r="Q50"/>
      <c r="R50"/>
      <c r="S50"/>
      <c r="T50"/>
      <c r="U50"/>
      <c r="V50"/>
      <c r="W50"/>
      <c r="X50" s="376"/>
      <c r="AH50" s="376"/>
    </row>
    <row r="51" spans="2:56">
      <c r="B51" s="19" t="s">
        <v>75</v>
      </c>
      <c r="C51" s="8" t="s">
        <v>81</v>
      </c>
      <c r="D51" s="15" t="s">
        <v>872</v>
      </c>
      <c r="E51" s="122" t="str">
        <f>Main_Parameters!$C$137</f>
        <v>00240204</v>
      </c>
      <c r="F51" s="39"/>
      <c r="G51"/>
      <c r="H51"/>
      <c r="I51"/>
      <c r="J51"/>
      <c r="K51"/>
      <c r="L51"/>
      <c r="M51"/>
      <c r="N51"/>
      <c r="O51"/>
      <c r="P51"/>
      <c r="Q51"/>
      <c r="R51"/>
      <c r="S51"/>
      <c r="T51"/>
      <c r="U51"/>
      <c r="V51"/>
      <c r="W51"/>
      <c r="X51" s="376"/>
      <c r="AH51" s="376"/>
    </row>
    <row r="52" spans="2:56">
      <c r="B52" s="19" t="s">
        <v>75</v>
      </c>
      <c r="C52" s="8" t="s">
        <v>82</v>
      </c>
      <c r="D52" s="15" t="s">
        <v>938</v>
      </c>
      <c r="E52" s="122" t="str">
        <f>Main_Parameters!$C$138</f>
        <v>000D0008</v>
      </c>
      <c r="F52" s="39"/>
      <c r="G52"/>
      <c r="H52"/>
      <c r="I52"/>
      <c r="J52"/>
      <c r="K52"/>
      <c r="L52"/>
      <c r="M52"/>
      <c r="N52"/>
      <c r="O52"/>
      <c r="P52"/>
      <c r="Q52"/>
      <c r="R52"/>
      <c r="S52"/>
      <c r="T52"/>
      <c r="U52"/>
      <c r="V52"/>
      <c r="W52"/>
      <c r="X52" s="376"/>
      <c r="AH52" s="376"/>
    </row>
    <row r="53" spans="2:56">
      <c r="B53" s="19" t="s">
        <v>75</v>
      </c>
      <c r="C53" s="8" t="s">
        <v>83</v>
      </c>
      <c r="D53" s="15" t="s">
        <v>874</v>
      </c>
      <c r="E53" s="122" t="str">
        <f>Main_Parameters!$C$139</f>
        <v>00140006</v>
      </c>
      <c r="F53" s="39"/>
      <c r="G53"/>
      <c r="H53"/>
      <c r="I53"/>
      <c r="J53"/>
      <c r="K53"/>
      <c r="L53"/>
      <c r="M53"/>
      <c r="N53"/>
      <c r="O53"/>
      <c r="P53"/>
      <c r="Q53"/>
      <c r="R53"/>
      <c r="S53"/>
      <c r="T53"/>
      <c r="U53"/>
      <c r="V53"/>
      <c r="W53"/>
      <c r="X53" s="376"/>
      <c r="AH53" s="376"/>
    </row>
    <row r="54" spans="2:56">
      <c r="B54" s="19" t="s">
        <v>75</v>
      </c>
      <c r="C54" s="8" t="s">
        <v>942</v>
      </c>
      <c r="D54" s="15" t="s">
        <v>875</v>
      </c>
      <c r="E54" s="122" t="str">
        <f>Main_Parameters!$C$140</f>
        <v>00004268</v>
      </c>
      <c r="F54" s="39"/>
      <c r="G54"/>
      <c r="H54"/>
      <c r="I54"/>
      <c r="J54"/>
      <c r="K54"/>
      <c r="L54"/>
      <c r="M54"/>
      <c r="N54"/>
      <c r="O54"/>
      <c r="P54"/>
      <c r="Q54"/>
      <c r="R54"/>
      <c r="S54"/>
      <c r="T54"/>
      <c r="U54"/>
      <c r="V54"/>
      <c r="W54"/>
      <c r="X54" s="376"/>
      <c r="AH54" s="376"/>
    </row>
    <row r="55" spans="2:56">
      <c r="B55" s="19" t="s">
        <v>75</v>
      </c>
      <c r="C55" s="8" t="s">
        <v>84</v>
      </c>
      <c r="D55" s="15" t="s">
        <v>876</v>
      </c>
      <c r="E55" s="122" t="str">
        <f>Main_Parameters!$C$141</f>
        <v>0000000F</v>
      </c>
      <c r="F55" s="39"/>
      <c r="G55"/>
      <c r="H55"/>
      <c r="I55"/>
      <c r="J55"/>
      <c r="K55"/>
      <c r="L55"/>
      <c r="M55"/>
      <c r="N55"/>
      <c r="O55"/>
      <c r="P55"/>
      <c r="Q55"/>
      <c r="R55"/>
      <c r="S55"/>
      <c r="T55"/>
      <c r="U55"/>
      <c r="V55"/>
      <c r="W55"/>
      <c r="X55" s="376"/>
      <c r="AH55" s="376"/>
    </row>
    <row r="56" spans="2:56">
      <c r="B56" s="19" t="s">
        <v>75</v>
      </c>
      <c r="C56" s="8" t="s">
        <v>85</v>
      </c>
      <c r="D56" s="15" t="s">
        <v>939</v>
      </c>
      <c r="E56" s="122" t="str">
        <f>Main_Parameters!$C$142</f>
        <v>000D0008</v>
      </c>
      <c r="F56" s="39"/>
      <c r="G56"/>
      <c r="H56"/>
      <c r="I56"/>
      <c r="J56"/>
      <c r="K56" s="111"/>
      <c r="L56"/>
      <c r="M56"/>
      <c r="N56"/>
      <c r="O56"/>
      <c r="P56"/>
      <c r="Q56"/>
      <c r="R56"/>
      <c r="S56"/>
      <c r="T56"/>
      <c r="U56"/>
      <c r="V56"/>
      <c r="W56"/>
      <c r="X56" s="376"/>
      <c r="AH56" s="376"/>
    </row>
    <row r="57" spans="2:56">
      <c r="B57" s="19" t="s">
        <v>75</v>
      </c>
      <c r="C57" s="8" t="s">
        <v>86</v>
      </c>
      <c r="D57" s="15" t="s">
        <v>940</v>
      </c>
      <c r="E57" s="89" t="s">
        <v>1270</v>
      </c>
      <c r="F57" s="39"/>
      <c r="G57"/>
      <c r="H57"/>
      <c r="I57"/>
      <c r="J57"/>
      <c r="K57"/>
      <c r="L57"/>
      <c r="M57"/>
      <c r="N57"/>
      <c r="O57"/>
      <c r="P57"/>
      <c r="Q57"/>
      <c r="R57"/>
      <c r="S57"/>
      <c r="T57"/>
      <c r="U57"/>
      <c r="V57"/>
      <c r="W57"/>
      <c r="X57" s="376"/>
      <c r="AH57" s="376"/>
    </row>
    <row r="58" spans="2:56">
      <c r="B58" s="19" t="s">
        <v>75</v>
      </c>
      <c r="C58" s="8" t="s">
        <v>87</v>
      </c>
      <c r="D58" s="15" t="s">
        <v>941</v>
      </c>
      <c r="E58" s="122" t="str">
        <f>Main_Parameters!$C$144</f>
        <v>0000001F</v>
      </c>
      <c r="F58" s="39"/>
      <c r="G58"/>
      <c r="H58"/>
      <c r="I58"/>
      <c r="J58"/>
      <c r="K58"/>
      <c r="L58"/>
      <c r="M58"/>
      <c r="N58"/>
      <c r="O58"/>
      <c r="P58"/>
      <c r="Q58"/>
      <c r="R58"/>
      <c r="S58"/>
      <c r="T58"/>
      <c r="U58"/>
      <c r="V58"/>
      <c r="W58"/>
      <c r="X58" s="376"/>
      <c r="AH58" s="376"/>
    </row>
    <row r="59" spans="2:56">
      <c r="B59" s="19" t="s">
        <v>75</v>
      </c>
      <c r="C59" s="8" t="s">
        <v>943</v>
      </c>
      <c r="D59" s="15" t="s">
        <v>880</v>
      </c>
      <c r="E59" s="122" t="str">
        <f>Main_Parameters!$C$145</f>
        <v>00060005</v>
      </c>
      <c r="F59" s="39"/>
      <c r="G59"/>
      <c r="H59"/>
      <c r="I59"/>
      <c r="J59"/>
      <c r="K59"/>
      <c r="L59"/>
      <c r="M59"/>
      <c r="N59"/>
      <c r="O59"/>
      <c r="P59"/>
      <c r="Q59"/>
      <c r="R59"/>
      <c r="S59"/>
      <c r="T59"/>
      <c r="U59"/>
      <c r="V59"/>
      <c r="W59"/>
      <c r="X59" s="376"/>
      <c r="AH59" s="376"/>
    </row>
    <row r="60" spans="2:56">
      <c r="B60" s="280" t="s">
        <v>1237</v>
      </c>
      <c r="C60" s="8" t="s">
        <v>1018</v>
      </c>
      <c r="D60" s="15" t="s">
        <v>1011</v>
      </c>
      <c r="E60" s="122" t="str">
        <f>DEC2HEX(Y60*2^31+Z60*2^30+AA60*2^29+AB60*2^28+AC60*2^27+AD60*2^26+AE60*2^25+AF60*2^24+AG60*2^23+AH60*2^22+AI60*2^21+AJ60*2^20+AK60*2^19+AL60*2^18+AM60*2^17+AN60*2^16+AO60*2^15+AP60*2^14+AQ60*2^13+AR60*2^12+AS60*2^11+AT60*2^10+AU60*2^9+AV60*2^8+AW60*2^7+AX60*2^6+AY60*2^5+AZ60*2^4+BA60*2^3+BB60*2^2+BC60*2^1+BD60*2^0,8)</f>
        <v>00000002</v>
      </c>
      <c r="F60" s="39"/>
      <c r="G60"/>
      <c r="H60" s="277"/>
      <c r="I60" s="273"/>
      <c r="J60" s="273"/>
      <c r="K60" s="273"/>
      <c r="L60" s="273"/>
      <c r="M60" s="261"/>
      <c r="N60" s="261" t="s">
        <v>1017</v>
      </c>
      <c r="O60" s="280" t="s">
        <v>1272</v>
      </c>
      <c r="P60" s="258" t="s">
        <v>1015</v>
      </c>
      <c r="Q60" s="280" t="s">
        <v>1272</v>
      </c>
      <c r="R60" s="258" t="s">
        <v>1014</v>
      </c>
      <c r="S60" s="280" t="s">
        <v>1272</v>
      </c>
      <c r="T60" s="258" t="s">
        <v>1016</v>
      </c>
      <c r="U60" s="280" t="s">
        <v>1272</v>
      </c>
      <c r="V60" s="258" t="s">
        <v>1012</v>
      </c>
      <c r="W60" s="280" t="s">
        <v>1013</v>
      </c>
      <c r="X60" s="376"/>
      <c r="Y60" s="396">
        <v>0</v>
      </c>
      <c r="Z60" s="396">
        <v>0</v>
      </c>
      <c r="AA60" s="396">
        <v>0</v>
      </c>
      <c r="AB60" s="396">
        <v>0</v>
      </c>
      <c r="AC60" s="396">
        <v>0</v>
      </c>
      <c r="AD60" s="396">
        <v>0</v>
      </c>
      <c r="AE60" s="396">
        <v>0</v>
      </c>
      <c r="AF60" s="396">
        <v>0</v>
      </c>
      <c r="AG60" s="396">
        <v>0</v>
      </c>
      <c r="AH60" s="396">
        <v>0</v>
      </c>
      <c r="AI60" s="396">
        <v>0</v>
      </c>
      <c r="AJ60" s="396">
        <v>0</v>
      </c>
      <c r="AK60" s="396">
        <v>0</v>
      </c>
      <c r="AL60" s="396">
        <v>0</v>
      </c>
      <c r="AM60" s="396">
        <v>0</v>
      </c>
      <c r="AN60" s="396">
        <v>0</v>
      </c>
      <c r="AO60" s="396">
        <v>0</v>
      </c>
      <c r="AP60" s="396">
        <v>0</v>
      </c>
      <c r="AQ60" s="396">
        <v>0</v>
      </c>
      <c r="AR60" s="396">
        <v>0</v>
      </c>
      <c r="AS60" s="396">
        <v>0</v>
      </c>
      <c r="AT60" s="396">
        <v>0</v>
      </c>
      <c r="AU60" s="396">
        <v>0</v>
      </c>
      <c r="AV60" s="396">
        <f>IF(O60="No Add",0,IF(O60="25% Add",2,3))</f>
        <v>0</v>
      </c>
      <c r="AW60" s="396">
        <v>0</v>
      </c>
      <c r="AX60" s="396">
        <f>IF(Q60="No Add",0,IF(Q60="25% Add",2,3))</f>
        <v>0</v>
      </c>
      <c r="AY60" s="396">
        <v>0</v>
      </c>
      <c r="AZ60" s="396">
        <f>IF(S60="No Add",0,IF(S60="25% Add",2,3))</f>
        <v>0</v>
      </c>
      <c r="BA60" s="396">
        <v>0</v>
      </c>
      <c r="BB60" s="396">
        <f>IF(U60="No Add",0,IF(U60="25% Add",2,3))</f>
        <v>0</v>
      </c>
      <c r="BC60" s="396">
        <v>0</v>
      </c>
      <c r="BD60" s="396">
        <f>IF(W60="No Add",0,IF(W60="25% Add",2,3))</f>
        <v>2</v>
      </c>
    </row>
    <row r="61" spans="2:56">
      <c r="B61" s="280" t="s">
        <v>1100</v>
      </c>
      <c r="C61" s="8" t="s">
        <v>1242</v>
      </c>
      <c r="D61" s="15" t="s">
        <v>1241</v>
      </c>
      <c r="E61" s="122" t="str">
        <f>DEC2HEX(Y61*2^31+Z61*2^30+AA61*2^29+AB61*2^28+AC61*2^27+AD61*2^26+AE61*2^25+AF61*2^24+AG61*2^23+AH61*2^22+AI61*2^21+AJ61*2^20+AK61*2^19+AL61*2^18+AM61*2^17+AN61*2^16+AO61*2^15+AP61*2^14+AQ61*2^13+AR61*2^12+AS61*2^11+AT61*2^10+AU61*2^9+AV61*2^8+AW61*2^7+AX61*2^6+AY61*2^5+AZ61*2^4+BA61*2^3+BB61*2^2+BC61*2^1+BD61*2^0,8)</f>
        <v>000002AA</v>
      </c>
      <c r="F61" s="39"/>
      <c r="G61"/>
      <c r="H61" s="277"/>
      <c r="I61" s="273"/>
      <c r="J61" s="273"/>
      <c r="K61" s="273"/>
      <c r="L61" s="273"/>
      <c r="M61" s="261"/>
      <c r="N61" s="258" t="s">
        <v>1247</v>
      </c>
      <c r="O61" s="280">
        <v>2</v>
      </c>
      <c r="P61" s="258" t="s">
        <v>1246</v>
      </c>
      <c r="Q61" s="280">
        <v>2</v>
      </c>
      <c r="R61" s="258" t="s">
        <v>1245</v>
      </c>
      <c r="S61" s="280">
        <v>2</v>
      </c>
      <c r="T61" s="258" t="s">
        <v>1244</v>
      </c>
      <c r="U61" s="280">
        <v>2</v>
      </c>
      <c r="V61" s="258" t="s">
        <v>1243</v>
      </c>
      <c r="W61" s="280">
        <v>2</v>
      </c>
      <c r="X61" s="376"/>
      <c r="Y61" s="396">
        <v>0</v>
      </c>
      <c r="Z61" s="396">
        <v>0</v>
      </c>
      <c r="AA61" s="396">
        <v>0</v>
      </c>
      <c r="AB61" s="396">
        <v>0</v>
      </c>
      <c r="AC61" s="396">
        <v>0</v>
      </c>
      <c r="AD61" s="396">
        <v>0</v>
      </c>
      <c r="AE61" s="396">
        <v>0</v>
      </c>
      <c r="AF61" s="396">
        <v>0</v>
      </c>
      <c r="AG61" s="396">
        <v>0</v>
      </c>
      <c r="AH61" s="396">
        <v>0</v>
      </c>
      <c r="AI61" s="396">
        <v>0</v>
      </c>
      <c r="AJ61" s="396">
        <v>0</v>
      </c>
      <c r="AK61" s="396">
        <v>0</v>
      </c>
      <c r="AL61" s="396">
        <v>0</v>
      </c>
      <c r="AM61" s="396">
        <v>0</v>
      </c>
      <c r="AN61" s="396">
        <v>0</v>
      </c>
      <c r="AO61" s="396">
        <v>0</v>
      </c>
      <c r="AP61" s="396">
        <v>0</v>
      </c>
      <c r="AQ61" s="396">
        <v>0</v>
      </c>
      <c r="AR61" s="396">
        <v>0</v>
      </c>
      <c r="AS61" s="396">
        <v>0</v>
      </c>
      <c r="AT61" s="396">
        <v>0</v>
      </c>
      <c r="AU61" s="396">
        <v>0</v>
      </c>
      <c r="AV61" s="396">
        <f>O61</f>
        <v>2</v>
      </c>
      <c r="AW61" s="396">
        <v>0</v>
      </c>
      <c r="AX61" s="396">
        <f>Q61</f>
        <v>2</v>
      </c>
      <c r="AY61" s="396">
        <v>0</v>
      </c>
      <c r="AZ61" s="396">
        <f>S61</f>
        <v>2</v>
      </c>
      <c r="BA61" s="396">
        <v>0</v>
      </c>
      <c r="BB61" s="396">
        <f>U61</f>
        <v>2</v>
      </c>
      <c r="BC61" s="396">
        <v>0</v>
      </c>
      <c r="BD61" s="396">
        <f>W61</f>
        <v>2</v>
      </c>
    </row>
    <row r="62" spans="2:56">
      <c r="B62" s="19" t="s">
        <v>75</v>
      </c>
      <c r="C62" s="5" t="s">
        <v>1024</v>
      </c>
      <c r="D62" s="15" t="s">
        <v>1025</v>
      </c>
      <c r="E62" s="89" t="s">
        <v>147</v>
      </c>
      <c r="F62" s="39"/>
      <c r="G62"/>
      <c r="H62"/>
      <c r="I62"/>
      <c r="J62"/>
      <c r="K62"/>
      <c r="L62"/>
      <c r="M62"/>
      <c r="N62"/>
      <c r="O62"/>
      <c r="P62"/>
      <c r="Q62"/>
      <c r="R62"/>
      <c r="S62"/>
      <c r="T62"/>
      <c r="U62"/>
      <c r="V62"/>
      <c r="W62"/>
    </row>
    <row r="63" spans="2:56">
      <c r="B63" s="86" t="s">
        <v>15</v>
      </c>
      <c r="C63" s="88" t="s">
        <v>1027</v>
      </c>
      <c r="D63" s="86"/>
      <c r="E63" s="123"/>
      <c r="F63" s="103"/>
      <c r="G63"/>
      <c r="H63"/>
      <c r="I63"/>
      <c r="J63"/>
      <c r="K63"/>
      <c r="L63"/>
      <c r="M63"/>
      <c r="N63"/>
      <c r="O63"/>
      <c r="P63"/>
      <c r="Q63"/>
      <c r="R63"/>
      <c r="S63"/>
      <c r="T63"/>
      <c r="U63"/>
      <c r="V63"/>
      <c r="W63"/>
      <c r="X63" s="376"/>
      <c r="AH63" s="376"/>
    </row>
    <row r="64" spans="2:56">
      <c r="B64" s="19" t="s">
        <v>75</v>
      </c>
      <c r="C64" s="254" t="s">
        <v>886</v>
      </c>
      <c r="D64" s="255" t="s">
        <v>1028</v>
      </c>
      <c r="E64" s="89" t="s">
        <v>147</v>
      </c>
      <c r="F64" s="179"/>
      <c r="G64"/>
      <c r="H64"/>
      <c r="I64"/>
      <c r="J64"/>
      <c r="K64"/>
      <c r="L64"/>
      <c r="M64"/>
      <c r="N64"/>
      <c r="O64"/>
      <c r="P64"/>
      <c r="Q64"/>
      <c r="R64"/>
      <c r="S64"/>
      <c r="T64"/>
      <c r="U64"/>
      <c r="V64"/>
      <c r="W64"/>
      <c r="X64" s="376"/>
      <c r="Y64" s="168">
        <v>31</v>
      </c>
      <c r="Z64" s="168">
        <v>30</v>
      </c>
      <c r="AA64" s="168">
        <v>29</v>
      </c>
      <c r="AB64" s="168">
        <v>28</v>
      </c>
      <c r="AC64" s="168">
        <v>27</v>
      </c>
      <c r="AD64" s="168">
        <v>26</v>
      </c>
      <c r="AE64" s="168">
        <v>25</v>
      </c>
      <c r="AF64" s="168">
        <v>24</v>
      </c>
      <c r="AG64" s="168">
        <v>23</v>
      </c>
      <c r="AH64" s="376">
        <v>22</v>
      </c>
      <c r="AI64" s="168">
        <v>21</v>
      </c>
      <c r="AJ64" s="168">
        <v>20</v>
      </c>
      <c r="AK64" s="168">
        <v>19</v>
      </c>
      <c r="AL64" s="168">
        <v>18</v>
      </c>
      <c r="AM64" s="168">
        <v>17</v>
      </c>
      <c r="AN64" s="168">
        <v>16</v>
      </c>
      <c r="AO64" s="168">
        <v>15</v>
      </c>
      <c r="AP64" s="168">
        <v>14</v>
      </c>
      <c r="AQ64" s="168">
        <v>13</v>
      </c>
      <c r="AR64" s="168">
        <v>12</v>
      </c>
      <c r="AS64" s="168">
        <v>11</v>
      </c>
      <c r="AT64" s="168">
        <v>10</v>
      </c>
      <c r="AU64" s="168">
        <v>9</v>
      </c>
      <c r="AV64" s="168">
        <v>8</v>
      </c>
      <c r="AW64" s="168">
        <v>7</v>
      </c>
      <c r="AX64" s="168">
        <v>6</v>
      </c>
      <c r="AY64" s="168">
        <v>5</v>
      </c>
      <c r="AZ64" s="168">
        <v>4</v>
      </c>
      <c r="BA64" s="168">
        <v>3</v>
      </c>
      <c r="BB64" s="168">
        <v>2</v>
      </c>
      <c r="BC64" s="168">
        <v>1</v>
      </c>
      <c r="BD64" s="168">
        <v>0</v>
      </c>
    </row>
    <row r="65" spans="2:57">
      <c r="B65" s="19" t="s">
        <v>75</v>
      </c>
      <c r="C65" s="254" t="s">
        <v>888</v>
      </c>
      <c r="D65" s="255" t="s">
        <v>1029</v>
      </c>
      <c r="E65" s="122" t="str">
        <f>DEC2HEX(Y65*2^31+Z65*2^30+AA65*2^29+AB65*2^28+AC65*2^27+AD65*2^26+AE65*2^25+AF65*2^24+AG65*2^23+AH65*2^22+AI65*2^21+AJ65*2^20+AK65*2^19+AL65*2^18+AM65*2^17+AN65*2^16+AO65*2^15+AP65*2^14+AQ65*2^13+AR65*2^12+AS65*2^11+AT65*2^10+AU65*2^9+AV65*2^8+AW65*2^7+AX65*2^6+AY65*2^5+AZ65*2^4+BA65*2^3+BB65*2^2+BC65*2^1+BD65*2^0,8)</f>
        <v>00000001</v>
      </c>
      <c r="F65" s="179"/>
      <c r="G65" s="256"/>
      <c r="H65" s="265"/>
      <c r="I65" s="268"/>
      <c r="J65" s="268"/>
      <c r="K65" s="266"/>
      <c r="L65" s="261" t="s">
        <v>948</v>
      </c>
      <c r="M65" s="281" t="s">
        <v>945</v>
      </c>
      <c r="N65" s="258" t="s">
        <v>947</v>
      </c>
      <c r="O65" s="281" t="s">
        <v>945</v>
      </c>
      <c r="P65" s="259"/>
      <c r="Q65" s="259"/>
      <c r="R65" s="259"/>
      <c r="S65" s="259"/>
      <c r="T65" s="259"/>
      <c r="U65" s="260"/>
      <c r="V65" s="261" t="s">
        <v>946</v>
      </c>
      <c r="W65" s="280" t="s">
        <v>36</v>
      </c>
      <c r="X65" s="395"/>
      <c r="Y65" s="396">
        <v>0</v>
      </c>
      <c r="Z65" s="396">
        <v>0</v>
      </c>
      <c r="AA65" s="396">
        <v>0</v>
      </c>
      <c r="AB65" s="396">
        <v>0</v>
      </c>
      <c r="AC65" s="396">
        <v>0</v>
      </c>
      <c r="AD65" s="396">
        <v>0</v>
      </c>
      <c r="AE65" s="396">
        <v>0</v>
      </c>
      <c r="AF65" s="396">
        <v>0</v>
      </c>
      <c r="AG65" s="396">
        <v>0</v>
      </c>
      <c r="AH65" s="395">
        <v>0</v>
      </c>
      <c r="AI65" s="396">
        <v>0</v>
      </c>
      <c r="AJ65" s="396">
        <v>0</v>
      </c>
      <c r="AK65" s="396">
        <v>0</v>
      </c>
      <c r="AL65" s="396">
        <v>0</v>
      </c>
      <c r="AM65" s="396">
        <v>0</v>
      </c>
      <c r="AN65" s="396">
        <v>0</v>
      </c>
      <c r="AO65" s="396">
        <v>0</v>
      </c>
      <c r="AP65" s="396">
        <v>0</v>
      </c>
      <c r="AQ65" s="396">
        <v>0</v>
      </c>
      <c r="AR65" s="396">
        <v>0</v>
      </c>
      <c r="AS65" s="396">
        <v>0</v>
      </c>
      <c r="AT65" s="396">
        <f>IF(M65="HSCK/8",0,IF(M65="HSCK/4",1,2))</f>
        <v>0</v>
      </c>
      <c r="AU65" s="396">
        <v>0</v>
      </c>
      <c r="AV65" s="396">
        <f>IF(O65="HSCK/8",0,IF(O65="HSCK/4",1,2))</f>
        <v>0</v>
      </c>
      <c r="AW65" s="396">
        <v>0</v>
      </c>
      <c r="AX65" s="396">
        <v>0</v>
      </c>
      <c r="AY65" s="396">
        <v>0</v>
      </c>
      <c r="AZ65" s="396">
        <v>0</v>
      </c>
      <c r="BA65" s="396">
        <v>0</v>
      </c>
      <c r="BB65" s="396">
        <v>0</v>
      </c>
      <c r="BC65" s="396">
        <v>0</v>
      </c>
      <c r="BD65" s="396">
        <f>IF(W65="Enable",1,0)</f>
        <v>1</v>
      </c>
    </row>
    <row r="66" spans="2:57">
      <c r="B66" s="19" t="s">
        <v>75</v>
      </c>
      <c r="C66" s="5" t="s">
        <v>1021</v>
      </c>
      <c r="D66" s="15" t="s">
        <v>1067</v>
      </c>
      <c r="E66" s="89" t="s">
        <v>147</v>
      </c>
      <c r="F66" s="39"/>
      <c r="G66"/>
      <c r="H66"/>
      <c r="I66"/>
      <c r="J66"/>
      <c r="K66"/>
      <c r="L66"/>
      <c r="M66"/>
      <c r="N66"/>
      <c r="O66"/>
      <c r="P66"/>
      <c r="Q66"/>
      <c r="R66"/>
      <c r="S66"/>
      <c r="T66"/>
      <c r="U66"/>
      <c r="V66"/>
      <c r="W66"/>
    </row>
    <row r="67" spans="2:57">
      <c r="B67" s="19" t="s">
        <v>75</v>
      </c>
      <c r="C67" s="254" t="s">
        <v>885</v>
      </c>
      <c r="D67" s="255" t="s">
        <v>1068</v>
      </c>
      <c r="E67" s="122" t="str">
        <f>Main_Parameters!$C$148</f>
        <v>000090BD</v>
      </c>
      <c r="F67" s="179" t="s">
        <v>1255</v>
      </c>
      <c r="G67"/>
      <c r="H67"/>
      <c r="I67"/>
      <c r="J67"/>
      <c r="K67"/>
      <c r="L67"/>
      <c r="M67"/>
      <c r="N67"/>
      <c r="O67"/>
      <c r="P67"/>
      <c r="Q67"/>
      <c r="R67"/>
      <c r="S67"/>
      <c r="T67"/>
      <c r="U67"/>
      <c r="V67"/>
      <c r="W67"/>
      <c r="X67" s="376"/>
      <c r="AH67" s="376"/>
    </row>
    <row r="68" spans="2:57">
      <c r="B68" s="19" t="s">
        <v>828</v>
      </c>
      <c r="C68" s="254"/>
      <c r="D68" s="310">
        <v>1000</v>
      </c>
      <c r="E68" s="310"/>
      <c r="F68" s="179"/>
      <c r="G68"/>
      <c r="H68"/>
      <c r="I68"/>
      <c r="J68"/>
      <c r="K68"/>
      <c r="L68"/>
      <c r="M68"/>
      <c r="N68"/>
      <c r="O68"/>
      <c r="P68"/>
      <c r="Q68"/>
      <c r="R68"/>
      <c r="S68"/>
      <c r="T68"/>
      <c r="U68"/>
      <c r="V68"/>
      <c r="W68"/>
      <c r="X68" s="376"/>
      <c r="AH68" s="376"/>
    </row>
    <row r="69" spans="2:57">
      <c r="B69" s="19" t="s">
        <v>75</v>
      </c>
      <c r="C69" s="5" t="s">
        <v>1021</v>
      </c>
      <c r="D69" s="15" t="s">
        <v>1067</v>
      </c>
      <c r="E69" s="89" t="s">
        <v>1022</v>
      </c>
      <c r="F69" s="39"/>
      <c r="G69"/>
      <c r="H69"/>
      <c r="I69"/>
      <c r="J69"/>
      <c r="K69"/>
      <c r="L69"/>
      <c r="M69"/>
      <c r="N69"/>
      <c r="O69"/>
      <c r="P69"/>
      <c r="Q69"/>
      <c r="R69"/>
      <c r="S69"/>
      <c r="T69"/>
      <c r="U69"/>
      <c r="V69"/>
      <c r="W69"/>
    </row>
    <row r="70" spans="2:57">
      <c r="B70" s="19" t="s">
        <v>75</v>
      </c>
      <c r="C70" s="254" t="s">
        <v>892</v>
      </c>
      <c r="D70" s="255" t="s">
        <v>1030</v>
      </c>
      <c r="E70" s="122" t="str">
        <f>Main_Parameters!$C$151</f>
        <v>00000014</v>
      </c>
      <c r="F70" s="179"/>
      <c r="G70"/>
      <c r="H70"/>
      <c r="I70"/>
      <c r="J70"/>
      <c r="K70"/>
      <c r="L70"/>
      <c r="M70"/>
      <c r="N70"/>
      <c r="O70"/>
      <c r="P70"/>
      <c r="Q70"/>
      <c r="R70"/>
      <c r="S70"/>
      <c r="T70"/>
      <c r="U70"/>
      <c r="V70"/>
      <c r="W70"/>
      <c r="X70" s="376"/>
      <c r="AH70" s="376"/>
    </row>
    <row r="71" spans="2:57">
      <c r="B71" s="19" t="s">
        <v>75</v>
      </c>
      <c r="C71" s="254" t="s">
        <v>894</v>
      </c>
      <c r="D71" s="255" t="s">
        <v>1031</v>
      </c>
      <c r="E71" s="122" t="str">
        <f>Main_Parameters!$C$152</f>
        <v>00001770</v>
      </c>
      <c r="F71" s="179"/>
      <c r="G71"/>
      <c r="H71"/>
      <c r="I71"/>
      <c r="J71"/>
      <c r="K71"/>
      <c r="L71"/>
      <c r="M71"/>
      <c r="N71"/>
      <c r="O71"/>
      <c r="P71"/>
      <c r="Q71"/>
      <c r="R71"/>
      <c r="S71"/>
      <c r="T71"/>
      <c r="U71"/>
      <c r="V71"/>
      <c r="W71"/>
      <c r="X71" s="376"/>
      <c r="AH71" s="376"/>
    </row>
    <row r="72" spans="2:57" ht="15">
      <c r="B72" s="19" t="s">
        <v>75</v>
      </c>
      <c r="C72" s="254" t="s">
        <v>895</v>
      </c>
      <c r="D72" s="255" t="s">
        <v>1032</v>
      </c>
      <c r="E72" s="122" t="str">
        <f>DEC2HEX(HEX2DEC(K72),8)</f>
        <v>00000000</v>
      </c>
      <c r="F72" s="179"/>
      <c r="G72"/>
      <c r="H72" s="495" t="s">
        <v>953</v>
      </c>
      <c r="I72" s="496"/>
      <c r="J72" s="497"/>
      <c r="K72" s="283">
        <v>0</v>
      </c>
      <c r="L72" s="267" t="str">
        <f>IF(HEX2DEC(K72)&lt;0,"NG",IF(HEX2DEC(K72)&gt;4294967295,"NG","OK"))</f>
        <v>OK</v>
      </c>
      <c r="M72" s="265"/>
      <c r="N72" s="268"/>
      <c r="O72" s="268"/>
      <c r="P72" s="268"/>
      <c r="Q72" s="268"/>
      <c r="R72" s="268"/>
      <c r="S72" s="268"/>
      <c r="T72" s="268"/>
      <c r="U72" s="268"/>
      <c r="V72" s="268"/>
      <c r="W72" s="266"/>
      <c r="X72" s="376"/>
      <c r="AH72" s="376"/>
    </row>
    <row r="73" spans="2:57">
      <c r="B73" s="19" t="s">
        <v>75</v>
      </c>
      <c r="C73" s="254" t="s">
        <v>897</v>
      </c>
      <c r="D73" s="255" t="s">
        <v>1033</v>
      </c>
      <c r="E73" s="122" t="str">
        <f>DEC2HEX(Y73*2^31+Z73*2^30+AA73*2^29+AB73*2^28+AC73*2^27+AD73*2^26+AE73*2^25+AF73*2^24+AG73*2^23+AH73*2^22+AI73*2^21+AJ73*2^20+AK73*2^19+AL73*2^18+AM73*2^17+AN73*2^16+AO73*2^15+AP73*2^14+AQ73*2^13+AR73*2^12+AS73*2^11+AT73*2^10+AU73*2^9+AV73*2^8+AW73*2^7+AX73*2^6+AY73*2^5+AZ73*2^4+BA73*2^3+BB73*2^2+BC73*2^1+BD73*2^0,8)</f>
        <v>00000101</v>
      </c>
      <c r="F73" s="179"/>
      <c r="G73"/>
      <c r="H73" s="265"/>
      <c r="I73" s="268"/>
      <c r="J73" s="268"/>
      <c r="K73" s="268"/>
      <c r="L73" s="282" t="s">
        <v>1584</v>
      </c>
      <c r="M73" s="282" t="s">
        <v>1585</v>
      </c>
      <c r="N73" s="282" t="s">
        <v>1586</v>
      </c>
      <c r="O73" s="282" t="s">
        <v>1587</v>
      </c>
      <c r="P73" s="282" t="s">
        <v>1588</v>
      </c>
      <c r="Q73" s="282" t="s">
        <v>1589</v>
      </c>
      <c r="R73" s="282" t="s">
        <v>1590</v>
      </c>
      <c r="S73" s="282" t="s">
        <v>955</v>
      </c>
      <c r="T73" s="282" t="s">
        <v>956</v>
      </c>
      <c r="U73" s="282" t="s">
        <v>957</v>
      </c>
      <c r="V73" s="409" t="s">
        <v>1523</v>
      </c>
      <c r="W73" s="280" t="s">
        <v>954</v>
      </c>
      <c r="X73" s="376"/>
      <c r="Y73" s="168">
        <v>0</v>
      </c>
      <c r="Z73" s="168">
        <v>0</v>
      </c>
      <c r="AA73" s="168">
        <v>0</v>
      </c>
      <c r="AB73" s="168">
        <v>0</v>
      </c>
      <c r="AC73" s="168">
        <v>0</v>
      </c>
      <c r="AD73" s="168">
        <v>0</v>
      </c>
      <c r="AE73" s="168">
        <v>0</v>
      </c>
      <c r="AF73" s="168">
        <v>0</v>
      </c>
      <c r="AG73" s="168">
        <v>0</v>
      </c>
      <c r="AH73" s="376">
        <f>IF(L73="INIT Int Enb",1,0)</f>
        <v>0</v>
      </c>
      <c r="AI73" s="376">
        <f>IF(M73="ApErr Int Enb",1,0)</f>
        <v>0</v>
      </c>
      <c r="AJ73" s="376">
        <f>IF(N73="DSIPrto Int Enb",1,0)</f>
        <v>0</v>
      </c>
      <c r="AK73" s="376">
        <f>IF(O73="DSIrErr Int Enb",1,0)</f>
        <v>0</v>
      </c>
      <c r="AL73" s="376">
        <f>IF(P73="DSILPTX Int Enb",1,0)</f>
        <v>0</v>
      </c>
      <c r="AM73" s="376">
        <f>IF(Q73="DSIrTrg Int Enb",1,0)</f>
        <v>0</v>
      </c>
      <c r="AN73" s="376">
        <f>IF(R73="DSIrStat Int Enb",1,0)</f>
        <v>0</v>
      </c>
      <c r="AO73" s="168">
        <v>0</v>
      </c>
      <c r="AP73" s="376">
        <f>IF(S73="PRESP_TO Enb",1,0)</f>
        <v>0</v>
      </c>
      <c r="AQ73" s="376">
        <v>0</v>
      </c>
      <c r="AR73" s="376">
        <v>0</v>
      </c>
      <c r="AS73" s="376">
        <v>0</v>
      </c>
      <c r="AT73" s="376">
        <f>IF(T73="HSTX_TO Enb",1,0)</f>
        <v>0</v>
      </c>
      <c r="AU73" s="376">
        <f>IF(U73="IND_TO Enb",1,0)</f>
        <v>0</v>
      </c>
      <c r="AV73" s="376">
        <f>IF(V73="INDMdSel Reg",1,0)</f>
        <v>1</v>
      </c>
      <c r="AW73" s="168">
        <v>0</v>
      </c>
      <c r="AX73" s="168">
        <v>0</v>
      </c>
      <c r="AY73" s="168">
        <v>0</v>
      </c>
      <c r="AZ73" s="168">
        <v>0</v>
      </c>
      <c r="BA73" s="168">
        <v>0</v>
      </c>
      <c r="BB73" s="168">
        <v>0</v>
      </c>
      <c r="BC73" s="168">
        <v>0</v>
      </c>
      <c r="BD73" s="376">
        <f>IF(W73="VHDELAY Reg",1,0)</f>
        <v>1</v>
      </c>
    </row>
    <row r="74" spans="2:57" ht="15">
      <c r="B74" s="280" t="s">
        <v>1100</v>
      </c>
      <c r="C74" s="254" t="s">
        <v>1230</v>
      </c>
      <c r="D74" s="255" t="s">
        <v>1262</v>
      </c>
      <c r="E74" s="122" t="str">
        <f>DEC2HEX(Y74*2^31+Z74*2^30+AA74*2^29+AB74*2^28+AC74*2^27+AD74*2^26+AE74*2^25+AF74*2^24+AG74*2^23+AH74*2^22+AI74*2^21+AJ74*2^20+AK74*2^19+AL74*2^18+AM74*2^17+AN74*2^16+AO74*2^15+AP74*2^14+AQ74*2^13+AR74*2^12+AS74*2^11+AT74*2^10+AU74*2^9+AV74*2^8+AW74*2^7+AX74*2^6+AY74*2^5+AZ74*2^4+BA74*2^3+BB74*2^2+BC74*2^1+BD74*2^0,8)</f>
        <v>00000004</v>
      </c>
      <c r="F74" s="179"/>
      <c r="G74"/>
      <c r="H74" s="265"/>
      <c r="I74" s="268"/>
      <c r="J74" s="268"/>
      <c r="K74" s="268"/>
      <c r="L74" s="268"/>
      <c r="M74" s="268"/>
      <c r="N74" s="273"/>
      <c r="O74" s="273"/>
      <c r="P74" s="273"/>
      <c r="Q74" s="279" t="s">
        <v>1235</v>
      </c>
      <c r="R74" s="264" t="str">
        <f>IF(S74&gt;8191,"NG",IF(S74&lt;0,"NG","OK"))</f>
        <v>OK</v>
      </c>
      <c r="S74" s="315">
        <v>0</v>
      </c>
      <c r="T74" s="261" t="s">
        <v>1233</v>
      </c>
      <c r="U74" s="282" t="s">
        <v>1234</v>
      </c>
      <c r="V74" s="261" t="s">
        <v>1231</v>
      </c>
      <c r="W74" s="280" t="s">
        <v>1232</v>
      </c>
      <c r="X74" s="376"/>
      <c r="Y74" s="168">
        <v>0</v>
      </c>
      <c r="Z74" s="168">
        <v>0</v>
      </c>
      <c r="AA74" s="168">
        <v>0</v>
      </c>
      <c r="AB74" s="168">
        <v>0</v>
      </c>
      <c r="AC74" s="168">
        <v>0</v>
      </c>
      <c r="AD74" s="168">
        <v>0</v>
      </c>
      <c r="AE74" s="168">
        <v>0</v>
      </c>
      <c r="AF74" s="168">
        <v>0</v>
      </c>
      <c r="AG74" s="168">
        <v>0</v>
      </c>
      <c r="AH74" s="168">
        <v>0</v>
      </c>
      <c r="AI74" s="168">
        <v>0</v>
      </c>
      <c r="AJ74" s="168">
        <v>0</v>
      </c>
      <c r="AK74" s="168">
        <v>0</v>
      </c>
      <c r="AL74" s="168">
        <v>0</v>
      </c>
      <c r="AM74" s="168">
        <v>0</v>
      </c>
      <c r="AN74" s="168">
        <v>0</v>
      </c>
      <c r="AO74" s="168">
        <v>0</v>
      </c>
      <c r="AP74" s="168">
        <v>0</v>
      </c>
      <c r="AQ74" s="168">
        <v>0</v>
      </c>
      <c r="AR74" s="168">
        <v>0</v>
      </c>
      <c r="AS74" s="168">
        <v>0</v>
      </c>
      <c r="AT74" s="168">
        <v>0</v>
      </c>
      <c r="AU74" s="168">
        <v>0</v>
      </c>
      <c r="AV74" s="168">
        <v>0</v>
      </c>
      <c r="AW74" s="168">
        <v>0</v>
      </c>
      <c r="AX74" s="168">
        <v>0</v>
      </c>
      <c r="AY74" s="168">
        <v>0</v>
      </c>
      <c r="AZ74" s="168">
        <v>0</v>
      </c>
      <c r="BA74" s="168">
        <f>S74</f>
        <v>0</v>
      </c>
      <c r="BB74" s="168">
        <v>0</v>
      </c>
      <c r="BC74" s="168">
        <f>IF(U74="VFP",0,IF(U74="Immediate",2,1))</f>
        <v>2</v>
      </c>
      <c r="BD74" s="168">
        <f>IF(W74="Input",0,1)</f>
        <v>0</v>
      </c>
      <c r="BE74" s="376"/>
    </row>
    <row r="75" spans="2:57" ht="15">
      <c r="B75" s="19" t="s">
        <v>75</v>
      </c>
      <c r="C75" s="254" t="s">
        <v>899</v>
      </c>
      <c r="D75" s="255" t="s">
        <v>1034</v>
      </c>
      <c r="E75" s="122" t="str">
        <f t="shared" ref="E75:E82" si="3">DEC2HEX(HEX2DEC(K75),8)</f>
        <v>00010000</v>
      </c>
      <c r="F75" s="179"/>
      <c r="G75"/>
      <c r="H75" s="495" t="s">
        <v>958</v>
      </c>
      <c r="I75" s="496"/>
      <c r="J75" s="497"/>
      <c r="K75" s="283" t="s">
        <v>959</v>
      </c>
      <c r="L75" s="264" t="str">
        <f t="shared" ref="L75:L82" si="4">IF(HEX2DEC(K75)&lt;0,"NG",IF(HEX2DEC(K75)&gt;4294967295,"NG","OK"))</f>
        <v>OK</v>
      </c>
      <c r="M75" s="265"/>
      <c r="N75" s="268"/>
      <c r="O75" s="268"/>
      <c r="P75" s="268"/>
      <c r="Q75" s="268"/>
      <c r="R75" s="268"/>
      <c r="S75" s="268"/>
      <c r="T75" s="268"/>
      <c r="U75" s="268"/>
      <c r="V75" s="268"/>
      <c r="W75" s="266"/>
    </row>
    <row r="76" spans="2:57" ht="15">
      <c r="B76" s="19" t="s">
        <v>75</v>
      </c>
      <c r="C76" s="254" t="s">
        <v>901</v>
      </c>
      <c r="D76" s="255" t="s">
        <v>1035</v>
      </c>
      <c r="E76" s="122" t="str">
        <f t="shared" si="3"/>
        <v>00005000</v>
      </c>
      <c r="F76" s="179"/>
      <c r="G76"/>
      <c r="H76" s="495" t="s">
        <v>1019</v>
      </c>
      <c r="I76" s="496"/>
      <c r="J76" s="497"/>
      <c r="K76" s="283" t="s">
        <v>960</v>
      </c>
      <c r="L76" s="264" t="str">
        <f t="shared" si="4"/>
        <v>OK</v>
      </c>
      <c r="M76" s="265"/>
      <c r="N76" s="268"/>
      <c r="O76" s="268"/>
      <c r="P76" s="268"/>
      <c r="Q76" s="268"/>
      <c r="R76" s="268"/>
      <c r="S76" s="268"/>
      <c r="T76" s="268"/>
      <c r="U76" s="268"/>
      <c r="V76" s="268"/>
      <c r="W76" s="266"/>
      <c r="X76" s="376"/>
      <c r="AH76" s="376"/>
    </row>
    <row r="77" spans="2:57" ht="15">
      <c r="B77" s="19" t="s">
        <v>75</v>
      </c>
      <c r="C77" s="254" t="s">
        <v>903</v>
      </c>
      <c r="D77" s="255" t="s">
        <v>1036</v>
      </c>
      <c r="E77" s="122" t="str">
        <f t="shared" si="3"/>
        <v>00010000</v>
      </c>
      <c r="F77" s="179"/>
      <c r="G77"/>
      <c r="H77" s="495" t="s">
        <v>961</v>
      </c>
      <c r="I77" s="496"/>
      <c r="J77" s="497"/>
      <c r="K77" s="283" t="s">
        <v>959</v>
      </c>
      <c r="L77" s="264" t="str">
        <f t="shared" si="4"/>
        <v>OK</v>
      </c>
      <c r="M77" s="265"/>
      <c r="N77" s="268"/>
      <c r="O77" s="268"/>
      <c r="P77" s="268"/>
      <c r="Q77" s="268"/>
      <c r="R77" s="268"/>
      <c r="S77" s="268"/>
      <c r="T77" s="268"/>
      <c r="U77" s="268"/>
      <c r="V77" s="268"/>
      <c r="W77" s="266"/>
      <c r="X77" s="376"/>
      <c r="AH77" s="376"/>
    </row>
    <row r="78" spans="2:57" ht="15">
      <c r="B78" s="19" t="s">
        <v>75</v>
      </c>
      <c r="C78" s="254" t="s">
        <v>905</v>
      </c>
      <c r="D78" s="255" t="s">
        <v>1037</v>
      </c>
      <c r="E78" s="122" t="str">
        <f t="shared" si="3"/>
        <v>00010000</v>
      </c>
      <c r="F78" s="179"/>
      <c r="G78"/>
      <c r="H78" s="495" t="s">
        <v>962</v>
      </c>
      <c r="I78" s="496"/>
      <c r="J78" s="497"/>
      <c r="K78" s="283" t="s">
        <v>959</v>
      </c>
      <c r="L78" s="264" t="str">
        <f t="shared" si="4"/>
        <v>OK</v>
      </c>
      <c r="M78" s="265"/>
      <c r="N78" s="268"/>
      <c r="O78" s="268"/>
      <c r="P78" s="268"/>
      <c r="Q78" s="268"/>
      <c r="R78" s="268"/>
      <c r="S78" s="268"/>
      <c r="T78" s="268"/>
      <c r="U78" s="268"/>
      <c r="V78" s="268"/>
      <c r="W78" s="266"/>
      <c r="X78" s="376"/>
      <c r="AH78" s="376"/>
    </row>
    <row r="79" spans="2:57" ht="15">
      <c r="B79" s="19" t="s">
        <v>75</v>
      </c>
      <c r="C79" s="254" t="s">
        <v>907</v>
      </c>
      <c r="D79" s="255" t="s">
        <v>1038</v>
      </c>
      <c r="E79" s="122" t="str">
        <f t="shared" si="3"/>
        <v>00010000</v>
      </c>
      <c r="F79" s="179"/>
      <c r="G79"/>
      <c r="H79" s="495" t="s">
        <v>963</v>
      </c>
      <c r="I79" s="496"/>
      <c r="J79" s="497"/>
      <c r="K79" s="283" t="s">
        <v>959</v>
      </c>
      <c r="L79" s="264" t="str">
        <f t="shared" si="4"/>
        <v>OK</v>
      </c>
      <c r="M79" s="265"/>
      <c r="N79" s="268"/>
      <c r="O79" s="268"/>
      <c r="P79" s="268"/>
      <c r="Q79" s="268"/>
      <c r="R79" s="268"/>
      <c r="S79" s="268"/>
      <c r="T79" s="268"/>
      <c r="U79" s="268"/>
      <c r="V79" s="268"/>
      <c r="W79" s="266"/>
      <c r="X79" s="376"/>
      <c r="AH79" s="376"/>
    </row>
    <row r="80" spans="2:57" ht="15">
      <c r="B80" s="19" t="s">
        <v>75</v>
      </c>
      <c r="C80" s="254" t="s">
        <v>909</v>
      </c>
      <c r="D80" s="255" t="s">
        <v>1039</v>
      </c>
      <c r="E80" s="122" t="str">
        <f t="shared" si="3"/>
        <v>00010000</v>
      </c>
      <c r="F80" s="179"/>
      <c r="G80"/>
      <c r="H80" s="495" t="s">
        <v>964</v>
      </c>
      <c r="I80" s="496"/>
      <c r="J80" s="497"/>
      <c r="K80" s="283" t="s">
        <v>959</v>
      </c>
      <c r="L80" s="264" t="str">
        <f t="shared" si="4"/>
        <v>OK</v>
      </c>
      <c r="M80" s="265"/>
      <c r="N80" s="268"/>
      <c r="O80" s="268"/>
      <c r="P80" s="268"/>
      <c r="Q80" s="268"/>
      <c r="R80" s="268"/>
      <c r="S80" s="268"/>
      <c r="T80" s="268"/>
      <c r="U80" s="268"/>
      <c r="V80" s="268"/>
      <c r="W80" s="266"/>
      <c r="X80" s="376"/>
      <c r="AH80" s="376"/>
    </row>
    <row r="81" spans="2:57" ht="15">
      <c r="B81" s="19" t="s">
        <v>75</v>
      </c>
      <c r="C81" s="254" t="s">
        <v>910</v>
      </c>
      <c r="D81" s="255" t="s">
        <v>1040</v>
      </c>
      <c r="E81" s="122" t="str">
        <f t="shared" si="3"/>
        <v>00001000</v>
      </c>
      <c r="F81" s="179"/>
      <c r="G81"/>
      <c r="H81" s="495" t="s">
        <v>965</v>
      </c>
      <c r="I81" s="496"/>
      <c r="J81" s="497"/>
      <c r="K81" s="283" t="s">
        <v>968</v>
      </c>
      <c r="L81" s="264" t="str">
        <f t="shared" si="4"/>
        <v>OK</v>
      </c>
      <c r="M81" s="265"/>
      <c r="N81" s="268"/>
      <c r="O81" s="268"/>
      <c r="P81" s="268"/>
      <c r="Q81" s="268"/>
      <c r="R81" s="268"/>
      <c r="S81" s="268"/>
      <c r="T81" s="268"/>
      <c r="U81" s="268"/>
      <c r="V81" s="268"/>
      <c r="W81" s="266"/>
      <c r="X81" s="376"/>
      <c r="AH81" s="376"/>
    </row>
    <row r="82" spans="2:57" ht="15">
      <c r="B82" s="19" t="s">
        <v>75</v>
      </c>
      <c r="C82" s="254" t="s">
        <v>911</v>
      </c>
      <c r="D82" s="255" t="s">
        <v>1041</v>
      </c>
      <c r="E82" s="122" t="str">
        <f t="shared" si="3"/>
        <v>00010000</v>
      </c>
      <c r="F82" s="179"/>
      <c r="G82"/>
      <c r="H82" s="495" t="s">
        <v>966</v>
      </c>
      <c r="I82" s="496"/>
      <c r="J82" s="497"/>
      <c r="K82" s="283" t="s">
        <v>959</v>
      </c>
      <c r="L82" s="264" t="str">
        <f t="shared" si="4"/>
        <v>OK</v>
      </c>
      <c r="M82" s="265"/>
      <c r="N82" s="268"/>
      <c r="O82" s="268"/>
      <c r="P82" s="268"/>
      <c r="Q82" s="268"/>
      <c r="R82" s="268"/>
      <c r="S82" s="268"/>
      <c r="T82" s="268"/>
      <c r="U82" s="268"/>
      <c r="V82" s="268"/>
      <c r="W82" s="266"/>
      <c r="X82" s="376"/>
      <c r="AH82" s="376"/>
    </row>
    <row r="83" spans="2:57">
      <c r="B83" s="19" t="s">
        <v>75</v>
      </c>
      <c r="C83" s="254" t="s">
        <v>912</v>
      </c>
      <c r="D83" s="255" t="s">
        <v>1042</v>
      </c>
      <c r="E83" s="122" t="str">
        <f>DEC2HEX(Y83*2^31+Z83*2^30+AA83*2^29+AB83*2^28+AC83*2^27+AD83*2^26+AE83*2^25+AF83*2^24+AG83*2^23+AH83*2^22+AI83*2^21+AJ83*2^20+AK83*2^19+AL83*2^18+AM83*2^17+AN83*2^16+AO83*2^15+AP83*2^14+AQ83*2^13+AR83*2^12+AS83*2^11+AT83*2^10+AU83*2^9+AV83*2^8+AW83*2^7+AX83*2^6+AY83*2^5+AZ83*2^4+BA83*2^3+BB83*2^2+BC83*2^1+BD83*2^0,8)</f>
        <v>00000160</v>
      </c>
      <c r="F83" s="179"/>
      <c r="G83"/>
      <c r="H83" s="269"/>
      <c r="I83" s="270"/>
      <c r="J83" s="270"/>
      <c r="K83" s="271"/>
      <c r="L83" s="272" t="s">
        <v>974</v>
      </c>
      <c r="M83" s="284" t="s">
        <v>975</v>
      </c>
      <c r="N83" s="272" t="s">
        <v>973</v>
      </c>
      <c r="O83" s="284" t="s">
        <v>36</v>
      </c>
      <c r="P83" s="257" t="s">
        <v>972</v>
      </c>
      <c r="Q83" s="281" t="s">
        <v>38</v>
      </c>
      <c r="R83" s="257" t="s">
        <v>971</v>
      </c>
      <c r="S83" s="281" t="s">
        <v>38</v>
      </c>
      <c r="T83" s="261" t="s">
        <v>970</v>
      </c>
      <c r="U83" s="262" t="str">
        <f>IF(Main_Parameters!$C$80="Enable","Continuous","Discontinuous")</f>
        <v>Continuous</v>
      </c>
      <c r="V83" s="261" t="s">
        <v>969</v>
      </c>
      <c r="W83" s="262" t="str">
        <f>IF(Main_Parameters!$C$79="Yes","Yes","No")</f>
        <v>No</v>
      </c>
      <c r="X83" s="395"/>
      <c r="Y83" s="396">
        <v>0</v>
      </c>
      <c r="Z83" s="396">
        <v>0</v>
      </c>
      <c r="AA83" s="396">
        <v>0</v>
      </c>
      <c r="AB83" s="396">
        <v>0</v>
      </c>
      <c r="AC83" s="396">
        <v>0</v>
      </c>
      <c r="AD83" s="396">
        <v>0</v>
      </c>
      <c r="AE83" s="396">
        <v>0</v>
      </c>
      <c r="AF83" s="396">
        <v>0</v>
      </c>
      <c r="AG83" s="396">
        <v>0</v>
      </c>
      <c r="AH83" s="395">
        <v>0</v>
      </c>
      <c r="AI83" s="396">
        <v>0</v>
      </c>
      <c r="AJ83" s="396">
        <v>0</v>
      </c>
      <c r="AK83" s="396">
        <v>0</v>
      </c>
      <c r="AL83" s="396">
        <v>0</v>
      </c>
      <c r="AM83" s="396">
        <v>0</v>
      </c>
      <c r="AN83" s="396">
        <v>0</v>
      </c>
      <c r="AO83" s="396">
        <v>0</v>
      </c>
      <c r="AP83" s="396">
        <v>0</v>
      </c>
      <c r="AQ83" s="396">
        <v>0</v>
      </c>
      <c r="AR83" s="396">
        <v>0</v>
      </c>
      <c r="AS83" s="396">
        <v>0</v>
      </c>
      <c r="AT83" s="396">
        <f>IF(M83="Forced to STOP",1,0)</f>
        <v>0</v>
      </c>
      <c r="AU83" s="396">
        <f>IF(O83="Disable",1,0)</f>
        <v>0</v>
      </c>
      <c r="AV83" s="396">
        <f>IF(Q83="Disable",1,0)</f>
        <v>1</v>
      </c>
      <c r="AW83" s="396">
        <v>0</v>
      </c>
      <c r="AX83" s="396">
        <f>IF(S83="Disable",1,0)</f>
        <v>1</v>
      </c>
      <c r="AY83" s="396">
        <f>IF(U83="Continuous",1,0)</f>
        <v>1</v>
      </c>
      <c r="AZ83" s="396">
        <v>0</v>
      </c>
      <c r="BA83" s="396">
        <v>0</v>
      </c>
      <c r="BB83" s="396">
        <v>0</v>
      </c>
      <c r="BC83" s="396">
        <v>0</v>
      </c>
      <c r="BD83" s="396">
        <f>IF(W83="Yes",1,0)</f>
        <v>0</v>
      </c>
    </row>
    <row r="84" spans="2:57">
      <c r="B84" s="19" t="s">
        <v>75</v>
      </c>
      <c r="C84" s="254" t="s">
        <v>913</v>
      </c>
      <c r="D84" s="255" t="s">
        <v>1043</v>
      </c>
      <c r="E84" s="122" t="str">
        <f>DEC2HEX(Y84*2^31+Z84*2^30+AA84*2^29+AB84*2^28+AC84*2^27+AD84*2^26+AE84*2^25+AF84*2^24+AG84*2^23+AH84*2^22+AI84*2^21+AJ84*2^20+AK84*2^19+AL84*2^18+AM84*2^17+AN84*2^16+AO84*2^15+AP84*2^14+AQ84*2^13+AR84*2^12+AS84*2^11+AT84*2^10+AU84*2^9+AV84*2^8+AW84*2^7+AX84*2^6+AY84*2^5+AZ84*2^4+BA84*2^3+BB84*2^2+BC84*2^1+BD84*2^0,8)</f>
        <v>00000001</v>
      </c>
      <c r="F84" s="179"/>
      <c r="G84"/>
      <c r="H84" s="265"/>
      <c r="I84" s="268"/>
      <c r="J84" s="268"/>
      <c r="K84" s="268"/>
      <c r="L84" s="268"/>
      <c r="M84" s="268"/>
      <c r="N84" s="268"/>
      <c r="O84" s="266"/>
      <c r="P84" s="258" t="s">
        <v>979</v>
      </c>
      <c r="Q84" s="280" t="s">
        <v>38</v>
      </c>
      <c r="R84" s="258" t="s">
        <v>978</v>
      </c>
      <c r="S84" s="280" t="s">
        <v>38</v>
      </c>
      <c r="T84" s="258" t="s">
        <v>977</v>
      </c>
      <c r="U84" s="280" t="s">
        <v>38</v>
      </c>
      <c r="V84" s="258" t="s">
        <v>976</v>
      </c>
      <c r="W84" s="280" t="s">
        <v>36</v>
      </c>
      <c r="X84" s="395"/>
      <c r="Y84" s="396">
        <v>0</v>
      </c>
      <c r="Z84" s="396">
        <v>0</v>
      </c>
      <c r="AA84" s="396">
        <v>0</v>
      </c>
      <c r="AB84" s="396">
        <v>0</v>
      </c>
      <c r="AC84" s="396">
        <v>0</v>
      </c>
      <c r="AD84" s="396">
        <v>0</v>
      </c>
      <c r="AE84" s="396">
        <v>0</v>
      </c>
      <c r="AF84" s="396">
        <v>0</v>
      </c>
      <c r="AG84" s="396">
        <v>0</v>
      </c>
      <c r="AH84" s="395">
        <v>0</v>
      </c>
      <c r="AI84" s="396">
        <v>0</v>
      </c>
      <c r="AJ84" s="396">
        <v>0</v>
      </c>
      <c r="AK84" s="396">
        <v>0</v>
      </c>
      <c r="AL84" s="396">
        <v>0</v>
      </c>
      <c r="AM84" s="396">
        <v>0</v>
      </c>
      <c r="AN84" s="396">
        <v>0</v>
      </c>
      <c r="AO84" s="396">
        <v>0</v>
      </c>
      <c r="AP84" s="396">
        <v>0</v>
      </c>
      <c r="AQ84" s="396">
        <v>0</v>
      </c>
      <c r="AR84" s="396">
        <v>0</v>
      </c>
      <c r="AS84" s="396">
        <v>0</v>
      </c>
      <c r="AT84" s="396">
        <v>0</v>
      </c>
      <c r="AU84" s="396">
        <v>0</v>
      </c>
      <c r="AV84" s="396">
        <v>0</v>
      </c>
      <c r="AW84" s="396">
        <v>0</v>
      </c>
      <c r="AX84" s="396">
        <v>0</v>
      </c>
      <c r="AY84" s="396">
        <v>0</v>
      </c>
      <c r="AZ84" s="396">
        <v>0</v>
      </c>
      <c r="BA84" s="396">
        <f>IF(Q84="Enable",1,0)</f>
        <v>0</v>
      </c>
      <c r="BB84" s="396">
        <f>IF(S84="Enable",1,0)</f>
        <v>0</v>
      </c>
      <c r="BC84" s="396">
        <f>IF(U84="Enable",1,0)</f>
        <v>0</v>
      </c>
      <c r="BD84" s="396">
        <f>IF(W84="Enable",1,0)</f>
        <v>1</v>
      </c>
    </row>
    <row r="85" spans="2:57" ht="15">
      <c r="B85" s="19" t="s">
        <v>75</v>
      </c>
      <c r="C85" s="254" t="s">
        <v>915</v>
      </c>
      <c r="D85" s="255" t="s">
        <v>1044</v>
      </c>
      <c r="E85" s="122" t="str">
        <f>DEC2HEX(HEX2DEC(K85),8)</f>
        <v>000000C8</v>
      </c>
      <c r="F85" s="179"/>
      <c r="G85"/>
      <c r="H85" s="495" t="s">
        <v>980</v>
      </c>
      <c r="I85" s="496"/>
      <c r="J85" s="497"/>
      <c r="K85" s="283" t="s">
        <v>981</v>
      </c>
      <c r="L85" s="264" t="str">
        <f>IF(HEX2DEC(K85)&lt;0,"NG",IF(HEX2DEC(K85)&gt;4294967295,"NG","OK"))</f>
        <v>OK</v>
      </c>
      <c r="M85" s="265"/>
      <c r="N85" s="268"/>
      <c r="O85" s="268"/>
      <c r="P85" s="268"/>
      <c r="Q85" s="268"/>
      <c r="R85" s="268"/>
      <c r="S85" s="268"/>
      <c r="T85" s="268"/>
      <c r="U85" s="268"/>
      <c r="V85" s="268"/>
      <c r="W85" s="266"/>
      <c r="X85" s="376"/>
      <c r="AH85" s="376"/>
    </row>
    <row r="86" spans="2:57">
      <c r="B86" s="280" t="s">
        <v>1100</v>
      </c>
      <c r="C86" s="254" t="s">
        <v>1257</v>
      </c>
      <c r="D86" s="255" t="s">
        <v>1263</v>
      </c>
      <c r="E86" s="122" t="str">
        <f>DEC2HEX(Y86*2^31+Z86*2^30+AA86*2^29+AB86*2^28+AC86*2^27+AD86*2^26+AE86*2^25+AF86*2^24+AG86*2^23+AH86*2^22+AI86*2^21+AJ86*2^20+AK86*2^19+AL86*2^18+AM86*2^17+AN86*2^16+AO86*2^15+AP86*2^14+AQ86*2^13+AR86*2^12+AS86*2^11+AT86*2^10+AU86*2^9+AV86*2^8+AW86*2^7+AX86*2^6+AY86*2^5+AZ86*2^4+BA86*2^3+BB86*2^2+BC86*2^1+BD86*2^0,8)</f>
        <v>00000015</v>
      </c>
      <c r="F86" s="179"/>
      <c r="G86"/>
      <c r="H86" s="265"/>
      <c r="I86" s="268"/>
      <c r="J86" s="268"/>
      <c r="K86" s="268"/>
      <c r="L86" s="268"/>
      <c r="M86" s="268"/>
      <c r="N86" s="259"/>
      <c r="O86" s="259"/>
      <c r="P86" s="273"/>
      <c r="Q86" s="260"/>
      <c r="R86" s="305" t="s">
        <v>1260</v>
      </c>
      <c r="S86" s="280" t="s">
        <v>1261</v>
      </c>
      <c r="T86" s="304" t="s">
        <v>1259</v>
      </c>
      <c r="U86" s="280" t="s">
        <v>1261</v>
      </c>
      <c r="V86" s="304" t="s">
        <v>1258</v>
      </c>
      <c r="W86" s="280" t="s">
        <v>1261</v>
      </c>
      <c r="X86" s="376"/>
      <c r="Y86" s="168">
        <v>0</v>
      </c>
      <c r="Z86" s="168">
        <v>0</v>
      </c>
      <c r="AA86" s="168">
        <v>0</v>
      </c>
      <c r="AB86" s="168">
        <v>0</v>
      </c>
      <c r="AC86" s="168">
        <v>0</v>
      </c>
      <c r="AD86" s="168">
        <v>0</v>
      </c>
      <c r="AE86" s="168">
        <v>0</v>
      </c>
      <c r="AF86" s="168">
        <v>0</v>
      </c>
      <c r="AG86" s="168">
        <v>0</v>
      </c>
      <c r="AH86" s="168">
        <v>0</v>
      </c>
      <c r="AI86" s="168">
        <v>0</v>
      </c>
      <c r="AJ86" s="168">
        <v>0</v>
      </c>
      <c r="AK86" s="168">
        <v>0</v>
      </c>
      <c r="AL86" s="168">
        <v>0</v>
      </c>
      <c r="AM86" s="168">
        <v>0</v>
      </c>
      <c r="AN86" s="168">
        <v>0</v>
      </c>
      <c r="AO86" s="168">
        <v>0</v>
      </c>
      <c r="AP86" s="168">
        <v>0</v>
      </c>
      <c r="AQ86" s="168">
        <v>0</v>
      </c>
      <c r="AR86" s="168">
        <v>0</v>
      </c>
      <c r="AS86" s="168">
        <v>0</v>
      </c>
      <c r="AT86" s="168">
        <v>0</v>
      </c>
      <c r="AU86" s="168">
        <v>0</v>
      </c>
      <c r="AV86" s="168">
        <v>0</v>
      </c>
      <c r="AW86" s="168">
        <v>0</v>
      </c>
      <c r="AX86" s="168">
        <v>0</v>
      </c>
      <c r="AY86" s="168">
        <v>0</v>
      </c>
      <c r="AZ86" s="168">
        <f>IF(S86="Mask",1,0)</f>
        <v>1</v>
      </c>
      <c r="BA86" s="168">
        <v>0</v>
      </c>
      <c r="BB86" s="168">
        <f>IF(U86="Mask",1,0)</f>
        <v>1</v>
      </c>
      <c r="BC86" s="168">
        <v>0</v>
      </c>
      <c r="BD86" s="168">
        <f>IF(W86="Mask",1,0)</f>
        <v>1</v>
      </c>
      <c r="BE86" s="376"/>
    </row>
    <row r="87" spans="2:57" ht="15">
      <c r="B87" s="19" t="s">
        <v>75</v>
      </c>
      <c r="C87" s="254" t="s">
        <v>917</v>
      </c>
      <c r="D87" s="255" t="s">
        <v>1045</v>
      </c>
      <c r="E87" s="122" t="str">
        <f>DEC2HEX(HEX2DEC(K87),8)</f>
        <v>0000002A</v>
      </c>
      <c r="F87" s="179"/>
      <c r="G87"/>
      <c r="H87" s="495" t="s">
        <v>982</v>
      </c>
      <c r="I87" s="496"/>
      <c r="J87" s="497"/>
      <c r="K87" s="283" t="s">
        <v>1271</v>
      </c>
      <c r="L87" s="264" t="str">
        <f>IF(HEX2DEC(K87)&lt;0,"NG",IF(HEX2DEC(K87)&gt;65535,"NG","OK"))</f>
        <v>OK</v>
      </c>
      <c r="M87" s="265"/>
      <c r="N87" s="268"/>
      <c r="O87" s="268"/>
      <c r="P87" s="268"/>
      <c r="Q87" s="268"/>
      <c r="R87" s="268"/>
      <c r="S87" s="268"/>
      <c r="T87" s="268"/>
      <c r="U87" s="268"/>
      <c r="V87" s="268"/>
      <c r="W87" s="266"/>
      <c r="X87" s="376"/>
      <c r="AH87" s="376"/>
    </row>
    <row r="88" spans="2:57">
      <c r="B88" s="19" t="s">
        <v>75</v>
      </c>
      <c r="C88" s="254" t="s">
        <v>919</v>
      </c>
      <c r="D88" s="255" t="s">
        <v>1023</v>
      </c>
      <c r="E88" s="122" t="str">
        <f>Main_Parameters!$C$154</f>
        <v>00000478</v>
      </c>
      <c r="F88" s="179"/>
      <c r="G88"/>
      <c r="H88"/>
      <c r="I88"/>
      <c r="J88"/>
      <c r="K88"/>
      <c r="L88"/>
      <c r="M88"/>
      <c r="N88"/>
      <c r="O88"/>
      <c r="P88"/>
      <c r="Q88"/>
      <c r="R88"/>
      <c r="S88"/>
      <c r="T88"/>
      <c r="U88"/>
      <c r="V88"/>
      <c r="W88"/>
      <c r="X88" s="376"/>
      <c r="AH88" s="376"/>
    </row>
    <row r="89" spans="2:57">
      <c r="B89" s="280" t="s">
        <v>1100</v>
      </c>
      <c r="C89" s="254" t="s">
        <v>921</v>
      </c>
      <c r="D89" s="255" t="s">
        <v>1046</v>
      </c>
      <c r="E89" s="122" t="str">
        <f>DEC2HEX(Y89*2^31+Z89*2^30+AA89*2^29+AB89*2^28+AC89*2^27+AD89*2^26+AE89*2^25+AF89*2^24+AG89*2^23+AH89*2^22+AI89*2^21+AJ89*2^20+AK89*2^19+AL89*2^18+AM89*2^17+AN89*2^16+AO89*2^15+AP89*2^14+AQ89*2^13+AR89*2^12+AS89*2^11+AT89*2^10+AU89*2^9+AV89*2^8+AW89*2^7+AX89*2^6+AY89*2^5+AZ89*2^4+BA89*2^3+BB89*2^2+BC89*2^1+BD89*2^0,8)</f>
        <v>00000001</v>
      </c>
      <c r="F89" s="179"/>
      <c r="G89"/>
      <c r="H89" s="269"/>
      <c r="I89" s="270"/>
      <c r="J89" s="270"/>
      <c r="K89" s="270"/>
      <c r="L89" s="270"/>
      <c r="M89" s="270"/>
      <c r="N89" s="270"/>
      <c r="O89" s="270"/>
      <c r="P89" s="273"/>
      <c r="Q89" s="273"/>
      <c r="R89" s="274"/>
      <c r="S89" s="275"/>
      <c r="T89" s="275" t="s">
        <v>985</v>
      </c>
      <c r="U89" s="284">
        <v>0</v>
      </c>
      <c r="V89" s="261" t="s">
        <v>984</v>
      </c>
      <c r="W89" s="280" t="s">
        <v>983</v>
      </c>
      <c r="X89" s="395"/>
      <c r="Y89" s="396">
        <v>0</v>
      </c>
      <c r="Z89" s="396">
        <v>0</v>
      </c>
      <c r="AA89" s="396">
        <v>0</v>
      </c>
      <c r="AB89" s="396">
        <v>0</v>
      </c>
      <c r="AC89" s="396">
        <v>0</v>
      </c>
      <c r="AD89" s="396">
        <v>0</v>
      </c>
      <c r="AE89" s="396">
        <v>0</v>
      </c>
      <c r="AF89" s="396">
        <v>0</v>
      </c>
      <c r="AG89" s="396">
        <v>0</v>
      </c>
      <c r="AH89" s="396">
        <v>0</v>
      </c>
      <c r="AI89" s="396">
        <v>0</v>
      </c>
      <c r="AJ89" s="396">
        <v>0</v>
      </c>
      <c r="AK89" s="396">
        <v>0</v>
      </c>
      <c r="AL89" s="396">
        <v>0</v>
      </c>
      <c r="AM89" s="396">
        <v>0</v>
      </c>
      <c r="AN89" s="396">
        <v>0</v>
      </c>
      <c r="AO89" s="396">
        <v>0</v>
      </c>
      <c r="AP89" s="396">
        <v>0</v>
      </c>
      <c r="AQ89" s="396">
        <v>0</v>
      </c>
      <c r="AR89" s="396">
        <v>0</v>
      </c>
      <c r="AS89" s="396">
        <v>0</v>
      </c>
      <c r="AT89" s="396">
        <v>0</v>
      </c>
      <c r="AU89" s="396">
        <v>0</v>
      </c>
      <c r="AV89" s="396">
        <v>0</v>
      </c>
      <c r="AW89" s="396">
        <v>0</v>
      </c>
      <c r="AX89" s="396">
        <v>0</v>
      </c>
      <c r="AY89" s="396">
        <v>0</v>
      </c>
      <c r="AZ89" s="396">
        <v>0</v>
      </c>
      <c r="BA89" s="396">
        <v>0</v>
      </c>
      <c r="BB89" s="396">
        <v>0</v>
      </c>
      <c r="BC89" s="396">
        <f>U89</f>
        <v>0</v>
      </c>
      <c r="BD89" s="396">
        <f>IF(W89="By Reg",1,0)</f>
        <v>1</v>
      </c>
    </row>
    <row r="90" spans="2:57">
      <c r="B90" s="19" t="s">
        <v>75</v>
      </c>
      <c r="C90" s="254" t="s">
        <v>923</v>
      </c>
      <c r="D90" s="255" t="s">
        <v>1047</v>
      </c>
      <c r="E90" s="122" t="str">
        <f>Main_Parameters!$C$156</f>
        <v>00000081</v>
      </c>
      <c r="F90" s="179"/>
      <c r="G90"/>
      <c r="H90"/>
      <c r="I90"/>
      <c r="J90"/>
      <c r="K90"/>
      <c r="L90"/>
      <c r="M90"/>
      <c r="N90"/>
      <c r="O90"/>
      <c r="P90"/>
      <c r="Q90"/>
      <c r="R90"/>
      <c r="S90"/>
      <c r="T90"/>
      <c r="U90"/>
      <c r="V90"/>
      <c r="W90"/>
      <c r="X90" s="376"/>
      <c r="Y90" s="376"/>
      <c r="Z90" s="376"/>
      <c r="AA90" s="376"/>
      <c r="AB90" s="376"/>
      <c r="AC90" s="376"/>
      <c r="AD90" s="376"/>
      <c r="AE90" s="376"/>
      <c r="AF90" s="376"/>
      <c r="AG90" s="376"/>
      <c r="AH90" s="376"/>
      <c r="AI90" s="376"/>
      <c r="AJ90" s="376"/>
      <c r="AK90" s="376"/>
      <c r="AL90" s="376"/>
      <c r="AM90" s="376"/>
      <c r="AN90" s="376"/>
      <c r="AO90" s="376"/>
      <c r="AP90" s="376"/>
      <c r="AQ90" s="376"/>
      <c r="AR90" s="376"/>
      <c r="AS90" s="376"/>
      <c r="AT90" s="376"/>
      <c r="AU90" s="376"/>
      <c r="AV90" s="376"/>
      <c r="AW90" s="376"/>
      <c r="AX90" s="376"/>
      <c r="AY90" s="376"/>
      <c r="AZ90" s="376"/>
      <c r="BA90" s="376"/>
      <c r="BB90" s="376"/>
      <c r="BC90" s="376"/>
      <c r="BD90" s="376"/>
    </row>
    <row r="91" spans="2:57">
      <c r="B91" s="19" t="s">
        <v>75</v>
      </c>
      <c r="C91" s="254" t="s">
        <v>925</v>
      </c>
      <c r="D91" s="255" t="s">
        <v>1048</v>
      </c>
      <c r="E91" s="122" t="str">
        <f>Main_Parameters!$C$157</f>
        <v>00000001</v>
      </c>
      <c r="F91" s="179"/>
      <c r="G91"/>
      <c r="H91"/>
      <c r="I91"/>
      <c r="J91"/>
      <c r="K91"/>
      <c r="L91"/>
      <c r="M91"/>
      <c r="N91"/>
      <c r="O91"/>
      <c r="P91"/>
      <c r="Q91"/>
      <c r="R91"/>
      <c r="S91"/>
      <c r="T91"/>
      <c r="U91"/>
      <c r="V91"/>
      <c r="W91"/>
      <c r="X91" s="376"/>
      <c r="AH91" s="376"/>
    </row>
    <row r="92" spans="2:57">
      <c r="B92" s="19" t="s">
        <v>75</v>
      </c>
      <c r="C92" s="254" t="s">
        <v>746</v>
      </c>
      <c r="D92" s="255" t="s">
        <v>1049</v>
      </c>
      <c r="E92" s="122" t="str">
        <f>Main_Parameters!$C$158</f>
        <v>00000104</v>
      </c>
      <c r="F92" s="179"/>
      <c r="G92"/>
      <c r="H92"/>
      <c r="I92"/>
      <c r="J92"/>
      <c r="K92"/>
      <c r="L92"/>
      <c r="M92"/>
      <c r="N92"/>
      <c r="O92"/>
      <c r="P92"/>
      <c r="Q92"/>
      <c r="R92"/>
      <c r="S92"/>
      <c r="T92"/>
      <c r="U92"/>
      <c r="V92"/>
      <c r="W92"/>
      <c r="X92" s="376"/>
      <c r="AH92" s="376"/>
    </row>
    <row r="93" spans="2:57">
      <c r="B93" s="280" t="s">
        <v>1237</v>
      </c>
      <c r="C93" s="254" t="s">
        <v>929</v>
      </c>
      <c r="D93" s="255" t="s">
        <v>1050</v>
      </c>
      <c r="E93" s="122" t="str">
        <f>DEC2HEX(Y93*2^31+Z93*2^30+AA93*2^29+AB93*2^28+AC93*2^27+AD93*2^26+AE93*2^25+AF93*2^24+AG93*2^23+AH93*2^22+AI93*2^21+AJ93*2^20+AK93*2^19+AL93*2^18+AM93*2^17+AN93*2^16+AO93*2^15+AP93*2^14+AQ93*2^13+AR93*2^12+AS93*2^11+AT93*2^10+AU93*2^9+AV93*2^8+AW93*2^7+AX93*2^6+AY93*2^5+AZ93*2^4+BA93*2^3+BB93*2^2+BC93*2^1+BD93*2^0,8)</f>
        <v>00000000</v>
      </c>
      <c r="F93" s="179"/>
      <c r="G93"/>
      <c r="H93" s="269"/>
      <c r="I93" s="270"/>
      <c r="J93" s="270"/>
      <c r="K93" s="270"/>
      <c r="L93" s="270"/>
      <c r="M93" s="271"/>
      <c r="N93" s="275" t="s">
        <v>990</v>
      </c>
      <c r="O93" s="284" t="s">
        <v>991</v>
      </c>
      <c r="P93" s="258" t="s">
        <v>989</v>
      </c>
      <c r="Q93" s="281" t="s">
        <v>991</v>
      </c>
      <c r="R93" s="257" t="s">
        <v>988</v>
      </c>
      <c r="S93" s="281" t="s">
        <v>991</v>
      </c>
      <c r="T93" s="261" t="s">
        <v>987</v>
      </c>
      <c r="U93" s="281" t="s">
        <v>991</v>
      </c>
      <c r="V93" s="261" t="s">
        <v>986</v>
      </c>
      <c r="W93" s="280" t="s">
        <v>991</v>
      </c>
      <c r="X93" s="395"/>
      <c r="Y93" s="396">
        <v>0</v>
      </c>
      <c r="Z93" s="396">
        <v>0</v>
      </c>
      <c r="AA93" s="396">
        <v>0</v>
      </c>
      <c r="AB93" s="396">
        <v>0</v>
      </c>
      <c r="AC93" s="396">
        <v>0</v>
      </c>
      <c r="AD93" s="396">
        <v>0</v>
      </c>
      <c r="AE93" s="396">
        <v>0</v>
      </c>
      <c r="AF93" s="396">
        <v>0</v>
      </c>
      <c r="AG93" s="396">
        <v>0</v>
      </c>
      <c r="AH93" s="396">
        <v>0</v>
      </c>
      <c r="AI93" s="396">
        <v>0</v>
      </c>
      <c r="AJ93" s="396">
        <v>0</v>
      </c>
      <c r="AK93" s="396">
        <v>0</v>
      </c>
      <c r="AL93" s="396">
        <v>0</v>
      </c>
      <c r="AM93" s="396">
        <v>0</v>
      </c>
      <c r="AN93" s="396">
        <v>0</v>
      </c>
      <c r="AO93" s="396">
        <v>0</v>
      </c>
      <c r="AP93" s="396">
        <v>0</v>
      </c>
      <c r="AQ93" s="396">
        <v>0</v>
      </c>
      <c r="AR93" s="396">
        <v>0</v>
      </c>
      <c r="AS93" s="396">
        <v>0</v>
      </c>
      <c r="AT93" s="396">
        <v>0</v>
      </c>
      <c r="AU93" s="396">
        <v>0</v>
      </c>
      <c r="AV93" s="396">
        <v>0</v>
      </c>
      <c r="AW93" s="396">
        <v>0</v>
      </c>
      <c r="AX93" s="396">
        <v>0</v>
      </c>
      <c r="AY93" s="396">
        <v>0</v>
      </c>
      <c r="AZ93" s="396">
        <f>IF(O93="Mask",1,0)</f>
        <v>0</v>
      </c>
      <c r="BA93" s="396">
        <f>IF(Q93="Mask",1,0)</f>
        <v>0</v>
      </c>
      <c r="BB93" s="396">
        <f>IF(S93="Mask",1,0)</f>
        <v>0</v>
      </c>
      <c r="BC93" s="396">
        <f>IF(U93="Mask",1,0)</f>
        <v>0</v>
      </c>
      <c r="BD93" s="396">
        <f>IF(W93="Mask",1,0)</f>
        <v>0</v>
      </c>
    </row>
    <row r="94" spans="2:57">
      <c r="B94" s="280" t="s">
        <v>1100</v>
      </c>
      <c r="C94" s="254" t="s">
        <v>931</v>
      </c>
      <c r="D94" s="255" t="s">
        <v>1051</v>
      </c>
      <c r="E94" s="122" t="str">
        <f>DEC2HEX(Y94*2^31+Z94*2^30+AA94*2^29+AB94*2^28+AC94*2^27+AD94*2^26+AE94*2^25+AF94*2^24+AG94*2^23+AH94*2^22+AI94*2^21+AJ94*2^20+AK94*2^19+AL94*2^18+AM94*2^17+AN94*2^16+AO94*2^15+AP94*2^14+AQ94*2^13+AR94*2^12+AS94*2^11+AT94*2^10+AU94*2^9+AV94*2^8+AW94*2^7+AX94*2^6+AY94*2^5+AZ94*2^4+BA94*2^3+BB94*2^2+BC94*2^1+BD94*2^0,8)</f>
        <v>00000000</v>
      </c>
      <c r="F94" s="179"/>
      <c r="G94"/>
      <c r="H94" s="265"/>
      <c r="I94" s="268"/>
      <c r="J94" s="268"/>
      <c r="K94" s="268"/>
      <c r="L94" s="268"/>
      <c r="M94" s="268"/>
      <c r="N94" s="273"/>
      <c r="O94" s="261"/>
      <c r="P94" s="266" t="s">
        <v>995</v>
      </c>
      <c r="Q94" s="281" t="s">
        <v>991</v>
      </c>
      <c r="R94" s="266" t="s">
        <v>994</v>
      </c>
      <c r="S94" s="281" t="s">
        <v>991</v>
      </c>
      <c r="T94" s="266" t="s">
        <v>993</v>
      </c>
      <c r="U94" s="281" t="s">
        <v>991</v>
      </c>
      <c r="V94" s="266" t="s">
        <v>992</v>
      </c>
      <c r="W94" s="280" t="s">
        <v>991</v>
      </c>
      <c r="X94" s="395"/>
      <c r="Y94" s="396">
        <v>0</v>
      </c>
      <c r="Z94" s="396">
        <v>0</v>
      </c>
      <c r="AA94" s="396">
        <v>0</v>
      </c>
      <c r="AB94" s="396">
        <v>0</v>
      </c>
      <c r="AC94" s="396">
        <v>0</v>
      </c>
      <c r="AD94" s="396">
        <v>0</v>
      </c>
      <c r="AE94" s="396">
        <v>0</v>
      </c>
      <c r="AF94" s="396">
        <v>0</v>
      </c>
      <c r="AG94" s="396">
        <v>0</v>
      </c>
      <c r="AH94" s="396">
        <v>0</v>
      </c>
      <c r="AI94" s="396">
        <v>0</v>
      </c>
      <c r="AJ94" s="396">
        <v>0</v>
      </c>
      <c r="AK94" s="396">
        <v>0</v>
      </c>
      <c r="AL94" s="396">
        <v>0</v>
      </c>
      <c r="AM94" s="396">
        <v>0</v>
      </c>
      <c r="AN94" s="396">
        <v>0</v>
      </c>
      <c r="AO94" s="396">
        <v>0</v>
      </c>
      <c r="AP94" s="396">
        <v>0</v>
      </c>
      <c r="AQ94" s="396">
        <v>0</v>
      </c>
      <c r="AR94" s="396">
        <v>0</v>
      </c>
      <c r="AS94" s="396">
        <v>0</v>
      </c>
      <c r="AT94" s="396">
        <v>0</v>
      </c>
      <c r="AU94" s="396">
        <v>0</v>
      </c>
      <c r="AV94" s="396">
        <v>0</v>
      </c>
      <c r="AW94" s="396">
        <v>0</v>
      </c>
      <c r="AX94" s="396">
        <v>0</v>
      </c>
      <c r="AY94" s="396">
        <v>0</v>
      </c>
      <c r="AZ94" s="396">
        <v>0</v>
      </c>
      <c r="BA94" s="396">
        <f>IF(Q94="Mask",1,0)</f>
        <v>0</v>
      </c>
      <c r="BB94" s="396">
        <f>IF(S94="Mask",1,0)</f>
        <v>0</v>
      </c>
      <c r="BC94" s="396">
        <f>IF(U94="Mask",1,0)</f>
        <v>0</v>
      </c>
      <c r="BD94" s="396">
        <f>IF(W94="Mask",1,0)</f>
        <v>0</v>
      </c>
    </row>
    <row r="95" spans="2:57" ht="15">
      <c r="B95" s="280" t="s">
        <v>1237</v>
      </c>
      <c r="C95" s="254" t="s">
        <v>933</v>
      </c>
      <c r="D95" s="255" t="s">
        <v>1052</v>
      </c>
      <c r="E95" s="122" t="str">
        <f>DEC2HEX(HEX2DEC(K95),8)</f>
        <v>00000015</v>
      </c>
      <c r="F95" s="179"/>
      <c r="G95"/>
      <c r="H95" s="495" t="s">
        <v>996</v>
      </c>
      <c r="I95" s="496"/>
      <c r="J95" s="497"/>
      <c r="K95" s="283" t="s">
        <v>1273</v>
      </c>
      <c r="L95" s="264" t="str">
        <f>IF(HEX2DEC(K95)&lt;0,"NG",IF(HEX2DEC(K95)&gt;31,"NG","OK"))</f>
        <v>OK</v>
      </c>
      <c r="M95" s="265"/>
      <c r="N95" s="268"/>
      <c r="O95" s="268"/>
      <c r="P95" s="268"/>
      <c r="Q95" s="268"/>
      <c r="R95" s="268"/>
      <c r="S95" s="268"/>
      <c r="T95" s="268"/>
      <c r="U95" s="268"/>
      <c r="V95" s="268"/>
      <c r="W95" s="266"/>
      <c r="X95" s="376"/>
      <c r="AH95" s="376"/>
    </row>
    <row r="96" spans="2:57">
      <c r="B96" s="280" t="s">
        <v>1100</v>
      </c>
      <c r="C96" s="254" t="s">
        <v>1265</v>
      </c>
      <c r="D96" s="255" t="s">
        <v>1268</v>
      </c>
      <c r="E96" s="122" t="str">
        <f>DEC2HEX(Y96*2^31+Z96*2^30+AA96*2^29+AB96*2^28+AC96*2^27+AD96*2^26+AE96*2^25+AF96*2^24+AG96*2^23+AH96*2^22+AI96*2^21+AJ96*2^20+AK96*2^19+AL96*2^18+AM96*2^17+AN96*2^16+AO96*2^15+AP96*2^14+AQ96*2^13+AR96*2^12+AS96*2^11+AT96*2^10+AU96*2^9+AV96*2^8+AW96*2^7+AX96*2^6+AY96*2^5+AZ96*2^4+BA96*2^3+BB96*2^2+BC96*2^1+BD96*2^0,8)</f>
        <v>00000000</v>
      </c>
      <c r="F96" s="179"/>
      <c r="G96"/>
      <c r="H96" s="265"/>
      <c r="I96" s="268"/>
      <c r="J96" s="268"/>
      <c r="K96" s="268"/>
      <c r="L96" s="268"/>
      <c r="M96" s="268"/>
      <c r="N96" s="273"/>
      <c r="O96" s="261"/>
      <c r="P96" s="266" t="s">
        <v>1267</v>
      </c>
      <c r="Q96" s="281" t="s">
        <v>991</v>
      </c>
      <c r="R96" s="265"/>
      <c r="S96" s="266"/>
      <c r="T96" s="266" t="s">
        <v>1266</v>
      </c>
      <c r="U96" s="281" t="s">
        <v>991</v>
      </c>
      <c r="V96" s="265"/>
      <c r="W96" s="266"/>
      <c r="X96" s="395"/>
      <c r="Y96" s="396">
        <v>0</v>
      </c>
      <c r="Z96" s="396">
        <v>0</v>
      </c>
      <c r="AA96" s="396">
        <v>0</v>
      </c>
      <c r="AB96" s="396">
        <v>0</v>
      </c>
      <c r="AC96" s="396">
        <v>0</v>
      </c>
      <c r="AD96" s="396">
        <v>0</v>
      </c>
      <c r="AE96" s="396">
        <v>0</v>
      </c>
      <c r="AF96" s="396">
        <v>0</v>
      </c>
      <c r="AG96" s="396">
        <v>0</v>
      </c>
      <c r="AH96" s="396">
        <v>0</v>
      </c>
      <c r="AI96" s="396">
        <v>0</v>
      </c>
      <c r="AJ96" s="396">
        <v>0</v>
      </c>
      <c r="AK96" s="396">
        <v>0</v>
      </c>
      <c r="AL96" s="396">
        <v>0</v>
      </c>
      <c r="AM96" s="396">
        <v>0</v>
      </c>
      <c r="AN96" s="396">
        <v>0</v>
      </c>
      <c r="AO96" s="396">
        <v>0</v>
      </c>
      <c r="AP96" s="396">
        <v>0</v>
      </c>
      <c r="AQ96" s="396">
        <v>0</v>
      </c>
      <c r="AR96" s="396">
        <v>0</v>
      </c>
      <c r="AS96" s="396">
        <v>0</v>
      </c>
      <c r="AT96" s="396">
        <v>0</v>
      </c>
      <c r="AU96" s="396">
        <v>0</v>
      </c>
      <c r="AV96" s="396">
        <v>0</v>
      </c>
      <c r="AW96" s="396">
        <v>0</v>
      </c>
      <c r="AX96" s="396">
        <v>0</v>
      </c>
      <c r="AY96" s="396">
        <v>0</v>
      </c>
      <c r="AZ96" s="396">
        <v>0</v>
      </c>
      <c r="BA96" s="396">
        <f>IF(Q96="Mask",1,0)</f>
        <v>0</v>
      </c>
      <c r="BB96" s="396">
        <v>0</v>
      </c>
      <c r="BC96" s="396">
        <f>IF(U96="Mask",1,0)</f>
        <v>0</v>
      </c>
      <c r="BD96" s="396">
        <v>0</v>
      </c>
    </row>
    <row r="97" spans="2:56" ht="15" customHeight="1">
      <c r="B97" s="280" t="s">
        <v>1237</v>
      </c>
      <c r="C97" s="254" t="s">
        <v>935</v>
      </c>
      <c r="D97" s="255" t="s">
        <v>1053</v>
      </c>
      <c r="E97" s="122" t="str">
        <f>DEC2HEX(Y97*2^31+Z97*2^30+AA97*2^29+AB97*2^28+AC97*2^27+AD97*2^26+AE97*2^25+AF97*2^24+AG97*2^23+AH97*2^22+AI97*2^21+AJ97*2^20+AK97*2^19+AL97*2^18+AM97*2^17+AN97*2^16+AO97*2^15+AP97*2^14+AQ97*2^13+AR97*2^12+AS97*2^11+AT97*2^10+AU97*2^9+AV97*2^8+AW97*2^7+AX97*2^6+AY97*2^5+AZ97*2^4+BA97*2^3+BB97*2^2+BC97*2^1+BD97*2^0,8)</f>
        <v>00000000</v>
      </c>
      <c r="F97" s="179"/>
      <c r="G97"/>
      <c r="H97" s="258" t="s">
        <v>1004</v>
      </c>
      <c r="I97" s="280" t="s">
        <v>991</v>
      </c>
      <c r="J97" s="258" t="s">
        <v>1003</v>
      </c>
      <c r="K97" s="280" t="s">
        <v>991</v>
      </c>
      <c r="L97" s="258" t="s">
        <v>1002</v>
      </c>
      <c r="M97" s="280" t="s">
        <v>991</v>
      </c>
      <c r="N97" s="258" t="s">
        <v>1001</v>
      </c>
      <c r="O97" s="280" t="s">
        <v>991</v>
      </c>
      <c r="P97" s="258" t="s">
        <v>1000</v>
      </c>
      <c r="Q97" s="280" t="s">
        <v>991</v>
      </c>
      <c r="R97" s="258" t="s">
        <v>999</v>
      </c>
      <c r="S97" s="280" t="s">
        <v>991</v>
      </c>
      <c r="T97" s="258" t="s">
        <v>998</v>
      </c>
      <c r="U97" s="285" t="s">
        <v>991</v>
      </c>
      <c r="V97" s="276" t="s">
        <v>997</v>
      </c>
      <c r="W97" s="285" t="s">
        <v>991</v>
      </c>
      <c r="X97" s="376"/>
      <c r="Y97" s="396">
        <v>0</v>
      </c>
      <c r="Z97" s="396">
        <v>0</v>
      </c>
      <c r="AA97" s="396">
        <v>0</v>
      </c>
      <c r="AB97" s="396">
        <v>0</v>
      </c>
      <c r="AC97" s="396">
        <v>0</v>
      </c>
      <c r="AD97" s="396">
        <v>0</v>
      </c>
      <c r="AE97" s="396">
        <v>0</v>
      </c>
      <c r="AF97" s="396">
        <v>0</v>
      </c>
      <c r="AG97" s="396">
        <v>0</v>
      </c>
      <c r="AH97" s="396">
        <v>0</v>
      </c>
      <c r="AI97" s="396">
        <v>0</v>
      </c>
      <c r="AJ97" s="396">
        <v>0</v>
      </c>
      <c r="AK97" s="396">
        <v>0</v>
      </c>
      <c r="AL97" s="396">
        <v>0</v>
      </c>
      <c r="AM97" s="396">
        <v>0</v>
      </c>
      <c r="AN97" s="396">
        <v>0</v>
      </c>
      <c r="AO97" s="396">
        <v>0</v>
      </c>
      <c r="AP97" s="396">
        <v>0</v>
      </c>
      <c r="AQ97" s="396">
        <v>0</v>
      </c>
      <c r="AR97" s="396">
        <v>0</v>
      </c>
      <c r="AS97" s="396">
        <v>0</v>
      </c>
      <c r="AT97" s="396">
        <v>0</v>
      </c>
      <c r="AU97" s="396">
        <f>IF(I97="Mask",1,0)</f>
        <v>0</v>
      </c>
      <c r="AV97" s="396">
        <f>IF(K97="Mask",1,0)</f>
        <v>0</v>
      </c>
      <c r="AW97" s="396">
        <v>0</v>
      </c>
      <c r="AX97" s="396">
        <f>IF(M97="Mask",1,0)</f>
        <v>0</v>
      </c>
      <c r="AY97" s="396">
        <v>0</v>
      </c>
      <c r="AZ97" s="396">
        <f>IF(O97="Mask",1,0)</f>
        <v>0</v>
      </c>
      <c r="BA97" s="396">
        <f>IF(Q97="Mask",1,0)</f>
        <v>0</v>
      </c>
      <c r="BB97" s="396">
        <f>IF(S97="Mask",1,0)</f>
        <v>0</v>
      </c>
      <c r="BC97" s="396">
        <f>IF(U97="Mask",1,0)</f>
        <v>0</v>
      </c>
      <c r="BD97" s="396">
        <f>IF(W97="Mask",1,0)</f>
        <v>0</v>
      </c>
    </row>
    <row r="98" spans="2:56">
      <c r="B98" s="280" t="s">
        <v>1237</v>
      </c>
      <c r="C98" s="254" t="s">
        <v>936</v>
      </c>
      <c r="D98" s="255" t="s">
        <v>1054</v>
      </c>
      <c r="E98" s="122" t="str">
        <f>DEC2HEX(Y98*2^31+Z98*2^30+AA98*2^29+AB98*2^28+AC98*2^27+AD98*2^26+AE98*2^25+AF98*2^24+AG98*2^23+AH98*2^22+AI98*2^21+AJ98*2^20+AK98*2^19+AL98*2^18+AM98*2^17+AN98*2^16+AO98*2^15+AP98*2^14+AQ98*2^13+AR98*2^12+AS98*2^11+AT98*2^10+AU98*2^9+AV98*2^8+AW98*2^7+AX98*2^6+AY98*2^5+AZ98*2^4+BA98*2^3+BB98*2^2+BC98*2^1+BD98*2^0,8)</f>
        <v>00000080</v>
      </c>
      <c r="F98" s="179"/>
      <c r="G98"/>
      <c r="H98" s="498" t="s">
        <v>1005</v>
      </c>
      <c r="I98" s="499"/>
      <c r="J98" s="285" t="s">
        <v>991</v>
      </c>
      <c r="K98" s="285" t="s">
        <v>991</v>
      </c>
      <c r="L98" s="280" t="s">
        <v>991</v>
      </c>
      <c r="M98" s="280" t="s">
        <v>991</v>
      </c>
      <c r="N98" s="280" t="s">
        <v>991</v>
      </c>
      <c r="O98" s="280" t="s">
        <v>991</v>
      </c>
      <c r="P98" s="397" t="s">
        <v>1571</v>
      </c>
      <c r="Q98" s="285" t="s">
        <v>991</v>
      </c>
      <c r="R98" s="276"/>
      <c r="S98" s="285" t="s">
        <v>991</v>
      </c>
      <c r="T98" s="284" t="s">
        <v>991</v>
      </c>
      <c r="U98" s="278"/>
      <c r="V98" s="273"/>
      <c r="W98" s="261"/>
      <c r="X98" s="376"/>
      <c r="Y98" s="396">
        <v>0</v>
      </c>
      <c r="Z98" s="396">
        <v>0</v>
      </c>
      <c r="AA98" s="396">
        <v>0</v>
      </c>
      <c r="AB98" s="396">
        <v>0</v>
      </c>
      <c r="AC98" s="396">
        <v>0</v>
      </c>
      <c r="AD98" s="396">
        <v>0</v>
      </c>
      <c r="AE98" s="396">
        <v>0</v>
      </c>
      <c r="AF98" s="396">
        <v>0</v>
      </c>
      <c r="AG98" s="396">
        <v>0</v>
      </c>
      <c r="AH98" s="396">
        <v>0</v>
      </c>
      <c r="AI98" s="396">
        <v>0</v>
      </c>
      <c r="AJ98" s="396">
        <v>0</v>
      </c>
      <c r="AK98" s="396">
        <v>0</v>
      </c>
      <c r="AL98" s="396">
        <v>0</v>
      </c>
      <c r="AM98" s="396">
        <v>0</v>
      </c>
      <c r="AN98" s="396">
        <v>0</v>
      </c>
      <c r="AO98" s="396">
        <v>0</v>
      </c>
      <c r="AP98" s="396">
        <v>0</v>
      </c>
      <c r="AQ98" s="396">
        <f t="shared" ref="AQ98:AX98" si="5">IF(J98="Mask",1,0)</f>
        <v>0</v>
      </c>
      <c r="AR98" s="396">
        <f t="shared" si="5"/>
        <v>0</v>
      </c>
      <c r="AS98" s="396">
        <f t="shared" si="5"/>
        <v>0</v>
      </c>
      <c r="AT98" s="396">
        <f t="shared" si="5"/>
        <v>0</v>
      </c>
      <c r="AU98" s="396">
        <f t="shared" si="5"/>
        <v>0</v>
      </c>
      <c r="AV98" s="396">
        <f t="shared" si="5"/>
        <v>0</v>
      </c>
      <c r="AW98" s="396">
        <f t="shared" si="5"/>
        <v>1</v>
      </c>
      <c r="AX98" s="396">
        <f t="shared" si="5"/>
        <v>0</v>
      </c>
      <c r="AY98" s="396">
        <v>0</v>
      </c>
      <c r="AZ98" s="396">
        <f>IF(S98="Mask",1,0)</f>
        <v>0</v>
      </c>
      <c r="BA98" s="396">
        <f>IF(T98="Mask",1,0)</f>
        <v>0</v>
      </c>
      <c r="BB98" s="396">
        <v>0</v>
      </c>
      <c r="BC98" s="396">
        <v>0</v>
      </c>
      <c r="BD98" s="396">
        <v>0</v>
      </c>
    </row>
    <row r="99" spans="2:56">
      <c r="B99" s="280" t="s">
        <v>1237</v>
      </c>
      <c r="C99" s="254" t="s">
        <v>937</v>
      </c>
      <c r="D99" s="255" t="s">
        <v>1055</v>
      </c>
      <c r="E99" s="122" t="str">
        <f>DEC2HEX(Y99*2^31+Z99*2^30+AA99*2^29+AB99*2^28+AC99*2^27+AD99*2^26+AE99*2^25+AF99*2^24+AG99*2^23+AH99*2^22+AI99*2^21+AJ99*2^20+AK99*2^19+AL99*2^18+AM99*2^17+AN99*2^16+AO99*2^15+AP99*2^14+AQ99*2^13+AR99*2^12+AS99*2^11+AT99*2^10+AU99*2^9+AV99*2^8+AW99*2^7+AX99*2^6+AY99*2^5+AZ99*2^4+BA99*2^3+BB99*2^2+BC99*2^1+BD99*2^0,8)</f>
        <v>00000000</v>
      </c>
      <c r="F99" s="179"/>
      <c r="G99"/>
      <c r="H99" s="277"/>
      <c r="I99" s="273"/>
      <c r="J99" s="273"/>
      <c r="K99" s="261"/>
      <c r="L99" s="261" t="s">
        <v>1008</v>
      </c>
      <c r="M99" s="280" t="s">
        <v>991</v>
      </c>
      <c r="N99" s="258" t="s">
        <v>1007</v>
      </c>
      <c r="O99" s="281" t="s">
        <v>991</v>
      </c>
      <c r="P99" s="277"/>
      <c r="Q99" s="273"/>
      <c r="R99" s="273"/>
      <c r="S99" s="273"/>
      <c r="T99" s="273"/>
      <c r="U99" s="261"/>
      <c r="V99" s="258" t="s">
        <v>1006</v>
      </c>
      <c r="W99" s="280" t="s">
        <v>991</v>
      </c>
      <c r="X99" s="376"/>
      <c r="Y99" s="396">
        <v>0</v>
      </c>
      <c r="Z99" s="396">
        <v>0</v>
      </c>
      <c r="AA99" s="396">
        <v>0</v>
      </c>
      <c r="AB99" s="396">
        <v>0</v>
      </c>
      <c r="AC99" s="396">
        <v>0</v>
      </c>
      <c r="AD99" s="396">
        <v>0</v>
      </c>
      <c r="AE99" s="396">
        <v>0</v>
      </c>
      <c r="AF99" s="396">
        <v>0</v>
      </c>
      <c r="AG99" s="396">
        <v>0</v>
      </c>
      <c r="AH99" s="396">
        <v>0</v>
      </c>
      <c r="AI99" s="396">
        <v>0</v>
      </c>
      <c r="AJ99" s="396">
        <v>0</v>
      </c>
      <c r="AK99" s="396">
        <v>0</v>
      </c>
      <c r="AL99" s="396">
        <v>0</v>
      </c>
      <c r="AM99" s="396">
        <v>0</v>
      </c>
      <c r="AN99" s="396">
        <v>0</v>
      </c>
      <c r="AO99" s="396">
        <v>0</v>
      </c>
      <c r="AP99" s="396">
        <v>0</v>
      </c>
      <c r="AQ99" s="396">
        <v>0</v>
      </c>
      <c r="AR99" s="396">
        <v>0</v>
      </c>
      <c r="AS99" s="396">
        <v>0</v>
      </c>
      <c r="AT99" s="396">
        <v>0</v>
      </c>
      <c r="AU99" s="396">
        <f>IF(M99="Mask",1,0)</f>
        <v>0</v>
      </c>
      <c r="AV99" s="396">
        <f>IF(O99="Mask",1,0)</f>
        <v>0</v>
      </c>
      <c r="AW99" s="396">
        <v>0</v>
      </c>
      <c r="AX99" s="396">
        <v>0</v>
      </c>
      <c r="AY99" s="396">
        <v>0</v>
      </c>
      <c r="AZ99" s="396">
        <v>0</v>
      </c>
      <c r="BA99" s="396">
        <v>0</v>
      </c>
      <c r="BB99" s="396">
        <v>0</v>
      </c>
      <c r="BC99" s="396">
        <v>0</v>
      </c>
      <c r="BD99" s="396">
        <f>IF(W99="Mask",1,0)</f>
        <v>0</v>
      </c>
    </row>
    <row r="100" spans="2:56">
      <c r="B100" s="280" t="s">
        <v>1100</v>
      </c>
      <c r="C100" s="8" t="s">
        <v>1239</v>
      </c>
      <c r="D100" s="15" t="s">
        <v>1252</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39"/>
      <c r="G100"/>
      <c r="H100" s="277"/>
      <c r="I100" s="273"/>
      <c r="J100" s="273"/>
      <c r="K100" s="273"/>
      <c r="L100" s="273"/>
      <c r="M100" s="261"/>
      <c r="N100" s="303" t="s">
        <v>1251</v>
      </c>
      <c r="O100" s="280">
        <v>0</v>
      </c>
      <c r="P100" s="303" t="s">
        <v>1250</v>
      </c>
      <c r="Q100" s="280">
        <v>0</v>
      </c>
      <c r="R100" s="303" t="s">
        <v>1249</v>
      </c>
      <c r="S100" s="280">
        <v>0</v>
      </c>
      <c r="T100" s="303" t="s">
        <v>1248</v>
      </c>
      <c r="U100" s="280">
        <v>0</v>
      </c>
      <c r="V100" s="303" t="s">
        <v>1240</v>
      </c>
      <c r="W100" s="280">
        <v>0</v>
      </c>
      <c r="X100" s="376"/>
      <c r="Y100" s="396">
        <v>0</v>
      </c>
      <c r="Z100" s="396">
        <v>0</v>
      </c>
      <c r="AA100" s="396">
        <v>0</v>
      </c>
      <c r="AB100" s="396">
        <v>0</v>
      </c>
      <c r="AC100" s="396">
        <v>0</v>
      </c>
      <c r="AD100" s="396">
        <v>0</v>
      </c>
      <c r="AE100" s="396">
        <v>0</v>
      </c>
      <c r="AF100" s="396">
        <v>0</v>
      </c>
      <c r="AG100" s="396">
        <v>0</v>
      </c>
      <c r="AH100" s="396">
        <v>0</v>
      </c>
      <c r="AI100" s="396">
        <v>0</v>
      </c>
      <c r="AJ100" s="396">
        <v>0</v>
      </c>
      <c r="AK100" s="396">
        <v>0</v>
      </c>
      <c r="AL100" s="396">
        <v>0</v>
      </c>
      <c r="AM100" s="396">
        <v>0</v>
      </c>
      <c r="AN100" s="396">
        <f>O100</f>
        <v>0</v>
      </c>
      <c r="AO100" s="396">
        <v>0</v>
      </c>
      <c r="AP100" s="396">
        <v>0</v>
      </c>
      <c r="AQ100" s="396">
        <v>0</v>
      </c>
      <c r="AR100" s="396">
        <f>Q100</f>
        <v>0</v>
      </c>
      <c r="AS100" s="396">
        <v>0</v>
      </c>
      <c r="AT100" s="396">
        <v>0</v>
      </c>
      <c r="AU100" s="396">
        <v>0</v>
      </c>
      <c r="AV100" s="396">
        <f>S100</f>
        <v>0</v>
      </c>
      <c r="AW100" s="396">
        <v>0</v>
      </c>
      <c r="AX100" s="396">
        <v>0</v>
      </c>
      <c r="AY100" s="396">
        <v>0</v>
      </c>
      <c r="AZ100" s="396">
        <f>U100</f>
        <v>0</v>
      </c>
      <c r="BA100" s="396">
        <v>0</v>
      </c>
      <c r="BB100" s="396">
        <v>0</v>
      </c>
      <c r="BC100" s="396">
        <v>0</v>
      </c>
      <c r="BD100" s="396">
        <f>W100</f>
        <v>0</v>
      </c>
    </row>
    <row r="101" spans="2:56">
      <c r="B101" s="19" t="s">
        <v>75</v>
      </c>
      <c r="C101" s="8" t="s">
        <v>80</v>
      </c>
      <c r="D101" s="15" t="s">
        <v>1056</v>
      </c>
      <c r="E101" s="122" t="str">
        <f>Main_Parameters!$C$160</f>
        <v>00000006</v>
      </c>
      <c r="F101" s="39"/>
      <c r="G101"/>
      <c r="H101"/>
      <c r="I101"/>
      <c r="J101"/>
      <c r="K101"/>
      <c r="L101"/>
      <c r="M101"/>
      <c r="N101"/>
      <c r="O101"/>
      <c r="P101"/>
      <c r="Q101"/>
      <c r="R101"/>
      <c r="S101"/>
      <c r="T101"/>
      <c r="U101"/>
      <c r="V101"/>
      <c r="W101"/>
      <c r="X101" s="376"/>
      <c r="AH101" s="376"/>
    </row>
    <row r="102" spans="2:56">
      <c r="B102" s="19" t="s">
        <v>75</v>
      </c>
      <c r="C102" s="8" t="s">
        <v>81</v>
      </c>
      <c r="D102" s="15" t="s">
        <v>1057</v>
      </c>
      <c r="E102" s="122" t="str">
        <f>Main_Parameters!$C$161</f>
        <v>00240204</v>
      </c>
      <c r="F102" s="39"/>
      <c r="G102"/>
      <c r="H102"/>
      <c r="I102"/>
      <c r="J102"/>
      <c r="K102"/>
      <c r="L102"/>
      <c r="M102"/>
      <c r="N102"/>
      <c r="O102"/>
      <c r="P102"/>
      <c r="Q102"/>
      <c r="R102"/>
      <c r="S102"/>
      <c r="T102"/>
      <c r="U102"/>
      <c r="V102"/>
      <c r="W102"/>
      <c r="X102" s="376"/>
      <c r="AH102" s="376"/>
    </row>
    <row r="103" spans="2:56">
      <c r="B103" s="19" t="s">
        <v>75</v>
      </c>
      <c r="C103" s="8" t="s">
        <v>82</v>
      </c>
      <c r="D103" s="15" t="s">
        <v>1058</v>
      </c>
      <c r="E103" s="122" t="str">
        <f>Main_Parameters!$C$162</f>
        <v>000D0008</v>
      </c>
      <c r="F103" s="39"/>
      <c r="G103"/>
      <c r="H103"/>
      <c r="I103"/>
      <c r="J103"/>
      <c r="K103"/>
      <c r="L103"/>
      <c r="M103"/>
      <c r="N103"/>
      <c r="O103"/>
      <c r="P103"/>
      <c r="Q103"/>
      <c r="R103"/>
      <c r="S103"/>
      <c r="T103"/>
      <c r="U103"/>
      <c r="V103"/>
      <c r="W103"/>
      <c r="X103" s="376"/>
      <c r="AH103" s="376"/>
    </row>
    <row r="104" spans="2:56">
      <c r="B104" s="19" t="s">
        <v>75</v>
      </c>
      <c r="C104" s="8" t="s">
        <v>83</v>
      </c>
      <c r="D104" s="15" t="s">
        <v>1059</v>
      </c>
      <c r="E104" s="122" t="str">
        <f>Main_Parameters!$C$163</f>
        <v>00140006</v>
      </c>
      <c r="F104" s="39"/>
      <c r="G104"/>
      <c r="H104"/>
      <c r="I104"/>
      <c r="J104"/>
      <c r="K104"/>
      <c r="L104"/>
      <c r="M104"/>
      <c r="N104"/>
      <c r="O104"/>
      <c r="P104"/>
      <c r="Q104"/>
      <c r="R104"/>
      <c r="S104"/>
      <c r="T104"/>
      <c r="U104"/>
      <c r="V104"/>
      <c r="W104"/>
      <c r="X104" s="376"/>
      <c r="AH104" s="376"/>
    </row>
    <row r="105" spans="2:56">
      <c r="B105" s="19" t="s">
        <v>75</v>
      </c>
      <c r="C105" s="8" t="s">
        <v>57</v>
      </c>
      <c r="D105" s="15" t="s">
        <v>1060</v>
      </c>
      <c r="E105" s="122" t="str">
        <f>Main_Parameters!$C$164</f>
        <v>00004268</v>
      </c>
      <c r="F105" s="39"/>
      <c r="G105"/>
      <c r="H105"/>
      <c r="I105"/>
      <c r="J105"/>
      <c r="K105"/>
      <c r="L105"/>
      <c r="M105"/>
      <c r="N105"/>
      <c r="O105"/>
      <c r="P105"/>
      <c r="Q105"/>
      <c r="R105"/>
      <c r="S105"/>
      <c r="T105"/>
      <c r="U105"/>
      <c r="V105"/>
      <c r="W105"/>
      <c r="X105" s="376"/>
      <c r="AH105" s="376"/>
    </row>
    <row r="106" spans="2:56">
      <c r="B106" s="19" t="s">
        <v>75</v>
      </c>
      <c r="C106" s="8" t="s">
        <v>84</v>
      </c>
      <c r="D106" s="15" t="s">
        <v>1061</v>
      </c>
      <c r="E106" s="122" t="str">
        <f>Main_Parameters!$C$165</f>
        <v>0000000F</v>
      </c>
      <c r="F106" s="39"/>
      <c r="G106"/>
      <c r="H106"/>
      <c r="I106"/>
      <c r="J106"/>
      <c r="K106"/>
      <c r="L106"/>
      <c r="M106"/>
      <c r="N106"/>
      <c r="O106"/>
      <c r="P106"/>
      <c r="Q106"/>
      <c r="R106"/>
      <c r="S106"/>
      <c r="T106"/>
      <c r="U106"/>
      <c r="V106"/>
      <c r="W106"/>
      <c r="X106" s="376"/>
      <c r="AH106" s="376"/>
    </row>
    <row r="107" spans="2:56">
      <c r="B107" s="19" t="s">
        <v>75</v>
      </c>
      <c r="C107" s="8" t="s">
        <v>85</v>
      </c>
      <c r="D107" s="15" t="s">
        <v>1062</v>
      </c>
      <c r="E107" s="122" t="str">
        <f>Main_Parameters!$C$166</f>
        <v>000D0008</v>
      </c>
      <c r="F107" s="39"/>
      <c r="G107"/>
      <c r="H107"/>
      <c r="I107"/>
      <c r="J107"/>
      <c r="K107" s="111"/>
      <c r="L107"/>
      <c r="M107"/>
      <c r="N107"/>
      <c r="O107"/>
      <c r="P107"/>
      <c r="Q107"/>
      <c r="R107"/>
      <c r="S107"/>
      <c r="T107"/>
      <c r="U107"/>
      <c r="V107"/>
      <c r="W107"/>
      <c r="X107" s="376"/>
      <c r="AH107" s="376"/>
    </row>
    <row r="108" spans="2:56">
      <c r="B108" s="19" t="s">
        <v>75</v>
      </c>
      <c r="C108" s="8" t="s">
        <v>86</v>
      </c>
      <c r="D108" s="15" t="s">
        <v>1063</v>
      </c>
      <c r="E108" s="89" t="s">
        <v>1270</v>
      </c>
      <c r="F108" s="39"/>
      <c r="G108"/>
      <c r="H108"/>
      <c r="I108"/>
      <c r="J108"/>
      <c r="K108"/>
      <c r="L108"/>
      <c r="M108"/>
      <c r="N108"/>
      <c r="O108"/>
      <c r="P108"/>
      <c r="Q108"/>
      <c r="R108"/>
      <c r="S108"/>
      <c r="T108"/>
      <c r="U108"/>
      <c r="V108"/>
      <c r="W108"/>
      <c r="X108" s="376"/>
      <c r="AH108" s="376"/>
    </row>
    <row r="109" spans="2:56">
      <c r="B109" s="19" t="s">
        <v>75</v>
      </c>
      <c r="C109" s="8" t="s">
        <v>87</v>
      </c>
      <c r="D109" s="15" t="s">
        <v>1064</v>
      </c>
      <c r="E109" s="122" t="str">
        <f>Main_Parameters!$C$168</f>
        <v>0000001F</v>
      </c>
      <c r="F109" s="39"/>
      <c r="G109"/>
      <c r="H109"/>
      <c r="I109"/>
      <c r="J109"/>
      <c r="K109"/>
      <c r="L109"/>
      <c r="M109"/>
      <c r="N109"/>
      <c r="O109"/>
      <c r="P109"/>
      <c r="Q109"/>
      <c r="R109"/>
      <c r="S109"/>
      <c r="T109"/>
      <c r="U109"/>
      <c r="V109"/>
      <c r="W109"/>
      <c r="X109" s="376"/>
      <c r="AH109" s="376"/>
    </row>
    <row r="110" spans="2:56">
      <c r="B110" s="19" t="s">
        <v>75</v>
      </c>
      <c r="C110" s="8" t="s">
        <v>943</v>
      </c>
      <c r="D110" s="15" t="s">
        <v>1065</v>
      </c>
      <c r="E110" s="122" t="str">
        <f>Main_Parameters!$C$169</f>
        <v>00060005</v>
      </c>
      <c r="F110" s="39"/>
      <c r="G110"/>
      <c r="H110"/>
      <c r="I110"/>
      <c r="J110"/>
      <c r="K110"/>
      <c r="L110"/>
      <c r="M110"/>
      <c r="N110"/>
      <c r="O110"/>
      <c r="P110"/>
      <c r="Q110"/>
      <c r="R110"/>
      <c r="S110"/>
      <c r="T110"/>
      <c r="U110"/>
      <c r="V110"/>
      <c r="W110"/>
      <c r="X110" s="376"/>
      <c r="AH110" s="376"/>
    </row>
    <row r="111" spans="2:56">
      <c r="B111" s="280" t="s">
        <v>1237</v>
      </c>
      <c r="C111" s="8" t="s">
        <v>1018</v>
      </c>
      <c r="D111" s="15" t="s">
        <v>1066</v>
      </c>
      <c r="E111" s="122" t="str">
        <f>DEC2HEX(Y111*2^31+Z111*2^30+AA111*2^29+AB111*2^28+AC111*2^27+AD111*2^26+AE111*2^25+AF111*2^24+AG111*2^23+AH111*2^22+AI111*2^21+AJ111*2^20+AK111*2^19+AL111*2^18+AM111*2^17+AN111*2^16+AO111*2^15+AP111*2^14+AQ111*2^13+AR111*2^12+AS111*2^11+AT111*2^10+AU111*2^9+AV111*2^8+AW111*2^7+AX111*2^6+AY111*2^5+AZ111*2^4+BA111*2^3+BB111*2^2+BC111*2^1+BD111*2^0,8)</f>
        <v>00000002</v>
      </c>
      <c r="F111" s="39"/>
      <c r="G111"/>
      <c r="H111" s="277"/>
      <c r="I111" s="273"/>
      <c r="J111" s="273"/>
      <c r="K111" s="273"/>
      <c r="L111" s="273"/>
      <c r="M111" s="261"/>
      <c r="N111" s="261" t="s">
        <v>1017</v>
      </c>
      <c r="O111" s="280" t="s">
        <v>1272</v>
      </c>
      <c r="P111" s="258" t="s">
        <v>1015</v>
      </c>
      <c r="Q111" s="280" t="s">
        <v>1272</v>
      </c>
      <c r="R111" s="258" t="s">
        <v>1014</v>
      </c>
      <c r="S111" s="280" t="s">
        <v>1272</v>
      </c>
      <c r="T111" s="258" t="s">
        <v>1016</v>
      </c>
      <c r="U111" s="280" t="s">
        <v>1272</v>
      </c>
      <c r="V111" s="258" t="s">
        <v>1012</v>
      </c>
      <c r="W111" s="280" t="s">
        <v>1013</v>
      </c>
      <c r="X111" s="376"/>
      <c r="Y111" s="396">
        <v>0</v>
      </c>
      <c r="Z111" s="396">
        <v>0</v>
      </c>
      <c r="AA111" s="396">
        <v>0</v>
      </c>
      <c r="AB111" s="396">
        <v>0</v>
      </c>
      <c r="AC111" s="396">
        <v>0</v>
      </c>
      <c r="AD111" s="396">
        <v>0</v>
      </c>
      <c r="AE111" s="396">
        <v>0</v>
      </c>
      <c r="AF111" s="396">
        <v>0</v>
      </c>
      <c r="AG111" s="396">
        <v>0</v>
      </c>
      <c r="AH111" s="396">
        <v>0</v>
      </c>
      <c r="AI111" s="396">
        <v>0</v>
      </c>
      <c r="AJ111" s="396">
        <v>0</v>
      </c>
      <c r="AK111" s="396">
        <v>0</v>
      </c>
      <c r="AL111" s="396">
        <v>0</v>
      </c>
      <c r="AM111" s="396">
        <v>0</v>
      </c>
      <c r="AN111" s="396">
        <v>0</v>
      </c>
      <c r="AO111" s="396">
        <v>0</v>
      </c>
      <c r="AP111" s="396">
        <v>0</v>
      </c>
      <c r="AQ111" s="396">
        <v>0</v>
      </c>
      <c r="AR111" s="396">
        <v>0</v>
      </c>
      <c r="AS111" s="396">
        <v>0</v>
      </c>
      <c r="AT111" s="396">
        <v>0</v>
      </c>
      <c r="AU111" s="396">
        <v>0</v>
      </c>
      <c r="AV111" s="396">
        <f>IF(O111="No Add",0,IF(O111="25% Add",2,3))</f>
        <v>0</v>
      </c>
      <c r="AW111" s="396">
        <v>0</v>
      </c>
      <c r="AX111" s="396">
        <f>IF(Q111="No Add",0,IF(Q111="25% Add",2,3))</f>
        <v>0</v>
      </c>
      <c r="AY111" s="396">
        <v>0</v>
      </c>
      <c r="AZ111" s="396">
        <f>IF(S111="No Add",0,IF(S111="25% Add",2,3))</f>
        <v>0</v>
      </c>
      <c r="BA111" s="396">
        <v>0</v>
      </c>
      <c r="BB111" s="396">
        <f>IF(U111="No Add",0,IF(U111="25% Add",2,3))</f>
        <v>0</v>
      </c>
      <c r="BC111" s="396">
        <v>0</v>
      </c>
      <c r="BD111" s="396">
        <f>IF(W111="No Add",0,IF(W111="25% Add",2,3))</f>
        <v>2</v>
      </c>
    </row>
    <row r="112" spans="2:56">
      <c r="B112" s="280" t="s">
        <v>1100</v>
      </c>
      <c r="C112" s="8" t="s">
        <v>1242</v>
      </c>
      <c r="D112" s="15" t="s">
        <v>1253</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00000000</v>
      </c>
      <c r="F112" s="39"/>
      <c r="G112"/>
      <c r="H112" s="277"/>
      <c r="I112" s="273"/>
      <c r="J112" s="273"/>
      <c r="K112" s="273"/>
      <c r="L112" s="273"/>
      <c r="M112" s="261"/>
      <c r="N112" s="258" t="s">
        <v>1247</v>
      </c>
      <c r="O112" s="280">
        <v>0</v>
      </c>
      <c r="P112" s="258" t="s">
        <v>1246</v>
      </c>
      <c r="Q112" s="280">
        <v>0</v>
      </c>
      <c r="R112" s="258" t="s">
        <v>1245</v>
      </c>
      <c r="S112" s="280">
        <v>0</v>
      </c>
      <c r="T112" s="258" t="s">
        <v>1244</v>
      </c>
      <c r="U112" s="280">
        <v>0</v>
      </c>
      <c r="V112" s="258" t="s">
        <v>1243</v>
      </c>
      <c r="W112" s="280">
        <v>0</v>
      </c>
      <c r="X112" s="376"/>
      <c r="Y112" s="396">
        <v>0</v>
      </c>
      <c r="Z112" s="396">
        <v>0</v>
      </c>
      <c r="AA112" s="396">
        <v>0</v>
      </c>
      <c r="AB112" s="396">
        <v>0</v>
      </c>
      <c r="AC112" s="396">
        <v>0</v>
      </c>
      <c r="AD112" s="396">
        <v>0</v>
      </c>
      <c r="AE112" s="396">
        <v>0</v>
      </c>
      <c r="AF112" s="396">
        <v>0</v>
      </c>
      <c r="AG112" s="396">
        <v>0</v>
      </c>
      <c r="AH112" s="396">
        <v>0</v>
      </c>
      <c r="AI112" s="396">
        <v>0</v>
      </c>
      <c r="AJ112" s="396">
        <v>0</v>
      </c>
      <c r="AK112" s="396">
        <v>0</v>
      </c>
      <c r="AL112" s="396">
        <v>0</v>
      </c>
      <c r="AM112" s="396">
        <v>0</v>
      </c>
      <c r="AN112" s="396">
        <v>0</v>
      </c>
      <c r="AO112" s="396">
        <v>0</v>
      </c>
      <c r="AP112" s="396">
        <v>0</v>
      </c>
      <c r="AQ112" s="396">
        <v>0</v>
      </c>
      <c r="AR112" s="396">
        <v>0</v>
      </c>
      <c r="AS112" s="396">
        <v>0</v>
      </c>
      <c r="AT112" s="396">
        <v>0</v>
      </c>
      <c r="AU112" s="396">
        <v>0</v>
      </c>
      <c r="AV112" s="396">
        <f>O112</f>
        <v>0</v>
      </c>
      <c r="AW112" s="396">
        <v>0</v>
      </c>
      <c r="AX112" s="396">
        <f>Q112</f>
        <v>0</v>
      </c>
      <c r="AY112" s="396">
        <v>0</v>
      </c>
      <c r="AZ112" s="396">
        <f>S112</f>
        <v>0</v>
      </c>
      <c r="BA112" s="396">
        <v>0</v>
      </c>
      <c r="BB112" s="396">
        <f>U112</f>
        <v>0</v>
      </c>
      <c r="BC112" s="396">
        <v>0</v>
      </c>
      <c r="BD112" s="396">
        <f>W112</f>
        <v>0</v>
      </c>
    </row>
    <row r="113" spans="2:57">
      <c r="B113" s="19" t="s">
        <v>75</v>
      </c>
      <c r="C113" s="5" t="s">
        <v>1024</v>
      </c>
      <c r="D113" s="15" t="s">
        <v>1069</v>
      </c>
      <c r="E113" s="89" t="s">
        <v>147</v>
      </c>
      <c r="F113" s="39"/>
      <c r="G113"/>
      <c r="H113"/>
      <c r="I113"/>
      <c r="J113"/>
      <c r="K113"/>
      <c r="L113"/>
      <c r="M113"/>
      <c r="N113"/>
      <c r="O113"/>
      <c r="P113"/>
      <c r="Q113"/>
      <c r="R113"/>
      <c r="S113"/>
      <c r="T113"/>
      <c r="U113"/>
      <c r="V113"/>
      <c r="W113"/>
    </row>
    <row r="114" spans="2:57">
      <c r="B114" s="136" t="s">
        <v>15</v>
      </c>
      <c r="C114" s="137" t="s">
        <v>1319</v>
      </c>
      <c r="D114" s="176"/>
      <c r="E114" s="177"/>
      <c r="F114" s="178"/>
      <c r="G114"/>
      <c r="H114"/>
      <c r="I114"/>
      <c r="J114"/>
      <c r="K114"/>
      <c r="L114"/>
      <c r="M114"/>
      <c r="N114"/>
      <c r="O114"/>
      <c r="P114"/>
      <c r="Q114"/>
      <c r="R114"/>
      <c r="S114"/>
      <c r="T114"/>
      <c r="U114"/>
      <c r="V114"/>
      <c r="W114"/>
    </row>
    <row r="115" spans="2:57" ht="15">
      <c r="B115" s="19" t="s">
        <v>75</v>
      </c>
      <c r="C115" s="254" t="s">
        <v>890</v>
      </c>
      <c r="D115" s="255" t="s">
        <v>891</v>
      </c>
      <c r="E115" s="122" t="str">
        <f>DEC2HEX(Y115*2^31+Z115*2^30+AA115*2^29+AB115*2^28+AC115*2^27+AD115*2^26+AE115*2^25+AF115*2^24+AG115*2^23+AH115*2^22+AI115*2^21+AJ115*2^20+AK115*2^19+AL115*2^18+AM115*2^17+AN115*2^16+AO115*2^15+AP115*2^14+AQ115*2^13+AR115*2^12+AS115*2^11+AT115*2^10+AU115*2^9+AV115*2^8+AW115*2^7+AX115*2^6+AY115*2^5+AZ115*2^4+BA115*2^3+BB115*2^2+BC115*2^1+BD115*2^0,8)</f>
        <v>00000016</v>
      </c>
      <c r="F115" s="179"/>
      <c r="G115"/>
      <c r="H115" s="265"/>
      <c r="I115" s="268"/>
      <c r="J115" s="268"/>
      <c r="K115" s="268"/>
      <c r="L115" s="268"/>
      <c r="M115" s="266"/>
      <c r="N115" s="258" t="s">
        <v>1226</v>
      </c>
      <c r="O115" s="150" t="s">
        <v>1524</v>
      </c>
      <c r="P115" s="258"/>
      <c r="Q115" s="360"/>
      <c r="R115" s="261" t="s">
        <v>1228</v>
      </c>
      <c r="S115" s="302" t="str">
        <f>Main_Parameters!$M$23</f>
        <v>L Active</v>
      </c>
      <c r="T115" s="261" t="s">
        <v>1227</v>
      </c>
      <c r="U115" s="302" t="str">
        <f>Main_Parameters!$M$24</f>
        <v>L Active</v>
      </c>
      <c r="V115" s="277"/>
      <c r="W115" s="261"/>
      <c r="X115" s="376"/>
      <c r="Y115" s="168">
        <v>0</v>
      </c>
      <c r="Z115" s="168">
        <v>0</v>
      </c>
      <c r="AA115" s="168">
        <v>0</v>
      </c>
      <c r="AB115" s="168">
        <v>0</v>
      </c>
      <c r="AC115" s="168">
        <v>0</v>
      </c>
      <c r="AD115" s="168">
        <v>0</v>
      </c>
      <c r="AE115" s="168">
        <v>0</v>
      </c>
      <c r="AF115" s="168">
        <v>0</v>
      </c>
      <c r="AG115" s="168">
        <v>0</v>
      </c>
      <c r="AH115" s="168">
        <v>0</v>
      </c>
      <c r="AI115" s="168">
        <v>0</v>
      </c>
      <c r="AJ115" s="168">
        <v>0</v>
      </c>
      <c r="AK115" s="168">
        <v>0</v>
      </c>
      <c r="AL115" s="168">
        <v>0</v>
      </c>
      <c r="AM115" s="168">
        <v>0</v>
      </c>
      <c r="AN115" s="168">
        <v>0</v>
      </c>
      <c r="AO115" s="168">
        <v>0</v>
      </c>
      <c r="AP115" s="168">
        <v>0</v>
      </c>
      <c r="AQ115" s="168">
        <v>0</v>
      </c>
      <c r="AR115" s="168">
        <v>0</v>
      </c>
      <c r="AS115" s="168">
        <v>0</v>
      </c>
      <c r="AT115" s="168">
        <v>0</v>
      </c>
      <c r="AU115" s="168">
        <v>0</v>
      </c>
      <c r="AV115" s="168">
        <v>0</v>
      </c>
      <c r="AW115" s="168">
        <v>0</v>
      </c>
      <c r="AX115" s="168">
        <v>0</v>
      </c>
      <c r="AY115" s="168">
        <v>0</v>
      </c>
      <c r="AZ115" s="168">
        <f>IF(O115="LP",1,0)</f>
        <v>1</v>
      </c>
      <c r="BA115" s="168">
        <v>0</v>
      </c>
      <c r="BB115" s="168">
        <f>IF(S115="H Active",0,1)</f>
        <v>1</v>
      </c>
      <c r="BC115" s="168">
        <f>IF(U115="H Active",0,1)</f>
        <v>1</v>
      </c>
      <c r="BD115" s="168">
        <v>0</v>
      </c>
      <c r="BE115" s="376"/>
    </row>
    <row r="116" spans="2:57" ht="15">
      <c r="B116" s="19" t="s">
        <v>75</v>
      </c>
      <c r="C116" s="254" t="s">
        <v>890</v>
      </c>
      <c r="D116" s="255" t="s">
        <v>952</v>
      </c>
      <c r="E116" s="122" t="str">
        <f>DEC2HEX(Y116*2^31+Z116*2^30+AA116*2^29+AB116*2^28+AC116*2^27+AD116*2^26+AE116*2^25+AF116*2^24+AG116*2^23+AH116*2^22+AI116*2^21+AJ116*2^20+AK116*2^19+AL116*2^18+AM116*2^17+AN116*2^16+AO116*2^15+AP116*2^14+AQ116*2^13+AR116*2^12+AS116*2^11+AT116*2^10+AU116*2^9+AV116*2^8+AW116*2^7+AX116*2^6+AY116*2^5+AZ116*2^4+BA116*2^3+BB116*2^2+BC116*2^1+BD116*2^0,8)</f>
        <v>00000016</v>
      </c>
      <c r="F116" s="179"/>
      <c r="G116"/>
      <c r="H116" s="265"/>
      <c r="I116" s="268"/>
      <c r="J116" s="268"/>
      <c r="K116" s="268"/>
      <c r="L116" s="268"/>
      <c r="M116" s="266"/>
      <c r="N116" s="261" t="s">
        <v>1226</v>
      </c>
      <c r="O116" s="223" t="s">
        <v>1524</v>
      </c>
      <c r="P116" s="258"/>
      <c r="Q116" s="259"/>
      <c r="R116" s="261" t="s">
        <v>1228</v>
      </c>
      <c r="S116" s="302" t="str">
        <f>Main_Parameters!$M$23</f>
        <v>L Active</v>
      </c>
      <c r="T116" s="261" t="s">
        <v>1227</v>
      </c>
      <c r="U116" s="302" t="str">
        <f>Main_Parameters!$M$24</f>
        <v>L Active</v>
      </c>
      <c r="V116" s="277"/>
      <c r="W116" s="261"/>
      <c r="X116" s="376"/>
      <c r="Y116" s="168">
        <v>0</v>
      </c>
      <c r="Z116" s="168">
        <v>0</v>
      </c>
      <c r="AA116" s="168">
        <v>0</v>
      </c>
      <c r="AB116" s="168">
        <v>0</v>
      </c>
      <c r="AC116" s="168">
        <v>0</v>
      </c>
      <c r="AD116" s="168">
        <v>0</v>
      </c>
      <c r="AE116" s="168">
        <v>0</v>
      </c>
      <c r="AF116" s="168">
        <v>0</v>
      </c>
      <c r="AG116" s="168">
        <v>0</v>
      </c>
      <c r="AH116" s="168">
        <v>0</v>
      </c>
      <c r="AI116" s="168">
        <v>0</v>
      </c>
      <c r="AJ116" s="168">
        <v>0</v>
      </c>
      <c r="AK116" s="168">
        <v>0</v>
      </c>
      <c r="AL116" s="168">
        <v>0</v>
      </c>
      <c r="AM116" s="168">
        <v>0</v>
      </c>
      <c r="AN116" s="168">
        <v>0</v>
      </c>
      <c r="AO116" s="168">
        <v>0</v>
      </c>
      <c r="AP116" s="168">
        <v>0</v>
      </c>
      <c r="AQ116" s="168">
        <v>0</v>
      </c>
      <c r="AR116" s="168">
        <v>0</v>
      </c>
      <c r="AS116" s="168">
        <v>0</v>
      </c>
      <c r="AT116" s="168">
        <v>0</v>
      </c>
      <c r="AU116" s="168">
        <v>0</v>
      </c>
      <c r="AV116" s="168">
        <v>0</v>
      </c>
      <c r="AW116" s="168">
        <v>0</v>
      </c>
      <c r="AX116" s="168">
        <v>0</v>
      </c>
      <c r="AY116" s="168">
        <v>0</v>
      </c>
      <c r="AZ116" s="168">
        <f>IF(O116="LP",1,0)</f>
        <v>1</v>
      </c>
      <c r="BA116" s="168">
        <v>0</v>
      </c>
      <c r="BB116" s="168">
        <f>IF(S116="H Active",0,1)</f>
        <v>1</v>
      </c>
      <c r="BC116" s="168">
        <f>IF(U116="H Active",0,1)</f>
        <v>1</v>
      </c>
      <c r="BD116" s="168">
        <v>0</v>
      </c>
      <c r="BE116" s="376"/>
    </row>
    <row r="117" spans="2:57" outlineLevel="1">
      <c r="B117" s="230" t="s">
        <v>15</v>
      </c>
      <c r="C117" s="231" t="s">
        <v>1285</v>
      </c>
      <c r="D117" s="232"/>
      <c r="E117" s="233"/>
      <c r="F117" s="234"/>
      <c r="G117"/>
      <c r="H117"/>
      <c r="I117"/>
      <c r="J117"/>
      <c r="K117"/>
      <c r="L117"/>
      <c r="M117"/>
      <c r="N117"/>
      <c r="O117"/>
      <c r="P117"/>
      <c r="Q117"/>
      <c r="R117"/>
      <c r="S117"/>
      <c r="T117"/>
      <c r="U117"/>
      <c r="V117"/>
      <c r="W117"/>
    </row>
    <row r="118" spans="2:57" outlineLevel="1">
      <c r="B118" s="230" t="s">
        <v>73</v>
      </c>
      <c r="C118" s="231" t="s">
        <v>1275</v>
      </c>
      <c r="D118" s="232" t="s">
        <v>1274</v>
      </c>
      <c r="E118" s="233" t="s">
        <v>780</v>
      </c>
      <c r="F118" s="234"/>
      <c r="G118"/>
      <c r="H118"/>
      <c r="I118"/>
      <c r="J118"/>
      <c r="K118"/>
      <c r="L118"/>
      <c r="M118"/>
      <c r="N118"/>
      <c r="O118"/>
      <c r="P118"/>
      <c r="Q118"/>
      <c r="R118"/>
      <c r="S118"/>
      <c r="T118"/>
      <c r="U118"/>
      <c r="V118"/>
      <c r="W118"/>
    </row>
    <row r="119" spans="2:57" outlineLevel="1">
      <c r="B119" s="230" t="s">
        <v>1276</v>
      </c>
      <c r="C119" s="231" t="s">
        <v>1277</v>
      </c>
      <c r="D119" s="232"/>
      <c r="E119" s="233"/>
      <c r="F119" s="234"/>
      <c r="G119"/>
      <c r="H119"/>
      <c r="I119"/>
      <c r="J119"/>
      <c r="K119"/>
      <c r="L119"/>
      <c r="M119"/>
      <c r="N119"/>
      <c r="O119"/>
      <c r="P119"/>
      <c r="Q119"/>
      <c r="R119"/>
      <c r="S119"/>
      <c r="T119"/>
      <c r="U119"/>
      <c r="V119"/>
      <c r="W119"/>
    </row>
    <row r="120" spans="2:57" outlineLevel="1">
      <c r="B120" s="230" t="s">
        <v>73</v>
      </c>
      <c r="C120" s="231" t="s">
        <v>1278</v>
      </c>
      <c r="D120" s="232" t="s">
        <v>1279</v>
      </c>
      <c r="E120" s="233" t="s">
        <v>1280</v>
      </c>
      <c r="F120" s="234"/>
      <c r="G120"/>
      <c r="H120"/>
      <c r="I120"/>
      <c r="J120"/>
      <c r="K120"/>
      <c r="L120"/>
      <c r="M120"/>
      <c r="N120"/>
      <c r="O120"/>
      <c r="P120"/>
      <c r="Q120"/>
      <c r="R120"/>
      <c r="S120"/>
      <c r="T120"/>
      <c r="U120"/>
      <c r="V120"/>
      <c r="W120"/>
    </row>
    <row r="121" spans="2:57" outlineLevel="1">
      <c r="B121" s="230" t="s">
        <v>73</v>
      </c>
      <c r="C121" s="231" t="s">
        <v>1278</v>
      </c>
      <c r="D121" s="232" t="s">
        <v>1279</v>
      </c>
      <c r="E121" s="233" t="s">
        <v>1281</v>
      </c>
      <c r="F121" s="234"/>
      <c r="G121"/>
      <c r="H121"/>
      <c r="I121"/>
      <c r="J121"/>
      <c r="K121"/>
      <c r="L121"/>
      <c r="M121"/>
      <c r="N121"/>
      <c r="O121"/>
      <c r="P121"/>
      <c r="Q121"/>
      <c r="R121"/>
      <c r="S121"/>
      <c r="T121"/>
      <c r="U121"/>
      <c r="V121"/>
      <c r="W121"/>
    </row>
    <row r="122" spans="2:57" outlineLevel="1">
      <c r="B122" s="230" t="s">
        <v>828</v>
      </c>
      <c r="C122" s="231"/>
      <c r="D122" s="233">
        <v>5000</v>
      </c>
      <c r="E122" s="233"/>
      <c r="F122" s="234"/>
      <c r="G122"/>
      <c r="H122"/>
      <c r="I122"/>
      <c r="J122"/>
      <c r="K122"/>
      <c r="L122"/>
      <c r="M122"/>
      <c r="N122"/>
      <c r="O122"/>
      <c r="P122"/>
      <c r="Q122"/>
      <c r="R122"/>
      <c r="S122"/>
      <c r="T122"/>
      <c r="U122"/>
      <c r="V122"/>
      <c r="W122"/>
    </row>
    <row r="123" spans="2:57" outlineLevel="1">
      <c r="B123" s="230" t="s">
        <v>1276</v>
      </c>
      <c r="C123" s="231" t="s">
        <v>1282</v>
      </c>
      <c r="D123" s="232"/>
      <c r="E123" s="233"/>
      <c r="F123" s="234"/>
      <c r="G123"/>
      <c r="H123"/>
      <c r="I123"/>
      <c r="J123"/>
      <c r="K123"/>
      <c r="L123"/>
      <c r="M123"/>
      <c r="N123"/>
      <c r="O123"/>
      <c r="P123"/>
      <c r="Q123"/>
      <c r="R123"/>
      <c r="S123"/>
      <c r="T123"/>
      <c r="U123"/>
      <c r="V123"/>
      <c r="W123"/>
    </row>
    <row r="124" spans="2:57" outlineLevel="1">
      <c r="B124" s="230" t="s">
        <v>73</v>
      </c>
      <c r="C124" s="231" t="s">
        <v>1278</v>
      </c>
      <c r="D124" s="232" t="s">
        <v>1279</v>
      </c>
      <c r="E124" s="233" t="s">
        <v>1283</v>
      </c>
      <c r="F124" s="234"/>
      <c r="G124"/>
      <c r="H124"/>
      <c r="I124"/>
      <c r="J124"/>
      <c r="K124"/>
      <c r="L124"/>
      <c r="M124"/>
      <c r="N124"/>
      <c r="O124"/>
      <c r="P124"/>
      <c r="Q124"/>
      <c r="R124"/>
      <c r="S124"/>
      <c r="T124"/>
      <c r="U124"/>
      <c r="V124"/>
      <c r="W124"/>
    </row>
    <row r="125" spans="2:57" outlineLevel="1">
      <c r="B125" s="230" t="s">
        <v>73</v>
      </c>
      <c r="C125" s="231" t="s">
        <v>1278</v>
      </c>
      <c r="D125" s="232" t="s">
        <v>1279</v>
      </c>
      <c r="E125" s="233" t="s">
        <v>1284</v>
      </c>
      <c r="F125" s="234"/>
      <c r="G125"/>
      <c r="H125"/>
      <c r="I125"/>
      <c r="J125"/>
      <c r="K125"/>
      <c r="L125"/>
      <c r="M125"/>
      <c r="N125"/>
      <c r="O125"/>
      <c r="P125"/>
      <c r="Q125"/>
      <c r="R125"/>
      <c r="S125"/>
      <c r="T125"/>
      <c r="U125"/>
      <c r="V125"/>
      <c r="W125"/>
    </row>
    <row r="126" spans="2:57" outlineLevel="1">
      <c r="B126" s="230" t="s">
        <v>828</v>
      </c>
      <c r="C126" s="231"/>
      <c r="D126" s="233">
        <v>200</v>
      </c>
      <c r="E126" s="233"/>
      <c r="F126" s="234"/>
      <c r="G126"/>
      <c r="H126"/>
      <c r="I126"/>
      <c r="J126"/>
      <c r="K126"/>
      <c r="L126"/>
      <c r="M126"/>
      <c r="N126"/>
      <c r="O126"/>
      <c r="P126"/>
      <c r="Q126"/>
      <c r="R126"/>
      <c r="S126"/>
      <c r="T126"/>
      <c r="U126"/>
      <c r="V126"/>
      <c r="W126"/>
    </row>
    <row r="127" spans="2:57" outlineLevel="1">
      <c r="B127" s="230" t="s">
        <v>1276</v>
      </c>
      <c r="C127" s="231" t="s">
        <v>1298</v>
      </c>
      <c r="D127" s="232"/>
      <c r="E127" s="233"/>
      <c r="F127" s="234"/>
      <c r="G127"/>
      <c r="H127"/>
      <c r="I127"/>
      <c r="J127"/>
      <c r="K127"/>
      <c r="L127"/>
      <c r="M127"/>
      <c r="N127"/>
      <c r="O127"/>
      <c r="P127"/>
      <c r="Q127"/>
      <c r="R127"/>
      <c r="S127"/>
      <c r="T127"/>
      <c r="U127"/>
      <c r="V127"/>
      <c r="W127"/>
    </row>
    <row r="128" spans="2:57" outlineLevel="1">
      <c r="B128" s="230" t="s">
        <v>73</v>
      </c>
      <c r="C128" s="231" t="s">
        <v>1278</v>
      </c>
      <c r="D128" s="232" t="s">
        <v>1279</v>
      </c>
      <c r="E128" s="233" t="s">
        <v>1286</v>
      </c>
      <c r="F128" s="234"/>
      <c r="G128"/>
      <c r="H128"/>
      <c r="I128"/>
      <c r="J128"/>
      <c r="K128"/>
      <c r="L128"/>
      <c r="M128"/>
      <c r="N128"/>
      <c r="O128"/>
      <c r="P128"/>
      <c r="Q128"/>
      <c r="R128"/>
      <c r="S128"/>
      <c r="T128"/>
      <c r="U128"/>
      <c r="V128"/>
      <c r="W128"/>
    </row>
    <row r="129" spans="2:23" outlineLevel="1">
      <c r="B129" s="230" t="s">
        <v>73</v>
      </c>
      <c r="C129" s="231" t="s">
        <v>1278</v>
      </c>
      <c r="D129" s="232" t="s">
        <v>1279</v>
      </c>
      <c r="E129" s="233" t="s">
        <v>1280</v>
      </c>
      <c r="F129" s="234"/>
      <c r="G129"/>
      <c r="H129"/>
      <c r="I129"/>
      <c r="J129"/>
      <c r="K129"/>
      <c r="L129"/>
      <c r="M129"/>
      <c r="N129"/>
      <c r="O129"/>
      <c r="P129"/>
      <c r="Q129"/>
      <c r="R129"/>
      <c r="S129"/>
      <c r="T129"/>
      <c r="U129"/>
      <c r="V129"/>
      <c r="W129"/>
    </row>
    <row r="130" spans="2:23" outlineLevel="1">
      <c r="B130" s="230" t="s">
        <v>73</v>
      </c>
      <c r="C130" s="231" t="s">
        <v>1278</v>
      </c>
      <c r="D130" s="232" t="s">
        <v>1279</v>
      </c>
      <c r="E130" s="233" t="s">
        <v>1287</v>
      </c>
      <c r="F130" s="234"/>
      <c r="G130"/>
      <c r="H130"/>
      <c r="I130"/>
      <c r="J130"/>
      <c r="K130"/>
      <c r="L130"/>
      <c r="M130"/>
      <c r="N130"/>
      <c r="O130"/>
      <c r="P130"/>
      <c r="Q130"/>
      <c r="R130"/>
      <c r="S130"/>
      <c r="T130"/>
      <c r="U130"/>
      <c r="V130"/>
      <c r="W130"/>
    </row>
    <row r="131" spans="2:23" outlineLevel="1">
      <c r="B131" s="230" t="s">
        <v>73</v>
      </c>
      <c r="C131" s="231" t="s">
        <v>1278</v>
      </c>
      <c r="D131" s="232" t="s">
        <v>1279</v>
      </c>
      <c r="E131" s="233" t="s">
        <v>1288</v>
      </c>
      <c r="F131" s="234"/>
      <c r="G131"/>
      <c r="H131"/>
      <c r="I131"/>
      <c r="J131"/>
      <c r="K131"/>
      <c r="L131"/>
      <c r="M131"/>
      <c r="N131"/>
      <c r="O131"/>
      <c r="P131"/>
      <c r="Q131"/>
      <c r="R131"/>
      <c r="S131"/>
      <c r="T131"/>
      <c r="U131"/>
      <c r="V131"/>
      <c r="W131"/>
    </row>
    <row r="132" spans="2:23" outlineLevel="1">
      <c r="B132" s="230" t="s">
        <v>73</v>
      </c>
      <c r="C132" s="231" t="s">
        <v>1278</v>
      </c>
      <c r="D132" s="232" t="s">
        <v>1279</v>
      </c>
      <c r="E132" s="233" t="s">
        <v>827</v>
      </c>
      <c r="F132" s="234"/>
      <c r="G132"/>
      <c r="H132"/>
      <c r="I132"/>
      <c r="J132"/>
      <c r="K132"/>
      <c r="L132"/>
      <c r="M132"/>
      <c r="N132"/>
      <c r="O132"/>
      <c r="P132"/>
      <c r="Q132"/>
      <c r="R132"/>
      <c r="S132"/>
      <c r="T132"/>
      <c r="U132"/>
      <c r="V132"/>
      <c r="W132"/>
    </row>
    <row r="133" spans="2:23" outlineLevel="1">
      <c r="B133" s="230" t="s">
        <v>828</v>
      </c>
      <c r="C133" s="231"/>
      <c r="D133" s="233">
        <v>200</v>
      </c>
      <c r="E133" s="233"/>
      <c r="F133" s="234"/>
      <c r="G133"/>
      <c r="H133"/>
      <c r="I133"/>
      <c r="J133"/>
      <c r="K133"/>
      <c r="L133"/>
      <c r="M133"/>
      <c r="N133"/>
      <c r="O133"/>
      <c r="P133"/>
      <c r="Q133"/>
      <c r="R133"/>
      <c r="S133"/>
      <c r="T133"/>
      <c r="U133"/>
      <c r="V133"/>
      <c r="W133"/>
    </row>
    <row r="134" spans="2:23" outlineLevel="1">
      <c r="B134" s="230" t="s">
        <v>1276</v>
      </c>
      <c r="C134" s="231" t="s">
        <v>1299</v>
      </c>
      <c r="D134" s="232"/>
      <c r="E134" s="233"/>
      <c r="F134" s="234"/>
      <c r="G134"/>
      <c r="H134"/>
      <c r="I134"/>
      <c r="J134"/>
      <c r="K134"/>
      <c r="L134"/>
      <c r="M134"/>
      <c r="N134"/>
      <c r="O134"/>
      <c r="P134"/>
      <c r="Q134"/>
      <c r="R134"/>
      <c r="S134"/>
      <c r="T134"/>
      <c r="U134"/>
      <c r="V134"/>
      <c r="W134"/>
    </row>
    <row r="135" spans="2:23" outlineLevel="1">
      <c r="B135" s="230" t="s">
        <v>73</v>
      </c>
      <c r="C135" s="231" t="s">
        <v>1278</v>
      </c>
      <c r="D135" s="232" t="s">
        <v>1279</v>
      </c>
      <c r="E135" s="233" t="s">
        <v>1286</v>
      </c>
      <c r="F135" s="234"/>
      <c r="G135"/>
      <c r="H135"/>
      <c r="I135"/>
      <c r="J135"/>
      <c r="K135"/>
      <c r="L135"/>
      <c r="M135"/>
      <c r="N135"/>
      <c r="O135"/>
      <c r="P135"/>
      <c r="Q135"/>
      <c r="R135"/>
      <c r="S135"/>
      <c r="T135"/>
      <c r="U135"/>
      <c r="V135"/>
      <c r="W135"/>
    </row>
    <row r="136" spans="2:23" outlineLevel="1">
      <c r="B136" s="230" t="s">
        <v>73</v>
      </c>
      <c r="C136" s="231" t="s">
        <v>1278</v>
      </c>
      <c r="D136" s="232" t="s">
        <v>1279</v>
      </c>
      <c r="E136" s="233" t="s">
        <v>1280</v>
      </c>
      <c r="F136" s="234"/>
      <c r="G136"/>
      <c r="H136"/>
      <c r="I136"/>
      <c r="J136"/>
      <c r="K136"/>
      <c r="L136"/>
      <c r="M136"/>
      <c r="N136"/>
      <c r="O136"/>
      <c r="P136"/>
      <c r="Q136"/>
      <c r="R136"/>
      <c r="S136"/>
      <c r="T136"/>
      <c r="U136"/>
      <c r="V136"/>
      <c r="W136"/>
    </row>
    <row r="137" spans="2:23" outlineLevel="1">
      <c r="B137" s="230" t="s">
        <v>73</v>
      </c>
      <c r="C137" s="231" t="s">
        <v>1278</v>
      </c>
      <c r="D137" s="232" t="s">
        <v>1279</v>
      </c>
      <c r="E137" s="233" t="s">
        <v>1289</v>
      </c>
      <c r="F137" s="234"/>
      <c r="G137"/>
      <c r="H137"/>
      <c r="I137"/>
      <c r="J137"/>
      <c r="K137"/>
      <c r="L137"/>
      <c r="M137"/>
      <c r="N137"/>
      <c r="O137"/>
      <c r="P137"/>
      <c r="Q137"/>
      <c r="R137"/>
      <c r="S137"/>
      <c r="T137"/>
      <c r="U137"/>
      <c r="V137"/>
      <c r="W137"/>
    </row>
    <row r="138" spans="2:23" outlineLevel="1">
      <c r="B138" s="230" t="s">
        <v>73</v>
      </c>
      <c r="C138" s="231" t="s">
        <v>1278</v>
      </c>
      <c r="D138" s="232" t="s">
        <v>1279</v>
      </c>
      <c r="E138" s="233" t="s">
        <v>1290</v>
      </c>
      <c r="F138" s="234"/>
      <c r="G138"/>
      <c r="H138"/>
      <c r="I138"/>
      <c r="J138"/>
      <c r="K138"/>
      <c r="L138"/>
      <c r="M138"/>
      <c r="N138"/>
      <c r="O138"/>
      <c r="P138"/>
      <c r="Q138"/>
      <c r="R138"/>
      <c r="S138"/>
      <c r="T138"/>
      <c r="U138"/>
      <c r="V138"/>
      <c r="W138"/>
    </row>
    <row r="139" spans="2:23" outlineLevel="1">
      <c r="B139" s="230" t="s">
        <v>73</v>
      </c>
      <c r="C139" s="231" t="s">
        <v>1278</v>
      </c>
      <c r="D139" s="232" t="s">
        <v>1279</v>
      </c>
      <c r="E139" s="233" t="s">
        <v>1291</v>
      </c>
      <c r="F139" s="234"/>
      <c r="G139"/>
      <c r="H139"/>
      <c r="I139"/>
      <c r="J139"/>
      <c r="K139"/>
      <c r="L139"/>
      <c r="M139"/>
      <c r="N139"/>
      <c r="O139"/>
      <c r="P139"/>
      <c r="Q139"/>
      <c r="R139"/>
      <c r="S139"/>
      <c r="T139"/>
      <c r="U139"/>
      <c r="V139"/>
      <c r="W139"/>
    </row>
    <row r="140" spans="2:23" outlineLevel="1">
      <c r="B140" s="230" t="s">
        <v>828</v>
      </c>
      <c r="C140" s="231"/>
      <c r="D140" s="233">
        <v>200</v>
      </c>
      <c r="E140" s="233"/>
      <c r="F140" s="234"/>
      <c r="G140"/>
      <c r="H140"/>
      <c r="I140"/>
      <c r="J140"/>
      <c r="K140"/>
      <c r="L140"/>
      <c r="M140"/>
      <c r="N140"/>
      <c r="O140"/>
      <c r="P140"/>
      <c r="Q140"/>
      <c r="R140"/>
      <c r="S140"/>
      <c r="T140"/>
      <c r="U140"/>
      <c r="V140"/>
      <c r="W140"/>
    </row>
    <row r="141" spans="2:23" outlineLevel="1">
      <c r="B141" s="230" t="s">
        <v>1276</v>
      </c>
      <c r="C141" s="231" t="s">
        <v>1292</v>
      </c>
      <c r="D141" s="232"/>
      <c r="E141" s="233"/>
      <c r="F141" s="234"/>
      <c r="G141"/>
      <c r="H141"/>
      <c r="I141"/>
      <c r="J141"/>
      <c r="K141"/>
      <c r="L141"/>
      <c r="M141"/>
      <c r="N141"/>
      <c r="O141"/>
      <c r="P141"/>
      <c r="Q141"/>
      <c r="R141"/>
      <c r="S141"/>
      <c r="T141"/>
      <c r="U141"/>
      <c r="V141"/>
      <c r="W141"/>
    </row>
    <row r="142" spans="2:23" outlineLevel="1">
      <c r="B142" s="230" t="s">
        <v>73</v>
      </c>
      <c r="C142" s="231" t="s">
        <v>1278</v>
      </c>
      <c r="D142" s="232" t="s">
        <v>1279</v>
      </c>
      <c r="E142" s="233" t="s">
        <v>1283</v>
      </c>
      <c r="F142" s="234"/>
      <c r="G142"/>
      <c r="H142"/>
      <c r="I142"/>
      <c r="J142"/>
      <c r="K142"/>
      <c r="L142"/>
      <c r="M142"/>
      <c r="N142"/>
      <c r="O142"/>
      <c r="P142"/>
      <c r="Q142"/>
      <c r="R142"/>
      <c r="S142"/>
      <c r="T142"/>
      <c r="U142"/>
      <c r="V142"/>
      <c r="W142"/>
    </row>
    <row r="143" spans="2:23" outlineLevel="1">
      <c r="B143" s="230" t="s">
        <v>73</v>
      </c>
      <c r="C143" s="231" t="s">
        <v>1278</v>
      </c>
      <c r="D143" s="232" t="s">
        <v>1279</v>
      </c>
      <c r="E143" s="233" t="s">
        <v>1293</v>
      </c>
      <c r="F143" s="234"/>
      <c r="G143"/>
      <c r="H143"/>
      <c r="I143"/>
      <c r="J143"/>
      <c r="K143"/>
      <c r="L143"/>
      <c r="M143"/>
      <c r="N143"/>
      <c r="O143"/>
      <c r="P143"/>
      <c r="Q143"/>
      <c r="R143"/>
      <c r="S143"/>
      <c r="T143"/>
      <c r="U143"/>
      <c r="V143"/>
      <c r="W143"/>
    </row>
    <row r="144" spans="2:23" outlineLevel="1">
      <c r="B144" s="230" t="s">
        <v>828</v>
      </c>
      <c r="C144" s="231"/>
      <c r="D144" s="233">
        <v>200</v>
      </c>
      <c r="E144" s="233"/>
      <c r="F144" s="234"/>
      <c r="G144"/>
      <c r="H144"/>
      <c r="I144"/>
      <c r="J144"/>
      <c r="K144"/>
      <c r="L144"/>
      <c r="M144"/>
      <c r="N144"/>
      <c r="O144"/>
      <c r="P144"/>
      <c r="Q144"/>
      <c r="R144"/>
      <c r="S144"/>
      <c r="T144"/>
      <c r="U144"/>
      <c r="V144"/>
      <c r="W144"/>
    </row>
    <row r="145" spans="2:23" outlineLevel="1">
      <c r="B145" s="230" t="s">
        <v>1276</v>
      </c>
      <c r="C145" s="231" t="s">
        <v>1294</v>
      </c>
      <c r="D145" s="232"/>
      <c r="E145" s="233"/>
      <c r="F145" s="234"/>
      <c r="G145"/>
      <c r="H145"/>
      <c r="I145"/>
      <c r="J145"/>
      <c r="K145"/>
      <c r="L145"/>
      <c r="M145"/>
      <c r="N145"/>
      <c r="O145"/>
      <c r="P145"/>
      <c r="Q145"/>
      <c r="R145"/>
      <c r="S145"/>
      <c r="T145"/>
      <c r="U145"/>
      <c r="V145"/>
      <c r="W145"/>
    </row>
    <row r="146" spans="2:23" outlineLevel="1">
      <c r="B146" s="230" t="s">
        <v>73</v>
      </c>
      <c r="C146" s="231" t="s">
        <v>1278</v>
      </c>
      <c r="D146" s="232" t="s">
        <v>1279</v>
      </c>
      <c r="E146" s="233" t="s">
        <v>1286</v>
      </c>
      <c r="F146" s="234"/>
      <c r="G146"/>
      <c r="H146"/>
      <c r="I146"/>
      <c r="J146"/>
      <c r="K146"/>
      <c r="L146"/>
      <c r="M146"/>
      <c r="N146"/>
      <c r="O146"/>
      <c r="P146"/>
      <c r="Q146"/>
      <c r="R146"/>
      <c r="S146"/>
      <c r="T146"/>
      <c r="U146"/>
      <c r="V146"/>
      <c r="W146"/>
    </row>
    <row r="147" spans="2:23" outlineLevel="1">
      <c r="B147" s="230" t="s">
        <v>73</v>
      </c>
      <c r="C147" s="231" t="s">
        <v>1278</v>
      </c>
      <c r="D147" s="232" t="s">
        <v>1279</v>
      </c>
      <c r="E147" s="233" t="s">
        <v>826</v>
      </c>
      <c r="F147" s="234"/>
      <c r="G147"/>
      <c r="H147"/>
      <c r="I147"/>
      <c r="J147"/>
      <c r="K147"/>
      <c r="L147"/>
      <c r="M147"/>
      <c r="N147"/>
      <c r="O147"/>
      <c r="P147"/>
      <c r="Q147"/>
      <c r="R147"/>
      <c r="S147"/>
      <c r="T147"/>
      <c r="U147"/>
      <c r="V147"/>
      <c r="W147"/>
    </row>
    <row r="148" spans="2:23" outlineLevel="1">
      <c r="B148" s="230" t="s">
        <v>73</v>
      </c>
      <c r="C148" s="231" t="s">
        <v>1278</v>
      </c>
      <c r="D148" s="232" t="s">
        <v>1279</v>
      </c>
      <c r="E148" s="233" t="s">
        <v>1295</v>
      </c>
      <c r="F148" s="234"/>
      <c r="G148"/>
      <c r="H148"/>
      <c r="I148"/>
      <c r="J148"/>
      <c r="K148"/>
      <c r="L148"/>
      <c r="M148"/>
      <c r="N148"/>
      <c r="O148"/>
      <c r="P148"/>
      <c r="Q148"/>
      <c r="R148"/>
      <c r="S148"/>
      <c r="T148"/>
      <c r="U148"/>
      <c r="V148"/>
      <c r="W148"/>
    </row>
    <row r="149" spans="2:23" outlineLevel="1">
      <c r="B149" s="230" t="s">
        <v>73</v>
      </c>
      <c r="C149" s="231" t="s">
        <v>1278</v>
      </c>
      <c r="D149" s="232" t="s">
        <v>1279</v>
      </c>
      <c r="E149" s="233" t="s">
        <v>72</v>
      </c>
      <c r="F149" s="234"/>
      <c r="G149"/>
      <c r="H149"/>
      <c r="I149"/>
      <c r="J149"/>
      <c r="K149"/>
      <c r="L149"/>
      <c r="M149"/>
      <c r="N149"/>
      <c r="O149"/>
      <c r="P149"/>
      <c r="Q149"/>
      <c r="R149"/>
      <c r="S149"/>
      <c r="T149"/>
      <c r="U149"/>
      <c r="V149"/>
      <c r="W149"/>
    </row>
    <row r="150" spans="2:23" outlineLevel="1">
      <c r="B150" s="230" t="s">
        <v>828</v>
      </c>
      <c r="C150" s="231"/>
      <c r="D150" s="233">
        <v>200</v>
      </c>
      <c r="E150" s="233"/>
      <c r="F150" s="234"/>
      <c r="G150"/>
      <c r="H150"/>
      <c r="I150"/>
      <c r="J150"/>
      <c r="K150"/>
      <c r="L150"/>
      <c r="M150"/>
      <c r="N150"/>
      <c r="O150"/>
      <c r="P150"/>
      <c r="Q150"/>
      <c r="R150"/>
      <c r="S150"/>
      <c r="T150"/>
      <c r="U150"/>
      <c r="V150"/>
      <c r="W150"/>
    </row>
    <row r="151" spans="2:23" outlineLevel="1">
      <c r="B151" s="230" t="s">
        <v>1276</v>
      </c>
      <c r="C151" s="231" t="s">
        <v>1300</v>
      </c>
      <c r="D151" s="232"/>
      <c r="E151" s="233"/>
      <c r="F151" s="234"/>
      <c r="G151"/>
      <c r="H151"/>
      <c r="I151"/>
      <c r="J151"/>
      <c r="K151"/>
      <c r="L151"/>
      <c r="M151"/>
      <c r="N151"/>
      <c r="O151"/>
      <c r="P151"/>
      <c r="Q151"/>
      <c r="R151"/>
      <c r="S151"/>
      <c r="T151"/>
      <c r="U151"/>
      <c r="V151"/>
      <c r="W151"/>
    </row>
    <row r="152" spans="2:23" outlineLevel="1">
      <c r="B152" s="230" t="s">
        <v>73</v>
      </c>
      <c r="C152" s="231" t="s">
        <v>1278</v>
      </c>
      <c r="D152" s="232" t="s">
        <v>1279</v>
      </c>
      <c r="E152" s="233" t="s">
        <v>1283</v>
      </c>
      <c r="F152" s="234"/>
      <c r="G152"/>
      <c r="H152"/>
      <c r="I152"/>
      <c r="J152"/>
      <c r="K152"/>
      <c r="L152"/>
      <c r="M152"/>
      <c r="N152"/>
      <c r="O152"/>
      <c r="P152"/>
      <c r="Q152"/>
      <c r="R152"/>
      <c r="S152"/>
      <c r="T152"/>
      <c r="U152"/>
      <c r="V152"/>
      <c r="W152"/>
    </row>
    <row r="153" spans="2:23" outlineLevel="1">
      <c r="B153" s="230" t="s">
        <v>73</v>
      </c>
      <c r="C153" s="231" t="s">
        <v>1278</v>
      </c>
      <c r="D153" s="232" t="s">
        <v>1279</v>
      </c>
      <c r="E153" s="233" t="s">
        <v>1296</v>
      </c>
      <c r="F153" s="234"/>
      <c r="G153"/>
      <c r="H153"/>
      <c r="I153"/>
      <c r="J153"/>
      <c r="K153"/>
      <c r="L153"/>
      <c r="M153"/>
      <c r="N153"/>
      <c r="O153"/>
      <c r="P153"/>
      <c r="Q153"/>
      <c r="R153"/>
      <c r="S153"/>
      <c r="T153"/>
      <c r="U153"/>
      <c r="V153"/>
      <c r="W153"/>
    </row>
    <row r="154" spans="2:23" outlineLevel="1">
      <c r="B154" s="230" t="s">
        <v>828</v>
      </c>
      <c r="C154" s="231"/>
      <c r="D154" s="233">
        <v>200</v>
      </c>
      <c r="E154" s="233"/>
      <c r="F154" s="234"/>
      <c r="G154"/>
      <c r="H154"/>
      <c r="I154"/>
      <c r="J154"/>
      <c r="K154"/>
      <c r="L154"/>
      <c r="M154"/>
      <c r="N154"/>
      <c r="O154"/>
      <c r="P154"/>
      <c r="Q154"/>
      <c r="R154"/>
      <c r="S154"/>
      <c r="T154"/>
      <c r="U154"/>
      <c r="V154"/>
      <c r="W154"/>
    </row>
    <row r="155" spans="2:23" outlineLevel="1">
      <c r="B155" s="230" t="s">
        <v>1276</v>
      </c>
      <c r="C155" s="231" t="s">
        <v>1301</v>
      </c>
      <c r="D155" s="232"/>
      <c r="E155" s="233"/>
      <c r="F155" s="234"/>
      <c r="G155"/>
      <c r="H155"/>
      <c r="I155"/>
      <c r="J155"/>
      <c r="K155"/>
      <c r="L155"/>
      <c r="M155"/>
      <c r="N155"/>
      <c r="O155"/>
      <c r="P155"/>
      <c r="Q155"/>
      <c r="R155"/>
      <c r="S155"/>
      <c r="T155"/>
      <c r="U155"/>
      <c r="V155"/>
      <c r="W155"/>
    </row>
    <row r="156" spans="2:23" outlineLevel="1">
      <c r="B156" s="230" t="s">
        <v>73</v>
      </c>
      <c r="C156" s="231" t="s">
        <v>1278</v>
      </c>
      <c r="D156" s="232" t="s">
        <v>1279</v>
      </c>
      <c r="E156" s="233" t="s">
        <v>1283</v>
      </c>
      <c r="F156" s="234"/>
      <c r="G156"/>
      <c r="H156"/>
      <c r="I156"/>
      <c r="J156"/>
      <c r="K156"/>
      <c r="L156"/>
      <c r="M156"/>
      <c r="N156"/>
      <c r="O156"/>
      <c r="P156"/>
      <c r="Q156"/>
      <c r="R156"/>
      <c r="S156"/>
      <c r="T156"/>
      <c r="U156"/>
      <c r="V156"/>
      <c r="W156"/>
    </row>
    <row r="157" spans="2:23" outlineLevel="1">
      <c r="B157" s="230" t="s">
        <v>73</v>
      </c>
      <c r="C157" s="231" t="s">
        <v>1278</v>
      </c>
      <c r="D157" s="232" t="s">
        <v>1279</v>
      </c>
      <c r="E157" s="233" t="s">
        <v>1297</v>
      </c>
      <c r="F157" s="234"/>
      <c r="G157"/>
      <c r="H157"/>
      <c r="I157"/>
      <c r="J157"/>
      <c r="K157"/>
      <c r="L157"/>
      <c r="M157"/>
      <c r="N157"/>
      <c r="O157"/>
      <c r="P157"/>
      <c r="Q157"/>
      <c r="R157"/>
      <c r="S157"/>
      <c r="T157"/>
      <c r="U157"/>
      <c r="V157"/>
      <c r="W157"/>
    </row>
    <row r="158" spans="2:23" outlineLevel="1">
      <c r="B158" s="230" t="s">
        <v>828</v>
      </c>
      <c r="C158" s="231"/>
      <c r="D158" s="233">
        <v>200</v>
      </c>
      <c r="E158" s="233"/>
      <c r="F158" s="234"/>
      <c r="G158"/>
      <c r="H158"/>
      <c r="I158"/>
      <c r="J158"/>
      <c r="K158"/>
      <c r="L158"/>
      <c r="M158"/>
      <c r="N158"/>
      <c r="O158"/>
      <c r="P158"/>
      <c r="Q158"/>
      <c r="R158"/>
      <c r="S158"/>
      <c r="T158"/>
      <c r="U158"/>
      <c r="V158"/>
      <c r="W158"/>
    </row>
    <row r="159" spans="2:23" outlineLevel="1">
      <c r="B159" s="230" t="s">
        <v>1276</v>
      </c>
      <c r="C159" s="231" t="s">
        <v>1305</v>
      </c>
      <c r="D159" s="232"/>
      <c r="E159" s="233"/>
      <c r="F159" s="234"/>
      <c r="G159"/>
      <c r="H159"/>
      <c r="I159"/>
      <c r="J159"/>
      <c r="K159"/>
      <c r="L159"/>
      <c r="M159"/>
      <c r="N159"/>
      <c r="O159"/>
      <c r="P159"/>
      <c r="Q159"/>
      <c r="R159"/>
      <c r="S159"/>
      <c r="T159"/>
      <c r="U159"/>
      <c r="V159"/>
      <c r="W159"/>
    </row>
    <row r="160" spans="2:23" outlineLevel="1">
      <c r="B160" s="230" t="s">
        <v>73</v>
      </c>
      <c r="C160" s="231" t="s">
        <v>1278</v>
      </c>
      <c r="D160" s="232" t="s">
        <v>1279</v>
      </c>
      <c r="E160" s="233" t="s">
        <v>1283</v>
      </c>
      <c r="F160" s="234"/>
      <c r="G160"/>
      <c r="H160"/>
      <c r="I160"/>
      <c r="J160"/>
      <c r="K160"/>
      <c r="L160"/>
      <c r="M160"/>
      <c r="N160"/>
      <c r="O160"/>
      <c r="P160"/>
      <c r="Q160"/>
      <c r="R160"/>
      <c r="S160"/>
      <c r="T160"/>
      <c r="U160"/>
      <c r="V160"/>
      <c r="W160"/>
    </row>
    <row r="161" spans="2:23" outlineLevel="1">
      <c r="B161" s="230" t="s">
        <v>73</v>
      </c>
      <c r="C161" s="231" t="s">
        <v>1278</v>
      </c>
      <c r="D161" s="232" t="s">
        <v>1279</v>
      </c>
      <c r="E161" s="233" t="s">
        <v>1302</v>
      </c>
      <c r="F161" s="234"/>
      <c r="G161"/>
      <c r="H161"/>
      <c r="I161"/>
      <c r="J161"/>
      <c r="K161"/>
      <c r="L161"/>
      <c r="M161"/>
      <c r="N161"/>
      <c r="O161"/>
      <c r="P161"/>
      <c r="Q161"/>
      <c r="R161"/>
      <c r="S161"/>
      <c r="T161"/>
      <c r="U161"/>
      <c r="V161"/>
      <c r="W161"/>
    </row>
    <row r="162" spans="2:23" outlineLevel="1">
      <c r="B162" s="230" t="s">
        <v>828</v>
      </c>
      <c r="C162" s="231"/>
      <c r="D162" s="233">
        <v>200</v>
      </c>
      <c r="E162" s="233"/>
      <c r="F162" s="234"/>
      <c r="G162"/>
      <c r="H162"/>
      <c r="I162"/>
      <c r="J162"/>
      <c r="K162"/>
      <c r="L162"/>
      <c r="M162"/>
      <c r="N162"/>
      <c r="O162"/>
      <c r="P162"/>
      <c r="Q162"/>
      <c r="R162"/>
      <c r="S162"/>
      <c r="T162"/>
      <c r="U162"/>
      <c r="V162"/>
      <c r="W162"/>
    </row>
    <row r="163" spans="2:23" outlineLevel="1">
      <c r="B163" s="230" t="s">
        <v>1276</v>
      </c>
      <c r="C163" s="231" t="s">
        <v>1306</v>
      </c>
      <c r="D163" s="232"/>
      <c r="E163" s="233"/>
      <c r="F163" s="234"/>
      <c r="G163"/>
      <c r="H163"/>
      <c r="I163"/>
      <c r="J163"/>
      <c r="K163"/>
      <c r="L163"/>
      <c r="M163"/>
      <c r="N163"/>
      <c r="O163"/>
      <c r="P163"/>
      <c r="Q163"/>
      <c r="R163"/>
      <c r="S163"/>
      <c r="T163"/>
      <c r="U163"/>
      <c r="V163"/>
      <c r="W163"/>
    </row>
    <row r="164" spans="2:23" outlineLevel="1">
      <c r="B164" s="230" t="s">
        <v>73</v>
      </c>
      <c r="C164" s="231" t="s">
        <v>1278</v>
      </c>
      <c r="D164" s="232" t="s">
        <v>1279</v>
      </c>
      <c r="E164" s="233" t="s">
        <v>825</v>
      </c>
      <c r="F164" s="234"/>
      <c r="G164"/>
      <c r="H164"/>
      <c r="I164"/>
      <c r="J164"/>
      <c r="K164"/>
      <c r="L164"/>
      <c r="M164"/>
      <c r="N164"/>
      <c r="O164"/>
      <c r="P164"/>
      <c r="Q164"/>
      <c r="R164"/>
      <c r="S164"/>
      <c r="T164"/>
      <c r="U164"/>
      <c r="V164"/>
      <c r="W164"/>
    </row>
    <row r="165" spans="2:23" outlineLevel="1">
      <c r="B165" s="230" t="s">
        <v>73</v>
      </c>
      <c r="C165" s="231" t="s">
        <v>1278</v>
      </c>
      <c r="D165" s="232" t="s">
        <v>1279</v>
      </c>
      <c r="E165" s="233" t="s">
        <v>829</v>
      </c>
      <c r="F165" s="234"/>
      <c r="G165"/>
      <c r="H165"/>
      <c r="I165"/>
      <c r="J165"/>
      <c r="K165"/>
      <c r="L165"/>
      <c r="M165"/>
      <c r="N165"/>
      <c r="O165"/>
      <c r="P165"/>
      <c r="Q165"/>
      <c r="R165"/>
      <c r="S165"/>
      <c r="T165"/>
      <c r="U165"/>
      <c r="V165"/>
      <c r="W165"/>
    </row>
    <row r="166" spans="2:23" outlineLevel="1">
      <c r="B166" s="230" t="s">
        <v>828</v>
      </c>
      <c r="C166" s="231"/>
      <c r="D166" s="233">
        <v>120000</v>
      </c>
      <c r="E166" s="233"/>
      <c r="F166" s="234"/>
      <c r="G166"/>
      <c r="H166"/>
      <c r="I166"/>
      <c r="J166"/>
      <c r="K166"/>
      <c r="L166"/>
      <c r="M166"/>
      <c r="N166"/>
      <c r="O166"/>
      <c r="P166"/>
      <c r="Q166"/>
      <c r="R166"/>
      <c r="S166"/>
      <c r="T166"/>
      <c r="U166"/>
      <c r="V166"/>
      <c r="W166"/>
    </row>
    <row r="167" spans="2:23" outlineLevel="1">
      <c r="B167" s="230" t="s">
        <v>1276</v>
      </c>
      <c r="C167" s="231" t="s">
        <v>1307</v>
      </c>
      <c r="D167" s="232"/>
      <c r="E167" s="233"/>
      <c r="F167" s="234"/>
      <c r="G167"/>
      <c r="H167"/>
      <c r="I167"/>
      <c r="J167"/>
      <c r="K167"/>
      <c r="L167"/>
      <c r="M167"/>
      <c r="N167"/>
      <c r="O167"/>
      <c r="P167"/>
      <c r="Q167"/>
      <c r="R167"/>
      <c r="S167"/>
      <c r="T167"/>
      <c r="U167"/>
      <c r="V167"/>
      <c r="W167"/>
    </row>
    <row r="168" spans="2:23" outlineLevel="1">
      <c r="B168" s="230" t="s">
        <v>73</v>
      </c>
      <c r="C168" s="231" t="s">
        <v>1278</v>
      </c>
      <c r="D168" s="232" t="s">
        <v>1279</v>
      </c>
      <c r="E168" s="233" t="s">
        <v>1303</v>
      </c>
      <c r="F168" s="234"/>
      <c r="G168"/>
      <c r="H168"/>
      <c r="I168"/>
      <c r="J168"/>
      <c r="K168"/>
      <c r="L168"/>
      <c r="M168"/>
      <c r="N168"/>
      <c r="O168"/>
      <c r="P168"/>
      <c r="Q168"/>
      <c r="R168"/>
      <c r="S168"/>
      <c r="T168"/>
      <c r="U168"/>
      <c r="V168"/>
      <c r="W168"/>
    </row>
    <row r="169" spans="2:23" outlineLevel="1">
      <c r="B169" s="230" t="s">
        <v>73</v>
      </c>
      <c r="C169" s="231" t="s">
        <v>1278</v>
      </c>
      <c r="D169" s="232" t="s">
        <v>1279</v>
      </c>
      <c r="E169" s="233" t="s">
        <v>1304</v>
      </c>
      <c r="F169" s="234"/>
      <c r="G169"/>
      <c r="H169"/>
      <c r="I169"/>
      <c r="J169"/>
      <c r="K169"/>
      <c r="L169"/>
      <c r="M169"/>
      <c r="N169"/>
      <c r="O169"/>
      <c r="P169"/>
      <c r="Q169"/>
      <c r="R169"/>
      <c r="S169"/>
      <c r="T169"/>
      <c r="U169"/>
      <c r="V169"/>
      <c r="W169"/>
    </row>
    <row r="170" spans="2:23" outlineLevel="1">
      <c r="B170" s="230" t="s">
        <v>828</v>
      </c>
      <c r="C170" s="231"/>
      <c r="D170" s="233">
        <v>200</v>
      </c>
      <c r="E170" s="233"/>
      <c r="F170" s="234"/>
      <c r="G170"/>
      <c r="H170"/>
      <c r="I170"/>
      <c r="J170"/>
      <c r="K170"/>
      <c r="L170"/>
      <c r="M170"/>
      <c r="N170"/>
      <c r="O170"/>
      <c r="P170"/>
      <c r="Q170"/>
      <c r="R170"/>
      <c r="S170"/>
      <c r="T170"/>
      <c r="U170"/>
      <c r="V170"/>
      <c r="W170"/>
    </row>
    <row r="171" spans="2:23" outlineLevel="1">
      <c r="B171" s="230" t="s">
        <v>1276</v>
      </c>
      <c r="C171" s="231" t="s">
        <v>1308</v>
      </c>
      <c r="D171" s="232"/>
      <c r="E171" s="233"/>
      <c r="F171" s="234"/>
      <c r="G171"/>
      <c r="H171"/>
      <c r="I171"/>
      <c r="J171"/>
      <c r="K171"/>
      <c r="L171"/>
      <c r="M171"/>
      <c r="N171"/>
      <c r="O171"/>
      <c r="P171"/>
      <c r="Q171"/>
      <c r="R171"/>
      <c r="S171"/>
      <c r="T171"/>
      <c r="U171"/>
      <c r="V171"/>
      <c r="W171"/>
    </row>
    <row r="172" spans="2:23" outlineLevel="1">
      <c r="B172" s="230" t="s">
        <v>73</v>
      </c>
      <c r="C172" s="231" t="s">
        <v>1278</v>
      </c>
      <c r="D172" s="232" t="s">
        <v>1279</v>
      </c>
      <c r="E172" s="233" t="s">
        <v>1309</v>
      </c>
      <c r="F172" s="234"/>
      <c r="G172"/>
      <c r="H172"/>
      <c r="I172"/>
      <c r="J172"/>
      <c r="K172"/>
      <c r="L172"/>
      <c r="M172"/>
      <c r="N172"/>
      <c r="O172"/>
      <c r="P172"/>
      <c r="Q172"/>
      <c r="R172"/>
      <c r="S172"/>
      <c r="T172"/>
      <c r="U172"/>
      <c r="V172"/>
      <c r="W172"/>
    </row>
    <row r="173" spans="2:23" outlineLevel="1">
      <c r="B173" s="230" t="s">
        <v>73</v>
      </c>
      <c r="C173" s="231" t="s">
        <v>1278</v>
      </c>
      <c r="D173" s="232" t="s">
        <v>1279</v>
      </c>
      <c r="E173" s="233" t="s">
        <v>718</v>
      </c>
      <c r="F173" s="234"/>
      <c r="G173"/>
      <c r="H173"/>
      <c r="I173"/>
      <c r="J173"/>
      <c r="K173"/>
      <c r="L173"/>
      <c r="M173"/>
      <c r="N173"/>
      <c r="O173"/>
      <c r="P173"/>
      <c r="Q173"/>
      <c r="R173"/>
      <c r="S173"/>
      <c r="T173"/>
      <c r="U173"/>
      <c r="V173"/>
      <c r="W173"/>
    </row>
    <row r="174" spans="2:23" outlineLevel="1">
      <c r="B174" s="230" t="s">
        <v>73</v>
      </c>
      <c r="C174" s="231" t="s">
        <v>1278</v>
      </c>
      <c r="D174" s="232" t="s">
        <v>1279</v>
      </c>
      <c r="E174" s="233" t="s">
        <v>1310</v>
      </c>
      <c r="F174" s="234"/>
      <c r="G174"/>
      <c r="H174"/>
      <c r="I174"/>
      <c r="J174"/>
      <c r="K174"/>
      <c r="L174"/>
      <c r="M174"/>
      <c r="N174"/>
      <c r="O174"/>
      <c r="P174"/>
      <c r="Q174"/>
      <c r="R174"/>
      <c r="S174"/>
      <c r="T174"/>
      <c r="U174"/>
      <c r="V174"/>
      <c r="W174"/>
    </row>
    <row r="175" spans="2:23" outlineLevel="1">
      <c r="B175" s="230" t="s">
        <v>73</v>
      </c>
      <c r="C175" s="231" t="s">
        <v>1278</v>
      </c>
      <c r="D175" s="232" t="s">
        <v>1279</v>
      </c>
      <c r="E175" s="233" t="s">
        <v>1311</v>
      </c>
      <c r="F175" s="234"/>
      <c r="G175"/>
      <c r="H175"/>
      <c r="I175"/>
      <c r="J175"/>
      <c r="K175"/>
      <c r="L175"/>
      <c r="M175"/>
      <c r="N175"/>
      <c r="O175"/>
      <c r="P175"/>
      <c r="Q175"/>
      <c r="R175"/>
      <c r="S175"/>
      <c r="T175"/>
      <c r="U175"/>
      <c r="V175"/>
      <c r="W175"/>
    </row>
    <row r="176" spans="2:23" outlineLevel="1">
      <c r="B176" s="230" t="s">
        <v>73</v>
      </c>
      <c r="C176" s="231" t="s">
        <v>1278</v>
      </c>
      <c r="D176" s="232" t="s">
        <v>1279</v>
      </c>
      <c r="E176" s="233" t="s">
        <v>1312</v>
      </c>
      <c r="F176" s="234"/>
      <c r="G176"/>
      <c r="H176"/>
      <c r="I176"/>
      <c r="J176"/>
      <c r="K176"/>
      <c r="L176"/>
      <c r="M176"/>
      <c r="N176"/>
      <c r="O176"/>
      <c r="P176"/>
      <c r="Q176"/>
      <c r="R176"/>
      <c r="S176"/>
      <c r="T176"/>
      <c r="U176"/>
      <c r="V176"/>
      <c r="W176"/>
    </row>
    <row r="177" spans="2:23" outlineLevel="1">
      <c r="B177" s="230" t="s">
        <v>73</v>
      </c>
      <c r="C177" s="231" t="s">
        <v>1278</v>
      </c>
      <c r="D177" s="232" t="s">
        <v>1279</v>
      </c>
      <c r="E177" s="233" t="s">
        <v>1313</v>
      </c>
      <c r="F177" s="234"/>
      <c r="G177"/>
      <c r="H177"/>
      <c r="I177"/>
      <c r="J177"/>
      <c r="K177"/>
      <c r="L177"/>
      <c r="M177"/>
      <c r="N177"/>
      <c r="O177"/>
      <c r="P177"/>
      <c r="Q177"/>
      <c r="R177"/>
      <c r="S177"/>
      <c r="T177"/>
      <c r="U177"/>
      <c r="V177"/>
      <c r="W177"/>
    </row>
    <row r="178" spans="2:23" outlineLevel="1">
      <c r="B178" s="230" t="s">
        <v>73</v>
      </c>
      <c r="C178" s="231" t="s">
        <v>1278</v>
      </c>
      <c r="D178" s="232" t="s">
        <v>1279</v>
      </c>
      <c r="E178" s="233" t="s">
        <v>1314</v>
      </c>
      <c r="F178" s="234"/>
      <c r="G178"/>
      <c r="H178"/>
      <c r="I178"/>
      <c r="J178"/>
      <c r="K178"/>
      <c r="L178"/>
      <c r="M178"/>
      <c r="N178"/>
      <c r="O178"/>
      <c r="P178"/>
      <c r="Q178"/>
      <c r="R178"/>
      <c r="S178"/>
      <c r="T178"/>
      <c r="U178"/>
      <c r="V178"/>
      <c r="W178"/>
    </row>
    <row r="179" spans="2:23" outlineLevel="1">
      <c r="B179" s="230" t="s">
        <v>73</v>
      </c>
      <c r="C179" s="231" t="s">
        <v>1278</v>
      </c>
      <c r="D179" s="232" t="s">
        <v>1279</v>
      </c>
      <c r="E179" s="233" t="s">
        <v>1315</v>
      </c>
      <c r="F179" s="234"/>
      <c r="G179"/>
      <c r="H179"/>
      <c r="I179"/>
      <c r="J179"/>
      <c r="K179"/>
      <c r="L179"/>
      <c r="M179"/>
      <c r="N179"/>
      <c r="O179"/>
      <c r="P179"/>
      <c r="Q179"/>
      <c r="R179"/>
      <c r="S179"/>
      <c r="T179"/>
      <c r="U179"/>
      <c r="V179"/>
      <c r="W179"/>
    </row>
    <row r="180" spans="2:23" outlineLevel="1">
      <c r="B180" s="230" t="s">
        <v>73</v>
      </c>
      <c r="C180" s="231" t="s">
        <v>1278</v>
      </c>
      <c r="D180" s="232" t="s">
        <v>1279</v>
      </c>
      <c r="E180" s="233" t="s">
        <v>1316</v>
      </c>
      <c r="F180" s="234"/>
      <c r="G180"/>
      <c r="H180"/>
      <c r="I180"/>
      <c r="J180"/>
      <c r="K180"/>
      <c r="L180"/>
      <c r="M180"/>
      <c r="N180"/>
      <c r="O180"/>
      <c r="P180"/>
      <c r="Q180"/>
      <c r="R180"/>
      <c r="S180"/>
      <c r="T180"/>
      <c r="U180"/>
      <c r="V180"/>
      <c r="W180"/>
    </row>
    <row r="181" spans="2:23" outlineLevel="1">
      <c r="B181" s="230" t="s">
        <v>73</v>
      </c>
      <c r="C181" s="231" t="s">
        <v>1278</v>
      </c>
      <c r="D181" s="232" t="s">
        <v>1279</v>
      </c>
      <c r="E181" s="233" t="s">
        <v>1317</v>
      </c>
      <c r="F181" s="234"/>
      <c r="G181"/>
      <c r="H181"/>
      <c r="I181"/>
      <c r="J181"/>
      <c r="K181"/>
      <c r="L181"/>
      <c r="M181"/>
      <c r="N181"/>
      <c r="O181"/>
      <c r="P181"/>
      <c r="Q181"/>
      <c r="R181"/>
      <c r="S181"/>
      <c r="T181"/>
      <c r="U181"/>
      <c r="V181"/>
      <c r="W181"/>
    </row>
    <row r="182" spans="2:23" outlineLevel="1">
      <c r="B182" s="230" t="s">
        <v>73</v>
      </c>
      <c r="C182" s="231" t="s">
        <v>1278</v>
      </c>
      <c r="D182" s="232" t="s">
        <v>1279</v>
      </c>
      <c r="E182" s="233" t="s">
        <v>1318</v>
      </c>
      <c r="F182" s="234"/>
      <c r="G182"/>
      <c r="H182"/>
      <c r="I182"/>
      <c r="J182"/>
      <c r="K182"/>
      <c r="L182"/>
      <c r="M182"/>
      <c r="N182"/>
      <c r="O182"/>
      <c r="P182"/>
      <c r="Q182"/>
      <c r="R182"/>
      <c r="S182"/>
      <c r="T182"/>
      <c r="U182"/>
      <c r="V182"/>
      <c r="W182"/>
    </row>
    <row r="183" spans="2:23" outlineLevel="1">
      <c r="B183" s="230" t="s">
        <v>73</v>
      </c>
      <c r="C183" s="231" t="s">
        <v>1278</v>
      </c>
      <c r="D183" s="232" t="s">
        <v>1279</v>
      </c>
      <c r="E183" s="233" t="s">
        <v>780</v>
      </c>
      <c r="F183" s="234"/>
      <c r="G183"/>
      <c r="H183"/>
      <c r="I183"/>
      <c r="J183"/>
      <c r="K183"/>
      <c r="L183"/>
      <c r="M183"/>
      <c r="N183"/>
      <c r="O183"/>
      <c r="P183"/>
      <c r="Q183"/>
      <c r="R183"/>
      <c r="S183"/>
      <c r="T183"/>
      <c r="U183"/>
      <c r="V183"/>
      <c r="W183"/>
    </row>
    <row r="184" spans="2:23" outlineLevel="1">
      <c r="B184" s="235"/>
      <c r="C184" s="236"/>
      <c r="D184" s="237"/>
      <c r="E184" s="238"/>
      <c r="F184" s="234"/>
      <c r="G184"/>
      <c r="H184"/>
      <c r="I184"/>
      <c r="J184"/>
      <c r="K184"/>
      <c r="L184"/>
      <c r="M184"/>
      <c r="N184"/>
      <c r="O184"/>
      <c r="P184"/>
      <c r="Q184"/>
      <c r="R184"/>
      <c r="S184"/>
      <c r="T184"/>
      <c r="U184"/>
      <c r="V184"/>
      <c r="W184"/>
    </row>
    <row r="185" spans="2:23" outlineLevel="1">
      <c r="B185" s="230"/>
      <c r="C185" s="231"/>
      <c r="D185" s="232"/>
      <c r="E185" s="233"/>
      <c r="F185" s="234"/>
      <c r="G185"/>
      <c r="H185"/>
      <c r="I185"/>
      <c r="J185"/>
      <c r="K185"/>
      <c r="L185"/>
      <c r="M185"/>
      <c r="N185"/>
      <c r="O185"/>
      <c r="P185"/>
      <c r="Q185"/>
      <c r="R185"/>
      <c r="S185"/>
      <c r="T185"/>
      <c r="U185"/>
      <c r="V185"/>
      <c r="W185"/>
    </row>
    <row r="186" spans="2:23" outlineLevel="1">
      <c r="B186" s="235"/>
      <c r="C186" s="236"/>
      <c r="D186" s="237"/>
      <c r="E186" s="238"/>
      <c r="F186" s="234"/>
      <c r="G186"/>
      <c r="H186"/>
      <c r="I186"/>
      <c r="J186"/>
      <c r="K186"/>
      <c r="L186"/>
      <c r="M186"/>
      <c r="N186"/>
      <c r="O186"/>
      <c r="P186"/>
      <c r="Q186"/>
      <c r="R186"/>
      <c r="S186"/>
      <c r="T186"/>
      <c r="U186"/>
      <c r="V186"/>
      <c r="W186"/>
    </row>
    <row r="187" spans="2:23" outlineLevel="1">
      <c r="B187" s="230"/>
      <c r="C187" s="231"/>
      <c r="D187" s="232"/>
      <c r="E187" s="233"/>
      <c r="F187" s="234"/>
      <c r="G187"/>
      <c r="H187"/>
      <c r="I187"/>
      <c r="J187"/>
      <c r="K187"/>
      <c r="L187"/>
      <c r="M187"/>
      <c r="N187"/>
      <c r="O187"/>
      <c r="P187"/>
      <c r="Q187"/>
      <c r="R187"/>
      <c r="S187"/>
      <c r="T187"/>
      <c r="U187"/>
      <c r="V187"/>
      <c r="W187"/>
    </row>
    <row r="188" spans="2:23" outlineLevel="1">
      <c r="B188" s="235"/>
      <c r="C188" s="236"/>
      <c r="D188" s="237"/>
      <c r="E188" s="238"/>
      <c r="F188" s="234"/>
      <c r="G188"/>
      <c r="H188"/>
      <c r="I188"/>
      <c r="J188"/>
      <c r="K188"/>
      <c r="L188"/>
      <c r="M188"/>
      <c r="N188"/>
      <c r="O188"/>
      <c r="P188"/>
      <c r="Q188"/>
      <c r="R188"/>
      <c r="S188"/>
      <c r="T188"/>
      <c r="U188"/>
      <c r="V188"/>
      <c r="W188"/>
    </row>
    <row r="189" spans="2:23" outlineLevel="1">
      <c r="B189" s="230"/>
      <c r="C189" s="231"/>
      <c r="D189" s="232"/>
      <c r="E189" s="233"/>
      <c r="F189" s="234"/>
      <c r="G189"/>
      <c r="H189"/>
      <c r="I189"/>
      <c r="J189"/>
      <c r="K189"/>
      <c r="L189"/>
      <c r="M189"/>
      <c r="N189"/>
      <c r="O189"/>
      <c r="P189"/>
      <c r="Q189"/>
      <c r="R189"/>
      <c r="S189"/>
      <c r="T189"/>
      <c r="U189"/>
      <c r="V189"/>
      <c r="W189"/>
    </row>
    <row r="190" spans="2:23" outlineLevel="1">
      <c r="B190" s="235"/>
      <c r="C190" s="236"/>
      <c r="D190" s="237"/>
      <c r="E190" s="238"/>
      <c r="F190" s="234"/>
      <c r="G190"/>
      <c r="H190"/>
      <c r="I190"/>
      <c r="J190"/>
      <c r="K190"/>
      <c r="L190"/>
      <c r="M190"/>
      <c r="N190"/>
      <c r="O190"/>
      <c r="P190"/>
      <c r="Q190"/>
      <c r="R190"/>
      <c r="S190"/>
      <c r="T190"/>
      <c r="U190"/>
      <c r="V190"/>
      <c r="W190"/>
    </row>
    <row r="191" spans="2:23" outlineLevel="1">
      <c r="B191" s="230"/>
      <c r="C191" s="231"/>
      <c r="D191" s="232"/>
      <c r="E191" s="233"/>
      <c r="F191" s="234"/>
      <c r="G191"/>
      <c r="H191"/>
      <c r="I191"/>
      <c r="J191"/>
      <c r="K191"/>
      <c r="L191"/>
      <c r="M191"/>
      <c r="N191"/>
      <c r="O191"/>
      <c r="P191"/>
      <c r="Q191"/>
      <c r="R191"/>
      <c r="S191"/>
      <c r="T191"/>
      <c r="U191"/>
      <c r="V191"/>
      <c r="W191"/>
    </row>
    <row r="192" spans="2:23" outlineLevel="1">
      <c r="B192" s="235"/>
      <c r="C192" s="236"/>
      <c r="D192" s="237"/>
      <c r="E192" s="238"/>
      <c r="F192" s="234"/>
      <c r="G192"/>
      <c r="H192"/>
      <c r="I192"/>
      <c r="J192"/>
      <c r="K192"/>
      <c r="L192"/>
      <c r="M192"/>
      <c r="N192"/>
      <c r="O192"/>
      <c r="P192"/>
      <c r="Q192"/>
      <c r="R192"/>
      <c r="S192"/>
      <c r="T192"/>
      <c r="U192"/>
      <c r="V192"/>
      <c r="W192"/>
    </row>
    <row r="193" spans="2:23" outlineLevel="1">
      <c r="B193" s="230"/>
      <c r="C193" s="231"/>
      <c r="D193" s="232"/>
      <c r="E193" s="233"/>
      <c r="F193" s="234"/>
      <c r="G193"/>
      <c r="H193"/>
      <c r="I193"/>
      <c r="J193"/>
      <c r="K193"/>
      <c r="L193"/>
      <c r="M193"/>
      <c r="N193"/>
      <c r="O193"/>
      <c r="P193"/>
      <c r="Q193"/>
      <c r="R193"/>
      <c r="S193"/>
      <c r="T193"/>
      <c r="U193"/>
      <c r="V193"/>
      <c r="W193"/>
    </row>
    <row r="194" spans="2:23" outlineLevel="1">
      <c r="B194" s="235"/>
      <c r="C194" s="236"/>
      <c r="D194" s="237"/>
      <c r="E194" s="238"/>
      <c r="F194" s="234"/>
      <c r="G194"/>
      <c r="H194"/>
      <c r="I194"/>
      <c r="J194"/>
      <c r="K194"/>
      <c r="L194"/>
      <c r="M194"/>
      <c r="N194"/>
      <c r="O194"/>
      <c r="P194"/>
      <c r="Q194"/>
      <c r="R194"/>
      <c r="S194"/>
      <c r="T194"/>
      <c r="U194"/>
      <c r="V194"/>
      <c r="W194"/>
    </row>
    <row r="195" spans="2:23" outlineLevel="1">
      <c r="B195" s="230"/>
      <c r="C195" s="231"/>
      <c r="D195" s="232"/>
      <c r="E195" s="233"/>
      <c r="F195" s="234"/>
      <c r="G195"/>
      <c r="H195"/>
      <c r="I195"/>
      <c r="J195"/>
      <c r="K195"/>
      <c r="L195"/>
      <c r="M195"/>
      <c r="N195"/>
      <c r="O195"/>
      <c r="P195"/>
      <c r="Q195"/>
      <c r="R195"/>
      <c r="S195"/>
      <c r="T195"/>
      <c r="U195"/>
      <c r="V195"/>
      <c r="W195"/>
    </row>
    <row r="196" spans="2:23" outlineLevel="1">
      <c r="B196" s="235"/>
      <c r="C196" s="236"/>
      <c r="D196" s="237"/>
      <c r="E196" s="238"/>
      <c r="F196" s="234"/>
      <c r="G196"/>
      <c r="H196"/>
      <c r="I196"/>
      <c r="J196"/>
      <c r="K196"/>
      <c r="L196"/>
      <c r="M196"/>
      <c r="N196"/>
      <c r="O196"/>
      <c r="P196"/>
      <c r="Q196"/>
      <c r="R196"/>
      <c r="S196"/>
      <c r="T196"/>
      <c r="U196"/>
      <c r="V196"/>
      <c r="W196"/>
    </row>
    <row r="197" spans="2:23" outlineLevel="1">
      <c r="B197" s="230"/>
      <c r="C197" s="231"/>
      <c r="D197" s="232"/>
      <c r="E197" s="233"/>
      <c r="F197" s="234"/>
      <c r="G197"/>
      <c r="H197"/>
      <c r="I197"/>
      <c r="J197"/>
      <c r="K197"/>
      <c r="L197"/>
      <c r="M197"/>
      <c r="N197"/>
      <c r="O197"/>
      <c r="P197"/>
      <c r="Q197"/>
      <c r="R197"/>
      <c r="S197"/>
      <c r="T197"/>
      <c r="U197"/>
      <c r="V197"/>
      <c r="W197"/>
    </row>
    <row r="198" spans="2:23" outlineLevel="1">
      <c r="B198" s="235"/>
      <c r="C198" s="236"/>
      <c r="D198" s="237"/>
      <c r="E198" s="238"/>
      <c r="F198" s="234"/>
      <c r="G198"/>
      <c r="H198"/>
      <c r="I198"/>
      <c r="J198"/>
      <c r="K198"/>
      <c r="L198"/>
      <c r="M198"/>
      <c r="N198"/>
      <c r="O198"/>
      <c r="P198"/>
      <c r="Q198"/>
      <c r="R198"/>
      <c r="S198"/>
      <c r="T198"/>
      <c r="U198"/>
      <c r="V198"/>
      <c r="W198"/>
    </row>
    <row r="199" spans="2:23" outlineLevel="1">
      <c r="B199" s="230"/>
      <c r="C199" s="231"/>
      <c r="D199" s="232"/>
      <c r="E199" s="233"/>
      <c r="F199" s="234"/>
      <c r="G199"/>
      <c r="H199"/>
      <c r="I199"/>
      <c r="J199"/>
      <c r="K199"/>
      <c r="L199"/>
      <c r="M199"/>
      <c r="N199"/>
      <c r="O199"/>
      <c r="P199"/>
      <c r="Q199"/>
      <c r="R199"/>
      <c r="S199"/>
      <c r="T199"/>
      <c r="U199"/>
      <c r="V199"/>
      <c r="W199"/>
    </row>
    <row r="200" spans="2:23" outlineLevel="1">
      <c r="B200" s="235"/>
      <c r="C200" s="236"/>
      <c r="D200" s="237"/>
      <c r="E200" s="238"/>
      <c r="F200" s="234"/>
      <c r="G200"/>
      <c r="H200"/>
      <c r="I200"/>
      <c r="J200"/>
      <c r="K200"/>
      <c r="L200"/>
      <c r="M200"/>
      <c r="N200"/>
      <c r="O200"/>
      <c r="P200"/>
      <c r="Q200"/>
      <c r="R200"/>
      <c r="S200"/>
      <c r="T200"/>
      <c r="U200"/>
      <c r="V200"/>
      <c r="W200"/>
    </row>
    <row r="201" spans="2:23" outlineLevel="1">
      <c r="B201" s="230"/>
      <c r="C201" s="231"/>
      <c r="D201" s="232"/>
      <c r="E201" s="233"/>
      <c r="F201" s="234"/>
      <c r="G201"/>
      <c r="H201"/>
      <c r="I201"/>
      <c r="J201"/>
      <c r="K201"/>
      <c r="L201"/>
      <c r="M201"/>
      <c r="N201"/>
      <c r="O201"/>
      <c r="P201"/>
      <c r="Q201"/>
      <c r="R201"/>
      <c r="S201"/>
      <c r="T201"/>
      <c r="U201"/>
      <c r="V201"/>
      <c r="W201"/>
    </row>
    <row r="202" spans="2:23" outlineLevel="1">
      <c r="B202" s="235"/>
      <c r="C202" s="236"/>
      <c r="D202" s="237"/>
      <c r="E202" s="238"/>
      <c r="F202" s="234"/>
      <c r="G202"/>
      <c r="H202"/>
      <c r="I202"/>
      <c r="J202"/>
      <c r="K202"/>
      <c r="L202"/>
      <c r="M202"/>
      <c r="N202"/>
      <c r="O202"/>
      <c r="P202"/>
      <c r="Q202"/>
      <c r="R202"/>
      <c r="S202"/>
      <c r="T202"/>
      <c r="U202"/>
      <c r="V202"/>
      <c r="W202"/>
    </row>
    <row r="203" spans="2:23" outlineLevel="1">
      <c r="B203" s="230"/>
      <c r="C203" s="231"/>
      <c r="D203" s="232"/>
      <c r="E203" s="233"/>
      <c r="F203" s="234"/>
      <c r="G203"/>
      <c r="H203"/>
      <c r="I203"/>
      <c r="J203"/>
      <c r="K203"/>
      <c r="L203"/>
      <c r="M203"/>
      <c r="N203"/>
      <c r="O203"/>
      <c r="P203"/>
      <c r="Q203"/>
      <c r="R203"/>
      <c r="S203"/>
      <c r="T203"/>
      <c r="U203"/>
      <c r="V203"/>
      <c r="W203"/>
    </row>
    <row r="204" spans="2:23" outlineLevel="1">
      <c r="B204" s="235"/>
      <c r="C204" s="236"/>
      <c r="D204" s="237"/>
      <c r="E204" s="238"/>
      <c r="F204" s="234"/>
      <c r="G204"/>
      <c r="H204"/>
      <c r="I204"/>
      <c r="J204"/>
      <c r="K204"/>
      <c r="L204"/>
      <c r="M204"/>
      <c r="N204"/>
      <c r="O204"/>
      <c r="P204"/>
      <c r="Q204"/>
      <c r="R204"/>
      <c r="S204"/>
      <c r="T204"/>
      <c r="U204"/>
      <c r="V204"/>
      <c r="W204"/>
    </row>
    <row r="205" spans="2:23" outlineLevel="1">
      <c r="B205" s="230"/>
      <c r="C205" s="231"/>
      <c r="D205" s="232"/>
      <c r="E205" s="233"/>
      <c r="F205" s="234"/>
      <c r="G205"/>
      <c r="H205"/>
      <c r="I205"/>
      <c r="J205"/>
      <c r="K205"/>
      <c r="L205"/>
      <c r="M205"/>
      <c r="N205"/>
      <c r="O205"/>
      <c r="P205"/>
      <c r="Q205"/>
      <c r="R205"/>
      <c r="S205"/>
      <c r="T205"/>
      <c r="U205"/>
      <c r="V205"/>
      <c r="W205"/>
    </row>
    <row r="206" spans="2:23" outlineLevel="1">
      <c r="B206" s="235"/>
      <c r="C206" s="236"/>
      <c r="D206" s="237"/>
      <c r="E206" s="238"/>
      <c r="F206" s="234"/>
      <c r="G206"/>
      <c r="H206"/>
      <c r="I206"/>
      <c r="J206"/>
      <c r="K206"/>
      <c r="L206"/>
      <c r="M206"/>
      <c r="N206"/>
      <c r="O206"/>
      <c r="P206"/>
      <c r="Q206"/>
      <c r="R206"/>
      <c r="S206"/>
      <c r="T206"/>
      <c r="U206"/>
      <c r="V206"/>
      <c r="W206"/>
    </row>
    <row r="207" spans="2:23" outlineLevel="1">
      <c r="B207" s="230"/>
      <c r="C207" s="231"/>
      <c r="D207" s="232"/>
      <c r="E207" s="233"/>
      <c r="F207" s="234"/>
      <c r="G207"/>
      <c r="H207"/>
      <c r="I207"/>
      <c r="J207"/>
      <c r="K207"/>
      <c r="L207"/>
      <c r="M207"/>
      <c r="N207"/>
      <c r="O207"/>
      <c r="P207"/>
      <c r="Q207"/>
      <c r="R207"/>
      <c r="S207"/>
      <c r="T207"/>
      <c r="U207"/>
      <c r="V207"/>
      <c r="W207"/>
    </row>
    <row r="208" spans="2:23" outlineLevel="1">
      <c r="B208" s="235"/>
      <c r="C208" s="236"/>
      <c r="D208" s="237"/>
      <c r="E208" s="238"/>
      <c r="F208" s="234"/>
      <c r="G208"/>
      <c r="H208"/>
      <c r="I208"/>
      <c r="J208"/>
      <c r="K208"/>
      <c r="L208"/>
      <c r="M208"/>
      <c r="N208"/>
      <c r="O208"/>
      <c r="P208"/>
      <c r="Q208"/>
      <c r="R208"/>
      <c r="S208"/>
      <c r="T208"/>
      <c r="U208"/>
      <c r="V208"/>
      <c r="W208"/>
    </row>
    <row r="209" spans="2:23" outlineLevel="1">
      <c r="B209" s="230"/>
      <c r="C209" s="231"/>
      <c r="D209" s="232"/>
      <c r="E209" s="233"/>
      <c r="F209" s="234"/>
      <c r="G209"/>
      <c r="H209"/>
      <c r="I209"/>
      <c r="J209"/>
      <c r="K209"/>
      <c r="L209"/>
      <c r="M209"/>
      <c r="N209"/>
      <c r="O209"/>
      <c r="P209"/>
      <c r="Q209"/>
      <c r="R209"/>
      <c r="S209"/>
      <c r="T209"/>
      <c r="U209"/>
      <c r="V209"/>
      <c r="W209"/>
    </row>
    <row r="210" spans="2:23" outlineLevel="1">
      <c r="B210" s="235"/>
      <c r="C210" s="236"/>
      <c r="D210" s="237"/>
      <c r="E210" s="238"/>
      <c r="F210" s="234"/>
      <c r="G210"/>
      <c r="H210"/>
      <c r="I210"/>
      <c r="J210"/>
      <c r="K210"/>
      <c r="L210"/>
      <c r="M210"/>
      <c r="N210"/>
      <c r="O210"/>
      <c r="P210"/>
      <c r="Q210"/>
      <c r="R210"/>
      <c r="S210"/>
      <c r="T210"/>
      <c r="U210"/>
      <c r="V210"/>
      <c r="W210"/>
    </row>
    <row r="211" spans="2:23" outlineLevel="1">
      <c r="B211" s="230"/>
      <c r="C211" s="231"/>
      <c r="D211" s="232"/>
      <c r="E211" s="233"/>
      <c r="F211" s="234"/>
      <c r="G211"/>
      <c r="H211"/>
      <c r="I211"/>
      <c r="J211"/>
      <c r="K211"/>
      <c r="L211"/>
      <c r="M211"/>
      <c r="N211"/>
      <c r="O211"/>
      <c r="P211"/>
      <c r="Q211"/>
      <c r="R211"/>
      <c r="S211"/>
      <c r="T211"/>
      <c r="U211"/>
      <c r="V211"/>
      <c r="W211"/>
    </row>
    <row r="212" spans="2:23" outlineLevel="1">
      <c r="B212" s="235"/>
      <c r="C212" s="236"/>
      <c r="D212" s="237"/>
      <c r="E212" s="238"/>
      <c r="F212" s="234"/>
      <c r="G212"/>
      <c r="H212"/>
      <c r="I212"/>
      <c r="J212"/>
      <c r="K212"/>
      <c r="L212"/>
      <c r="M212"/>
      <c r="N212"/>
      <c r="O212"/>
      <c r="P212"/>
      <c r="Q212"/>
      <c r="R212"/>
      <c r="S212"/>
      <c r="T212"/>
      <c r="U212"/>
      <c r="V212"/>
      <c r="W212"/>
    </row>
    <row r="213" spans="2:23" outlineLevel="1">
      <c r="B213" s="230"/>
      <c r="C213" s="231"/>
      <c r="D213" s="232"/>
      <c r="E213" s="233"/>
      <c r="F213" s="234"/>
      <c r="G213"/>
      <c r="H213"/>
      <c r="I213"/>
      <c r="J213"/>
      <c r="K213"/>
      <c r="L213"/>
      <c r="M213"/>
      <c r="N213"/>
      <c r="O213"/>
      <c r="P213"/>
      <c r="Q213"/>
      <c r="R213"/>
      <c r="S213"/>
      <c r="T213"/>
      <c r="U213"/>
      <c r="V213"/>
      <c r="W213"/>
    </row>
    <row r="214" spans="2:23" outlineLevel="1">
      <c r="B214" s="235"/>
      <c r="C214" s="236"/>
      <c r="D214" s="237"/>
      <c r="E214" s="238"/>
      <c r="F214" s="234"/>
      <c r="G214"/>
      <c r="H214"/>
      <c r="I214"/>
      <c r="J214"/>
      <c r="K214"/>
      <c r="L214"/>
      <c r="M214"/>
      <c r="N214"/>
      <c r="O214"/>
      <c r="P214"/>
      <c r="Q214"/>
      <c r="R214"/>
      <c r="S214"/>
      <c r="T214"/>
      <c r="U214"/>
      <c r="V214"/>
      <c r="W214"/>
    </row>
    <row r="215" spans="2:23" outlineLevel="1">
      <c r="B215" s="230"/>
      <c r="C215" s="231"/>
      <c r="D215" s="232"/>
      <c r="E215" s="233"/>
      <c r="F215" s="234"/>
      <c r="G215"/>
      <c r="H215"/>
      <c r="I215"/>
      <c r="J215"/>
      <c r="K215"/>
      <c r="L215"/>
      <c r="M215"/>
      <c r="N215"/>
      <c r="O215"/>
      <c r="P215"/>
      <c r="Q215"/>
      <c r="R215"/>
      <c r="S215"/>
      <c r="T215"/>
      <c r="U215"/>
      <c r="V215"/>
      <c r="W215"/>
    </row>
    <row r="216" spans="2:23" outlineLevel="1">
      <c r="B216" s="235"/>
      <c r="C216" s="236"/>
      <c r="D216" s="237"/>
      <c r="E216" s="238"/>
      <c r="F216" s="234"/>
      <c r="G216"/>
      <c r="H216"/>
      <c r="I216"/>
      <c r="J216"/>
      <c r="K216"/>
      <c r="L216"/>
      <c r="M216"/>
      <c r="N216"/>
      <c r="O216"/>
      <c r="P216"/>
      <c r="Q216"/>
      <c r="R216"/>
      <c r="S216"/>
      <c r="T216"/>
      <c r="U216"/>
      <c r="V216"/>
      <c r="W216"/>
    </row>
    <row r="217" spans="2:23" outlineLevel="1">
      <c r="B217" s="230"/>
      <c r="C217" s="231"/>
      <c r="D217" s="232"/>
      <c r="E217" s="233"/>
      <c r="F217" s="234"/>
      <c r="G217"/>
      <c r="H217"/>
      <c r="I217"/>
      <c r="J217"/>
      <c r="K217"/>
      <c r="L217"/>
      <c r="M217"/>
      <c r="N217"/>
      <c r="O217"/>
      <c r="P217"/>
      <c r="Q217"/>
      <c r="R217"/>
      <c r="S217"/>
      <c r="T217"/>
      <c r="U217"/>
      <c r="V217"/>
      <c r="W217"/>
    </row>
    <row r="218" spans="2:23" outlineLevel="1">
      <c r="B218" s="235"/>
      <c r="C218" s="236"/>
      <c r="D218" s="237"/>
      <c r="E218" s="238"/>
      <c r="F218" s="234"/>
      <c r="G218"/>
      <c r="H218"/>
      <c r="I218"/>
      <c r="J218"/>
      <c r="K218"/>
      <c r="L218"/>
      <c r="M218"/>
      <c r="N218"/>
      <c r="O218"/>
      <c r="P218"/>
      <c r="Q218"/>
      <c r="R218"/>
      <c r="S218"/>
      <c r="T218"/>
      <c r="U218"/>
      <c r="V218"/>
      <c r="W218"/>
    </row>
    <row r="219" spans="2:23" outlineLevel="1">
      <c r="B219" s="230"/>
      <c r="C219" s="231"/>
      <c r="D219" s="232"/>
      <c r="E219" s="233"/>
      <c r="F219" s="234"/>
      <c r="G219"/>
      <c r="H219"/>
      <c r="I219"/>
      <c r="J219"/>
      <c r="K219"/>
      <c r="L219"/>
      <c r="M219"/>
      <c r="N219"/>
      <c r="O219"/>
      <c r="P219"/>
      <c r="Q219"/>
      <c r="R219"/>
      <c r="S219"/>
      <c r="T219"/>
      <c r="U219"/>
      <c r="V219"/>
      <c r="W219"/>
    </row>
    <row r="220" spans="2:23" outlineLevel="1">
      <c r="B220" s="235"/>
      <c r="C220" s="236"/>
      <c r="D220" s="237"/>
      <c r="E220" s="238"/>
      <c r="F220" s="234"/>
      <c r="G220"/>
      <c r="H220"/>
      <c r="I220"/>
      <c r="J220"/>
      <c r="K220"/>
      <c r="L220"/>
      <c r="M220"/>
      <c r="N220"/>
      <c r="O220"/>
      <c r="P220"/>
      <c r="Q220"/>
      <c r="R220"/>
      <c r="S220"/>
      <c r="T220"/>
      <c r="U220"/>
      <c r="V220"/>
      <c r="W220"/>
    </row>
    <row r="221" spans="2:23" outlineLevel="1">
      <c r="B221" s="230"/>
      <c r="C221" s="231"/>
      <c r="D221" s="232"/>
      <c r="E221" s="233"/>
      <c r="F221" s="234"/>
      <c r="G221"/>
      <c r="H221"/>
      <c r="I221"/>
      <c r="J221"/>
      <c r="K221"/>
      <c r="L221"/>
      <c r="M221"/>
      <c r="N221"/>
      <c r="O221"/>
      <c r="P221"/>
      <c r="Q221"/>
      <c r="R221"/>
      <c r="S221"/>
      <c r="T221"/>
      <c r="U221"/>
      <c r="V221"/>
      <c r="W221"/>
    </row>
    <row r="222" spans="2:23" outlineLevel="1">
      <c r="B222" s="235"/>
      <c r="C222" s="236"/>
      <c r="D222" s="237"/>
      <c r="E222" s="238"/>
      <c r="F222" s="234"/>
      <c r="G222"/>
      <c r="H222"/>
      <c r="I222"/>
      <c r="J222"/>
      <c r="K222"/>
      <c r="L222"/>
      <c r="M222"/>
      <c r="N222"/>
      <c r="O222"/>
      <c r="P222"/>
      <c r="Q222"/>
      <c r="R222"/>
      <c r="S222"/>
      <c r="T222"/>
      <c r="U222"/>
      <c r="V222"/>
      <c r="W222"/>
    </row>
    <row r="223" spans="2:23" outlineLevel="1">
      <c r="B223" s="230"/>
      <c r="C223" s="231"/>
      <c r="D223" s="232"/>
      <c r="E223" s="233"/>
      <c r="F223" s="234"/>
      <c r="G223"/>
      <c r="H223"/>
      <c r="I223"/>
      <c r="J223"/>
      <c r="K223"/>
      <c r="L223"/>
      <c r="M223"/>
      <c r="N223"/>
      <c r="O223"/>
      <c r="P223"/>
      <c r="Q223"/>
      <c r="R223"/>
      <c r="S223"/>
      <c r="T223"/>
      <c r="U223"/>
      <c r="V223"/>
      <c r="W223"/>
    </row>
    <row r="224" spans="2:23" outlineLevel="1">
      <c r="B224" s="235"/>
      <c r="C224" s="236"/>
      <c r="D224" s="237"/>
      <c r="E224" s="238"/>
      <c r="F224" s="234"/>
      <c r="G224"/>
      <c r="H224"/>
      <c r="I224"/>
      <c r="J224"/>
      <c r="K224"/>
      <c r="L224"/>
      <c r="M224"/>
      <c r="N224"/>
      <c r="O224"/>
      <c r="P224"/>
      <c r="Q224"/>
      <c r="R224"/>
      <c r="S224"/>
      <c r="T224"/>
      <c r="U224"/>
      <c r="V224"/>
      <c r="W224"/>
    </row>
    <row r="225" spans="2:23" outlineLevel="1">
      <c r="B225" s="230"/>
      <c r="C225" s="231"/>
      <c r="D225" s="232"/>
      <c r="E225" s="233"/>
      <c r="F225" s="234"/>
      <c r="G225"/>
      <c r="H225"/>
      <c r="I225"/>
      <c r="J225"/>
      <c r="K225"/>
      <c r="L225"/>
      <c r="M225"/>
      <c r="N225"/>
      <c r="O225"/>
      <c r="P225"/>
      <c r="Q225"/>
      <c r="R225"/>
      <c r="S225"/>
      <c r="T225"/>
      <c r="U225"/>
      <c r="V225"/>
      <c r="W225"/>
    </row>
    <row r="226" spans="2:23" outlineLevel="1">
      <c r="B226" s="235"/>
      <c r="C226" s="236"/>
      <c r="D226" s="237"/>
      <c r="E226" s="238"/>
      <c r="F226" s="234"/>
      <c r="G226"/>
      <c r="H226"/>
      <c r="I226"/>
      <c r="J226"/>
      <c r="K226"/>
      <c r="L226"/>
      <c r="M226"/>
      <c r="N226"/>
      <c r="O226"/>
      <c r="P226"/>
      <c r="Q226"/>
      <c r="R226"/>
      <c r="S226"/>
      <c r="T226"/>
      <c r="U226"/>
      <c r="V226"/>
      <c r="W226"/>
    </row>
    <row r="227" spans="2:23" outlineLevel="1">
      <c r="B227" s="230"/>
      <c r="C227" s="231"/>
      <c r="D227" s="232"/>
      <c r="E227" s="233"/>
      <c r="F227" s="234"/>
      <c r="G227"/>
      <c r="H227"/>
      <c r="I227"/>
      <c r="J227"/>
      <c r="K227"/>
      <c r="L227"/>
      <c r="M227"/>
      <c r="N227"/>
      <c r="O227"/>
      <c r="P227"/>
      <c r="Q227"/>
      <c r="R227"/>
      <c r="S227"/>
      <c r="T227"/>
      <c r="U227"/>
      <c r="V227"/>
      <c r="W227"/>
    </row>
    <row r="228" spans="2:23" outlineLevel="1">
      <c r="B228" s="235"/>
      <c r="C228" s="236"/>
      <c r="D228" s="237"/>
      <c r="E228" s="238"/>
      <c r="F228" s="234"/>
      <c r="G228"/>
      <c r="H228"/>
      <c r="I228"/>
      <c r="J228"/>
      <c r="K228"/>
      <c r="L228"/>
      <c r="M228"/>
      <c r="N228"/>
      <c r="O228"/>
      <c r="P228"/>
      <c r="Q228"/>
      <c r="R228"/>
      <c r="S228"/>
      <c r="T228"/>
      <c r="U228"/>
      <c r="V228"/>
      <c r="W228"/>
    </row>
    <row r="229" spans="2:23" outlineLevel="1">
      <c r="B229" s="230"/>
      <c r="C229" s="231"/>
      <c r="D229" s="232"/>
      <c r="E229" s="233"/>
      <c r="F229" s="234"/>
      <c r="G229"/>
      <c r="H229"/>
      <c r="I229"/>
      <c r="J229"/>
      <c r="K229"/>
      <c r="L229"/>
      <c r="M229"/>
      <c r="N229"/>
      <c r="O229"/>
      <c r="P229"/>
      <c r="Q229"/>
      <c r="R229"/>
      <c r="S229"/>
      <c r="T229"/>
      <c r="U229"/>
      <c r="V229"/>
      <c r="W229"/>
    </row>
    <row r="230" spans="2:23" outlineLevel="1">
      <c r="B230" s="235"/>
      <c r="C230" s="236"/>
      <c r="D230" s="237"/>
      <c r="E230" s="238"/>
      <c r="F230" s="234"/>
      <c r="G230"/>
      <c r="H230"/>
      <c r="I230"/>
      <c r="J230"/>
      <c r="K230"/>
      <c r="L230"/>
      <c r="M230"/>
      <c r="N230"/>
      <c r="O230"/>
      <c r="P230"/>
      <c r="Q230"/>
      <c r="R230"/>
      <c r="S230"/>
      <c r="T230"/>
      <c r="U230"/>
      <c r="V230"/>
      <c r="W230"/>
    </row>
    <row r="231" spans="2:23" outlineLevel="1">
      <c r="B231" s="230"/>
      <c r="C231" s="231"/>
      <c r="D231" s="232"/>
      <c r="E231" s="233"/>
      <c r="F231" s="234"/>
      <c r="G231"/>
      <c r="H231"/>
      <c r="I231"/>
      <c r="J231"/>
      <c r="K231"/>
      <c r="L231"/>
      <c r="M231"/>
      <c r="N231"/>
      <c r="O231"/>
      <c r="P231"/>
      <c r="Q231"/>
      <c r="R231"/>
      <c r="S231"/>
      <c r="T231"/>
      <c r="U231"/>
      <c r="V231"/>
      <c r="W231"/>
    </row>
    <row r="232" spans="2:23" outlineLevel="1">
      <c r="B232" s="235"/>
      <c r="C232" s="236"/>
      <c r="D232" s="237"/>
      <c r="E232" s="238"/>
      <c r="F232" s="234"/>
      <c r="G232"/>
      <c r="H232"/>
      <c r="I232"/>
      <c r="J232"/>
      <c r="K232"/>
      <c r="L232"/>
      <c r="M232"/>
      <c r="N232"/>
      <c r="O232"/>
      <c r="P232"/>
      <c r="Q232"/>
      <c r="R232"/>
      <c r="S232"/>
      <c r="T232"/>
      <c r="U232"/>
      <c r="V232"/>
      <c r="W232"/>
    </row>
    <row r="233" spans="2:23" outlineLevel="1">
      <c r="B233" s="230"/>
      <c r="C233" s="231"/>
      <c r="D233" s="232"/>
      <c r="E233" s="233"/>
      <c r="F233" s="234"/>
      <c r="G233"/>
      <c r="H233"/>
      <c r="I233"/>
      <c r="J233"/>
      <c r="K233"/>
      <c r="L233"/>
      <c r="M233"/>
      <c r="N233"/>
      <c r="O233"/>
      <c r="P233"/>
      <c r="Q233"/>
      <c r="R233"/>
      <c r="S233"/>
      <c r="T233"/>
      <c r="U233"/>
      <c r="V233"/>
      <c r="W233"/>
    </row>
    <row r="234" spans="2:23" outlineLevel="1">
      <c r="B234" s="235"/>
      <c r="C234" s="236"/>
      <c r="D234" s="237"/>
      <c r="E234" s="238"/>
      <c r="F234" s="234"/>
      <c r="G234"/>
      <c r="H234"/>
      <c r="I234"/>
      <c r="J234"/>
      <c r="K234"/>
      <c r="L234"/>
      <c r="M234"/>
      <c r="N234"/>
      <c r="O234"/>
      <c r="P234"/>
      <c r="Q234"/>
      <c r="R234"/>
      <c r="S234"/>
      <c r="T234"/>
      <c r="U234"/>
      <c r="V234"/>
      <c r="W234"/>
    </row>
    <row r="235" spans="2:23" outlineLevel="1">
      <c r="B235" s="230"/>
      <c r="C235" s="231"/>
      <c r="D235" s="232"/>
      <c r="E235" s="233"/>
      <c r="F235" s="234"/>
      <c r="G235"/>
      <c r="H235"/>
      <c r="I235"/>
      <c r="J235"/>
      <c r="K235"/>
      <c r="L235"/>
      <c r="M235"/>
      <c r="N235"/>
      <c r="O235"/>
      <c r="P235"/>
      <c r="Q235"/>
      <c r="R235"/>
      <c r="S235"/>
      <c r="T235"/>
      <c r="U235"/>
      <c r="V235"/>
      <c r="W235"/>
    </row>
    <row r="236" spans="2:23" outlineLevel="1">
      <c r="B236" s="235"/>
      <c r="C236" s="236"/>
      <c r="D236" s="237"/>
      <c r="E236" s="238"/>
      <c r="F236" s="234"/>
      <c r="G236"/>
      <c r="H236"/>
      <c r="I236"/>
      <c r="J236"/>
      <c r="K236"/>
      <c r="L236"/>
      <c r="M236"/>
      <c r="N236"/>
      <c r="O236"/>
      <c r="P236"/>
      <c r="Q236"/>
      <c r="R236"/>
      <c r="S236"/>
      <c r="T236"/>
      <c r="U236"/>
      <c r="V236"/>
      <c r="W236"/>
    </row>
    <row r="237" spans="2:23" outlineLevel="1">
      <c r="B237" s="230"/>
      <c r="C237" s="231"/>
      <c r="D237" s="232"/>
      <c r="E237" s="233"/>
      <c r="F237" s="234"/>
      <c r="G237"/>
      <c r="H237"/>
      <c r="I237"/>
      <c r="J237"/>
      <c r="K237"/>
      <c r="L237"/>
      <c r="M237"/>
      <c r="N237"/>
      <c r="O237"/>
      <c r="P237"/>
      <c r="Q237"/>
      <c r="R237"/>
      <c r="S237"/>
      <c r="T237"/>
      <c r="U237"/>
      <c r="V237"/>
      <c r="W237"/>
    </row>
    <row r="238" spans="2:23" outlineLevel="1">
      <c r="B238" s="235"/>
      <c r="C238" s="236"/>
      <c r="D238" s="237"/>
      <c r="E238" s="238"/>
      <c r="F238" s="234"/>
      <c r="G238"/>
      <c r="H238"/>
      <c r="I238"/>
      <c r="J238"/>
      <c r="K238"/>
      <c r="L238"/>
      <c r="M238"/>
      <c r="N238"/>
      <c r="O238"/>
      <c r="P238"/>
      <c r="Q238"/>
      <c r="R238"/>
      <c r="S238"/>
      <c r="T238"/>
      <c r="U238"/>
      <c r="V238"/>
      <c r="W238"/>
    </row>
    <row r="239" spans="2:23" outlineLevel="1">
      <c r="B239" s="230"/>
      <c r="C239" s="231"/>
      <c r="D239" s="232"/>
      <c r="E239" s="233"/>
      <c r="F239" s="234"/>
      <c r="G239"/>
      <c r="H239"/>
      <c r="I239"/>
      <c r="J239"/>
      <c r="K239"/>
      <c r="L239"/>
      <c r="M239"/>
      <c r="N239"/>
      <c r="O239"/>
      <c r="P239"/>
      <c r="Q239"/>
      <c r="R239"/>
      <c r="S239"/>
      <c r="T239"/>
      <c r="U239"/>
      <c r="V239"/>
      <c r="W239"/>
    </row>
    <row r="240" spans="2:23" outlineLevel="1">
      <c r="B240" s="235"/>
      <c r="C240" s="236"/>
      <c r="D240" s="237"/>
      <c r="E240" s="238"/>
      <c r="F240" s="234"/>
      <c r="G240"/>
      <c r="H240"/>
      <c r="I240"/>
      <c r="J240"/>
      <c r="K240"/>
      <c r="L240"/>
      <c r="M240"/>
      <c r="N240"/>
      <c r="O240"/>
      <c r="P240"/>
      <c r="Q240"/>
      <c r="R240"/>
      <c r="S240"/>
      <c r="T240"/>
      <c r="U240"/>
      <c r="V240"/>
      <c r="W240"/>
    </row>
    <row r="241" spans="2:23" outlineLevel="1">
      <c r="B241" s="230"/>
      <c r="C241" s="231"/>
      <c r="D241" s="232"/>
      <c r="E241" s="233"/>
      <c r="F241" s="234"/>
      <c r="G241"/>
      <c r="H241"/>
      <c r="I241"/>
      <c r="J241"/>
      <c r="K241"/>
      <c r="L241"/>
      <c r="M241"/>
      <c r="N241"/>
      <c r="O241"/>
      <c r="P241"/>
      <c r="Q241"/>
      <c r="R241"/>
      <c r="S241"/>
      <c r="T241"/>
      <c r="U241"/>
      <c r="V241"/>
      <c r="W241"/>
    </row>
    <row r="242" spans="2:23" outlineLevel="1">
      <c r="B242" s="235"/>
      <c r="C242" s="236"/>
      <c r="D242" s="237"/>
      <c r="E242" s="238"/>
      <c r="F242" s="234"/>
      <c r="G242"/>
      <c r="H242"/>
      <c r="I242"/>
      <c r="J242"/>
      <c r="K242"/>
      <c r="L242"/>
      <c r="M242"/>
      <c r="N242"/>
      <c r="O242"/>
      <c r="P242"/>
      <c r="Q242"/>
      <c r="R242"/>
      <c r="S242"/>
      <c r="T242"/>
      <c r="U242"/>
      <c r="V242"/>
      <c r="W242"/>
    </row>
    <row r="243" spans="2:23" outlineLevel="1">
      <c r="B243" s="230"/>
      <c r="C243" s="231"/>
      <c r="D243" s="232"/>
      <c r="E243" s="233"/>
      <c r="F243" s="234"/>
      <c r="G243"/>
      <c r="H243"/>
      <c r="I243"/>
      <c r="J243"/>
      <c r="K243"/>
      <c r="L243"/>
      <c r="M243"/>
      <c r="N243"/>
      <c r="O243"/>
      <c r="P243"/>
      <c r="Q243"/>
      <c r="R243"/>
      <c r="S243"/>
      <c r="T243"/>
      <c r="U243"/>
      <c r="V243"/>
      <c r="W243"/>
    </row>
    <row r="244" spans="2:23" outlineLevel="1">
      <c r="B244" s="235"/>
      <c r="C244" s="236"/>
      <c r="D244" s="237"/>
      <c r="E244" s="238"/>
      <c r="F244" s="234"/>
      <c r="G244"/>
      <c r="H244"/>
      <c r="I244"/>
      <c r="J244"/>
      <c r="K244"/>
      <c r="L244"/>
      <c r="M244"/>
      <c r="N244"/>
      <c r="O244"/>
      <c r="P244"/>
      <c r="Q244"/>
      <c r="R244"/>
      <c r="S244"/>
      <c r="T244"/>
      <c r="U244"/>
      <c r="V244"/>
      <c r="W244"/>
    </row>
    <row r="245" spans="2:23" outlineLevel="1">
      <c r="B245" s="230"/>
      <c r="C245" s="231"/>
      <c r="D245" s="232"/>
      <c r="E245" s="233"/>
      <c r="F245" s="234"/>
      <c r="G245"/>
      <c r="H245"/>
      <c r="I245"/>
      <c r="J245"/>
      <c r="K245"/>
      <c r="L245"/>
      <c r="M245"/>
      <c r="N245"/>
      <c r="O245"/>
      <c r="P245"/>
      <c r="Q245"/>
      <c r="R245"/>
      <c r="S245"/>
      <c r="T245"/>
      <c r="U245"/>
      <c r="V245"/>
      <c r="W245"/>
    </row>
    <row r="246" spans="2:23" outlineLevel="1">
      <c r="B246" s="235"/>
      <c r="C246" s="236"/>
      <c r="D246" s="237"/>
      <c r="E246" s="238"/>
      <c r="F246" s="234"/>
      <c r="G246"/>
      <c r="H246"/>
      <c r="I246"/>
      <c r="J246"/>
      <c r="K246"/>
      <c r="L246"/>
      <c r="M246"/>
      <c r="N246"/>
      <c r="O246"/>
      <c r="P246"/>
      <c r="Q246"/>
      <c r="R246"/>
      <c r="S246"/>
      <c r="T246"/>
      <c r="U246"/>
      <c r="V246"/>
      <c r="W246"/>
    </row>
    <row r="247" spans="2:23" outlineLevel="1">
      <c r="B247" s="230"/>
      <c r="C247" s="231"/>
      <c r="D247" s="232"/>
      <c r="E247" s="233"/>
      <c r="F247" s="234"/>
      <c r="G247"/>
      <c r="H247"/>
      <c r="I247"/>
      <c r="J247"/>
      <c r="K247"/>
      <c r="L247"/>
      <c r="M247"/>
      <c r="N247"/>
      <c r="O247"/>
      <c r="P247"/>
      <c r="Q247"/>
      <c r="R247"/>
      <c r="S247"/>
      <c r="T247"/>
      <c r="U247"/>
      <c r="V247"/>
      <c r="W247"/>
    </row>
    <row r="248" spans="2:23" outlineLevel="1">
      <c r="B248" s="235"/>
      <c r="C248" s="236"/>
      <c r="D248" s="237"/>
      <c r="E248" s="238"/>
      <c r="F248" s="234"/>
      <c r="G248"/>
      <c r="H248"/>
      <c r="I248"/>
      <c r="J248"/>
      <c r="K248"/>
      <c r="L248"/>
      <c r="M248"/>
      <c r="N248"/>
      <c r="O248"/>
      <c r="P248"/>
      <c r="Q248"/>
      <c r="R248"/>
      <c r="S248"/>
      <c r="T248"/>
      <c r="U248"/>
      <c r="V248"/>
      <c r="W248"/>
    </row>
    <row r="249" spans="2:23" outlineLevel="1">
      <c r="B249" s="230"/>
      <c r="C249" s="231"/>
      <c r="D249" s="232"/>
      <c r="E249" s="233"/>
      <c r="F249" s="234"/>
      <c r="G249"/>
      <c r="H249"/>
      <c r="I249"/>
      <c r="J249"/>
      <c r="K249"/>
      <c r="L249"/>
      <c r="M249"/>
      <c r="N249"/>
      <c r="O249"/>
      <c r="P249"/>
      <c r="Q249"/>
      <c r="R249"/>
      <c r="S249"/>
      <c r="T249"/>
      <c r="U249"/>
      <c r="V249"/>
      <c r="W249"/>
    </row>
    <row r="250" spans="2:23" outlineLevel="1">
      <c r="B250" s="235"/>
      <c r="C250" s="236"/>
      <c r="D250" s="237"/>
      <c r="E250" s="238"/>
      <c r="F250" s="234"/>
      <c r="G250"/>
      <c r="H250"/>
      <c r="I250"/>
      <c r="J250"/>
      <c r="K250"/>
      <c r="L250"/>
      <c r="M250"/>
      <c r="N250"/>
      <c r="O250"/>
      <c r="P250"/>
      <c r="Q250"/>
      <c r="R250"/>
      <c r="S250"/>
      <c r="T250"/>
      <c r="U250"/>
      <c r="V250"/>
      <c r="W250"/>
    </row>
    <row r="251" spans="2:23" outlineLevel="1">
      <c r="B251" s="230"/>
      <c r="C251" s="231"/>
      <c r="D251" s="232"/>
      <c r="E251" s="233"/>
      <c r="F251" s="234"/>
      <c r="G251"/>
      <c r="H251"/>
      <c r="I251"/>
      <c r="J251"/>
      <c r="K251"/>
      <c r="L251"/>
      <c r="M251"/>
      <c r="N251"/>
      <c r="O251"/>
      <c r="P251"/>
      <c r="Q251"/>
      <c r="R251"/>
      <c r="S251"/>
      <c r="T251"/>
      <c r="U251"/>
      <c r="V251"/>
      <c r="W251"/>
    </row>
    <row r="252" spans="2:23" outlineLevel="1">
      <c r="B252" s="235"/>
      <c r="C252" s="236"/>
      <c r="D252" s="237"/>
      <c r="E252" s="238"/>
      <c r="F252" s="234"/>
      <c r="G252"/>
      <c r="H252"/>
      <c r="I252"/>
      <c r="J252"/>
      <c r="K252"/>
      <c r="L252"/>
      <c r="M252"/>
      <c r="N252"/>
      <c r="O252"/>
      <c r="P252"/>
      <c r="Q252"/>
      <c r="R252"/>
      <c r="S252"/>
      <c r="T252"/>
      <c r="U252"/>
      <c r="V252"/>
      <c r="W252"/>
    </row>
    <row r="253" spans="2:23" outlineLevel="1">
      <c r="B253" s="230"/>
      <c r="C253" s="231"/>
      <c r="D253" s="232"/>
      <c r="E253" s="233"/>
      <c r="F253" s="234"/>
      <c r="G253"/>
      <c r="H253"/>
      <c r="I253"/>
      <c r="J253"/>
      <c r="K253"/>
      <c r="L253"/>
      <c r="M253"/>
      <c r="N253"/>
      <c r="O253"/>
      <c r="P253"/>
      <c r="Q253"/>
      <c r="R253"/>
      <c r="S253"/>
      <c r="T253"/>
      <c r="U253"/>
      <c r="V253"/>
      <c r="W253"/>
    </row>
    <row r="254" spans="2:23" outlineLevel="1">
      <c r="B254" s="235"/>
      <c r="C254" s="236"/>
      <c r="D254" s="237"/>
      <c r="E254" s="238"/>
      <c r="F254" s="234"/>
      <c r="G254"/>
      <c r="H254"/>
      <c r="I254"/>
      <c r="J254"/>
      <c r="K254"/>
      <c r="L254"/>
      <c r="M254"/>
      <c r="N254"/>
      <c r="O254"/>
      <c r="P254"/>
      <c r="Q254"/>
      <c r="R254"/>
      <c r="S254"/>
      <c r="T254"/>
      <c r="U254"/>
      <c r="V254"/>
      <c r="W254"/>
    </row>
    <row r="255" spans="2:23" outlineLevel="1">
      <c r="B255" s="230"/>
      <c r="C255" s="231"/>
      <c r="D255" s="232"/>
      <c r="E255" s="233"/>
      <c r="F255" s="234"/>
      <c r="G255"/>
      <c r="H255"/>
      <c r="I255"/>
      <c r="J255"/>
      <c r="K255"/>
      <c r="L255"/>
      <c r="M255"/>
      <c r="N255"/>
      <c r="O255"/>
      <c r="P255"/>
      <c r="Q255"/>
      <c r="R255"/>
      <c r="S255"/>
      <c r="T255"/>
      <c r="U255"/>
      <c r="V255"/>
      <c r="W255"/>
    </row>
    <row r="256" spans="2:23" outlineLevel="1">
      <c r="B256" s="235"/>
      <c r="C256" s="236"/>
      <c r="D256" s="237"/>
      <c r="E256" s="238"/>
      <c r="F256" s="234"/>
      <c r="G256"/>
      <c r="H256"/>
      <c r="I256"/>
      <c r="J256"/>
      <c r="K256"/>
      <c r="L256"/>
      <c r="M256"/>
      <c r="N256"/>
      <c r="O256"/>
      <c r="P256"/>
      <c r="Q256"/>
      <c r="R256"/>
      <c r="S256"/>
      <c r="T256"/>
      <c r="U256"/>
      <c r="V256"/>
      <c r="W256"/>
    </row>
    <row r="257" spans="2:23" outlineLevel="1">
      <c r="B257" s="230"/>
      <c r="C257" s="231"/>
      <c r="D257" s="232"/>
      <c r="E257" s="233"/>
      <c r="F257" s="234"/>
      <c r="G257"/>
      <c r="H257"/>
      <c r="I257"/>
      <c r="J257"/>
      <c r="K257"/>
      <c r="L257"/>
      <c r="M257"/>
      <c r="N257"/>
      <c r="O257"/>
      <c r="P257"/>
      <c r="Q257"/>
      <c r="R257"/>
      <c r="S257"/>
      <c r="T257"/>
      <c r="U257"/>
      <c r="V257"/>
      <c r="W257"/>
    </row>
    <row r="258" spans="2:23" outlineLevel="1">
      <c r="B258" s="235"/>
      <c r="C258" s="236"/>
      <c r="D258" s="237"/>
      <c r="E258" s="238"/>
      <c r="F258" s="234"/>
      <c r="G258"/>
      <c r="H258"/>
      <c r="I258"/>
      <c r="J258"/>
      <c r="K258"/>
      <c r="L258"/>
      <c r="M258"/>
      <c r="N258"/>
      <c r="O258"/>
      <c r="P258"/>
      <c r="Q258"/>
      <c r="R258"/>
      <c r="S258"/>
      <c r="T258"/>
      <c r="U258"/>
      <c r="V258"/>
      <c r="W258"/>
    </row>
    <row r="259" spans="2:23" outlineLevel="1">
      <c r="B259" s="230"/>
      <c r="C259" s="231"/>
      <c r="D259" s="232"/>
      <c r="E259" s="233"/>
      <c r="F259" s="234"/>
      <c r="G259"/>
      <c r="H259"/>
      <c r="I259"/>
      <c r="J259"/>
      <c r="K259"/>
      <c r="L259"/>
      <c r="M259"/>
      <c r="N259"/>
      <c r="O259"/>
      <c r="P259"/>
      <c r="Q259"/>
      <c r="R259"/>
      <c r="S259"/>
      <c r="T259"/>
      <c r="U259"/>
      <c r="V259"/>
      <c r="W259"/>
    </row>
    <row r="260" spans="2:23" outlineLevel="1">
      <c r="B260" s="235"/>
      <c r="C260" s="236"/>
      <c r="D260" s="237"/>
      <c r="E260" s="238"/>
      <c r="F260" s="234"/>
      <c r="G260"/>
      <c r="H260"/>
      <c r="I260"/>
      <c r="J260"/>
      <c r="K260"/>
      <c r="L260"/>
      <c r="M260"/>
      <c r="N260"/>
      <c r="O260"/>
      <c r="P260"/>
      <c r="Q260"/>
      <c r="R260"/>
      <c r="S260"/>
      <c r="T260"/>
      <c r="U260"/>
      <c r="V260"/>
      <c r="W260"/>
    </row>
    <row r="261" spans="2:23" outlineLevel="1">
      <c r="B261" s="230"/>
      <c r="C261" s="231"/>
      <c r="D261" s="232"/>
      <c r="E261" s="233"/>
      <c r="F261" s="234"/>
      <c r="G261"/>
      <c r="H261"/>
      <c r="I261"/>
      <c r="J261"/>
      <c r="K261"/>
      <c r="L261"/>
      <c r="M261"/>
      <c r="N261"/>
      <c r="O261"/>
      <c r="P261"/>
      <c r="Q261"/>
      <c r="R261"/>
      <c r="S261"/>
      <c r="T261"/>
      <c r="U261"/>
      <c r="V261"/>
      <c r="W261"/>
    </row>
    <row r="262" spans="2:23" outlineLevel="1">
      <c r="B262" s="235"/>
      <c r="C262" s="236"/>
      <c r="D262" s="237"/>
      <c r="E262" s="238"/>
      <c r="F262" s="234"/>
      <c r="G262"/>
      <c r="H262"/>
      <c r="I262"/>
      <c r="J262"/>
      <c r="K262"/>
      <c r="L262"/>
      <c r="M262"/>
      <c r="N262"/>
      <c r="O262"/>
      <c r="P262"/>
      <c r="Q262"/>
      <c r="R262"/>
      <c r="S262"/>
      <c r="T262"/>
      <c r="U262"/>
      <c r="V262"/>
      <c r="W262"/>
    </row>
    <row r="263" spans="2:23" outlineLevel="1">
      <c r="B263" s="230"/>
      <c r="C263" s="231"/>
      <c r="D263" s="232"/>
      <c r="E263" s="233"/>
      <c r="F263" s="234"/>
      <c r="G263"/>
      <c r="H263"/>
      <c r="I263"/>
      <c r="J263"/>
      <c r="K263"/>
      <c r="L263"/>
      <c r="M263"/>
      <c r="N263"/>
      <c r="O263"/>
      <c r="P263"/>
      <c r="Q263"/>
      <c r="R263"/>
      <c r="S263"/>
      <c r="T263"/>
      <c r="U263"/>
      <c r="V263"/>
      <c r="W263"/>
    </row>
    <row r="264" spans="2:23" outlineLevel="1">
      <c r="B264" s="235"/>
      <c r="C264" s="236"/>
      <c r="D264" s="237"/>
      <c r="E264" s="238"/>
      <c r="F264" s="234"/>
      <c r="G264"/>
      <c r="H264"/>
      <c r="I264"/>
      <c r="J264"/>
      <c r="K264"/>
      <c r="L264"/>
      <c r="M264"/>
      <c r="N264"/>
      <c r="O264"/>
      <c r="P264"/>
      <c r="Q264"/>
      <c r="R264"/>
      <c r="S264"/>
      <c r="T264"/>
      <c r="U264"/>
      <c r="V264"/>
      <c r="W264"/>
    </row>
    <row r="265" spans="2:23" outlineLevel="1">
      <c r="B265" s="230"/>
      <c r="C265" s="231"/>
      <c r="D265" s="232"/>
      <c r="E265" s="233"/>
      <c r="F265" s="234"/>
      <c r="G265"/>
      <c r="H265"/>
      <c r="I265"/>
      <c r="J265"/>
      <c r="K265"/>
      <c r="L265"/>
      <c r="M265"/>
      <c r="N265"/>
      <c r="O265"/>
      <c r="P265"/>
      <c r="Q265"/>
      <c r="R265"/>
      <c r="S265"/>
      <c r="T265"/>
      <c r="U265"/>
      <c r="V265"/>
      <c r="W265"/>
    </row>
    <row r="266" spans="2:23" outlineLevel="1">
      <c r="B266" s="235"/>
      <c r="C266" s="236"/>
      <c r="D266" s="237"/>
      <c r="E266" s="238"/>
      <c r="F266" s="234"/>
      <c r="G266"/>
      <c r="H266"/>
      <c r="I266"/>
      <c r="J266"/>
      <c r="K266"/>
      <c r="L266"/>
      <c r="M266"/>
      <c r="N266"/>
      <c r="O266"/>
      <c r="P266"/>
      <c r="Q266"/>
      <c r="R266"/>
      <c r="S266"/>
      <c r="T266"/>
      <c r="U266"/>
      <c r="V266"/>
      <c r="W266"/>
    </row>
    <row r="267" spans="2:23" outlineLevel="1">
      <c r="B267" s="230"/>
      <c r="C267" s="231"/>
      <c r="D267" s="232"/>
      <c r="E267" s="233"/>
      <c r="F267" s="234"/>
      <c r="G267"/>
      <c r="H267"/>
      <c r="I267"/>
      <c r="J267"/>
      <c r="K267"/>
      <c r="L267"/>
      <c r="M267"/>
      <c r="N267"/>
      <c r="O267"/>
      <c r="P267"/>
      <c r="Q267"/>
      <c r="R267"/>
      <c r="S267"/>
      <c r="T267"/>
      <c r="U267"/>
      <c r="V267"/>
      <c r="W267"/>
    </row>
    <row r="268" spans="2:23" outlineLevel="1">
      <c r="B268" s="235"/>
      <c r="C268" s="236"/>
      <c r="D268" s="237"/>
      <c r="E268" s="238"/>
      <c r="F268" s="234"/>
      <c r="G268"/>
      <c r="H268"/>
      <c r="I268"/>
      <c r="J268"/>
      <c r="K268"/>
      <c r="L268"/>
      <c r="M268"/>
      <c r="N268"/>
      <c r="O268"/>
      <c r="P268"/>
      <c r="Q268"/>
      <c r="R268"/>
      <c r="S268"/>
      <c r="T268"/>
      <c r="U268"/>
      <c r="V268"/>
      <c r="W268"/>
    </row>
    <row r="269" spans="2:23" outlineLevel="1">
      <c r="B269" s="230"/>
      <c r="C269" s="231"/>
      <c r="D269" s="232"/>
      <c r="E269" s="233"/>
      <c r="F269" s="234"/>
      <c r="G269"/>
      <c r="H269"/>
      <c r="I269"/>
      <c r="J269"/>
      <c r="K269"/>
      <c r="L269"/>
      <c r="M269"/>
      <c r="N269"/>
      <c r="O269"/>
      <c r="P269"/>
      <c r="Q269"/>
      <c r="R269"/>
      <c r="S269"/>
      <c r="T269"/>
      <c r="U269"/>
      <c r="V269"/>
      <c r="W269"/>
    </row>
    <row r="270" spans="2:23" outlineLevel="1">
      <c r="B270" s="235"/>
      <c r="C270" s="236"/>
      <c r="D270" s="237"/>
      <c r="E270" s="238"/>
      <c r="F270" s="234"/>
      <c r="G270"/>
      <c r="H270"/>
      <c r="I270"/>
      <c r="J270"/>
      <c r="K270"/>
      <c r="L270"/>
      <c r="M270"/>
      <c r="N270"/>
      <c r="O270"/>
      <c r="P270"/>
      <c r="Q270"/>
      <c r="R270"/>
      <c r="S270"/>
      <c r="T270"/>
      <c r="U270"/>
      <c r="V270"/>
      <c r="W270"/>
    </row>
    <row r="271" spans="2:23" outlineLevel="1">
      <c r="B271" s="230"/>
      <c r="C271" s="231"/>
      <c r="D271" s="232"/>
      <c r="E271" s="233"/>
      <c r="F271" s="234"/>
      <c r="G271"/>
      <c r="H271"/>
      <c r="I271"/>
      <c r="J271"/>
      <c r="K271"/>
      <c r="L271"/>
      <c r="M271"/>
      <c r="N271"/>
      <c r="O271"/>
      <c r="P271"/>
      <c r="Q271"/>
      <c r="R271"/>
      <c r="S271"/>
      <c r="T271"/>
      <c r="U271"/>
      <c r="V271"/>
      <c r="W271"/>
    </row>
    <row r="272" spans="2:23" outlineLevel="1">
      <c r="B272" s="235"/>
      <c r="C272" s="236"/>
      <c r="D272" s="237"/>
      <c r="E272" s="238"/>
      <c r="F272" s="234"/>
      <c r="G272"/>
      <c r="H272"/>
      <c r="I272"/>
      <c r="J272"/>
      <c r="K272"/>
      <c r="L272"/>
      <c r="M272"/>
      <c r="N272"/>
      <c r="O272"/>
      <c r="P272"/>
      <c r="Q272"/>
      <c r="R272"/>
      <c r="S272"/>
      <c r="T272"/>
      <c r="U272"/>
      <c r="V272"/>
      <c r="W272"/>
    </row>
    <row r="273" spans="2:23" outlineLevel="1">
      <c r="B273" s="230"/>
      <c r="C273" s="231"/>
      <c r="D273" s="232"/>
      <c r="E273" s="233"/>
      <c r="F273" s="234"/>
      <c r="G273"/>
      <c r="H273"/>
      <c r="I273"/>
      <c r="J273"/>
      <c r="K273"/>
      <c r="L273"/>
      <c r="M273"/>
      <c r="N273"/>
      <c r="O273"/>
      <c r="P273"/>
      <c r="Q273"/>
      <c r="R273"/>
      <c r="S273"/>
      <c r="T273"/>
      <c r="U273"/>
      <c r="V273"/>
      <c r="W273"/>
    </row>
    <row r="274" spans="2:23" outlineLevel="1">
      <c r="B274" s="235"/>
      <c r="C274" s="236"/>
      <c r="D274" s="237"/>
      <c r="E274" s="238"/>
      <c r="F274" s="234"/>
      <c r="G274"/>
      <c r="H274"/>
      <c r="I274"/>
      <c r="J274"/>
      <c r="K274"/>
      <c r="L274"/>
      <c r="M274"/>
      <c r="N274"/>
      <c r="O274"/>
      <c r="P274"/>
      <c r="Q274"/>
      <c r="R274"/>
      <c r="S274"/>
      <c r="T274"/>
      <c r="U274"/>
      <c r="V274"/>
      <c r="W274"/>
    </row>
    <row r="275" spans="2:23" outlineLevel="1">
      <c r="B275" s="230"/>
      <c r="C275" s="231"/>
      <c r="D275" s="232"/>
      <c r="E275" s="233"/>
      <c r="F275" s="234"/>
      <c r="G275"/>
      <c r="H275"/>
      <c r="I275"/>
      <c r="J275"/>
      <c r="K275"/>
      <c r="L275"/>
      <c r="M275"/>
      <c r="N275"/>
      <c r="O275"/>
      <c r="P275"/>
      <c r="Q275"/>
      <c r="R275"/>
      <c r="S275"/>
      <c r="T275"/>
      <c r="U275"/>
      <c r="V275"/>
      <c r="W275"/>
    </row>
    <row r="276" spans="2:23" outlineLevel="1">
      <c r="B276" s="235"/>
      <c r="C276" s="236"/>
      <c r="D276" s="237"/>
      <c r="E276" s="238"/>
      <c r="F276" s="234"/>
      <c r="G276"/>
      <c r="H276"/>
      <c r="I276"/>
      <c r="J276"/>
      <c r="K276"/>
      <c r="L276"/>
      <c r="M276"/>
      <c r="N276"/>
      <c r="O276"/>
      <c r="P276"/>
      <c r="Q276"/>
      <c r="R276"/>
      <c r="S276"/>
      <c r="T276"/>
      <c r="U276"/>
      <c r="V276"/>
      <c r="W276"/>
    </row>
    <row r="277" spans="2:23" outlineLevel="1">
      <c r="B277" s="230"/>
      <c r="C277" s="231"/>
      <c r="D277" s="232"/>
      <c r="E277" s="233"/>
      <c r="F277" s="234"/>
      <c r="G277"/>
      <c r="H277"/>
      <c r="I277"/>
      <c r="J277"/>
      <c r="K277"/>
      <c r="L277"/>
      <c r="M277"/>
      <c r="N277"/>
      <c r="O277"/>
      <c r="P277"/>
      <c r="Q277"/>
      <c r="R277"/>
      <c r="S277"/>
      <c r="T277"/>
      <c r="U277"/>
      <c r="V277"/>
      <c r="W277"/>
    </row>
    <row r="278" spans="2:23" outlineLevel="1">
      <c r="B278" s="235"/>
      <c r="C278" s="236"/>
      <c r="D278" s="237"/>
      <c r="E278" s="238"/>
      <c r="F278" s="234"/>
      <c r="G278"/>
      <c r="H278"/>
      <c r="I278"/>
      <c r="J278"/>
      <c r="K278"/>
      <c r="L278"/>
      <c r="M278"/>
      <c r="N278"/>
      <c r="O278"/>
      <c r="P278"/>
      <c r="Q278"/>
      <c r="R278"/>
      <c r="S278"/>
      <c r="T278"/>
      <c r="U278"/>
      <c r="V278"/>
      <c r="W278"/>
    </row>
    <row r="279" spans="2:23" outlineLevel="1">
      <c r="B279" s="230"/>
      <c r="C279" s="231"/>
      <c r="D279" s="232"/>
      <c r="E279" s="233"/>
      <c r="F279" s="234"/>
      <c r="G279"/>
      <c r="H279"/>
      <c r="I279"/>
      <c r="J279"/>
      <c r="K279"/>
      <c r="L279"/>
      <c r="M279"/>
      <c r="N279"/>
      <c r="O279"/>
      <c r="P279"/>
      <c r="Q279"/>
      <c r="R279"/>
      <c r="S279"/>
      <c r="T279"/>
      <c r="U279"/>
      <c r="V279"/>
      <c r="W279"/>
    </row>
    <row r="280" spans="2:23" outlineLevel="1">
      <c r="B280" s="235"/>
      <c r="C280" s="236"/>
      <c r="D280" s="237"/>
      <c r="E280" s="238"/>
      <c r="F280" s="234"/>
      <c r="G280"/>
      <c r="H280"/>
      <c r="I280"/>
      <c r="J280"/>
      <c r="K280"/>
      <c r="L280"/>
      <c r="M280"/>
      <c r="N280"/>
      <c r="O280"/>
      <c r="P280"/>
      <c r="Q280"/>
      <c r="R280"/>
      <c r="S280"/>
      <c r="T280"/>
      <c r="U280"/>
      <c r="V280"/>
      <c r="W280"/>
    </row>
    <row r="281" spans="2:23" outlineLevel="1">
      <c r="B281" s="230"/>
      <c r="C281" s="231"/>
      <c r="D281" s="232"/>
      <c r="E281" s="233"/>
      <c r="F281" s="234"/>
      <c r="G281"/>
      <c r="H281"/>
      <c r="I281"/>
      <c r="J281"/>
      <c r="K281"/>
      <c r="L281"/>
      <c r="M281"/>
      <c r="N281"/>
      <c r="O281"/>
      <c r="P281"/>
      <c r="Q281"/>
      <c r="R281"/>
      <c r="S281"/>
      <c r="T281"/>
      <c r="U281"/>
      <c r="V281"/>
      <c r="W281"/>
    </row>
    <row r="282" spans="2:23" outlineLevel="1">
      <c r="B282" s="235"/>
      <c r="C282" s="236"/>
      <c r="D282" s="237"/>
      <c r="E282" s="238"/>
      <c r="F282" s="234"/>
      <c r="G282"/>
      <c r="H282"/>
      <c r="I282"/>
      <c r="J282"/>
      <c r="K282"/>
      <c r="L282"/>
      <c r="M282"/>
      <c r="N282"/>
      <c r="O282"/>
      <c r="P282"/>
      <c r="Q282"/>
      <c r="R282"/>
      <c r="S282"/>
      <c r="T282"/>
      <c r="U282"/>
      <c r="V282"/>
      <c r="W282"/>
    </row>
    <row r="283" spans="2:23" outlineLevel="1">
      <c r="B283" s="230"/>
      <c r="C283" s="231"/>
      <c r="D283" s="232"/>
      <c r="E283" s="233"/>
      <c r="F283" s="234"/>
      <c r="G283"/>
      <c r="H283"/>
      <c r="I283"/>
      <c r="J283"/>
      <c r="K283"/>
      <c r="L283"/>
      <c r="M283"/>
      <c r="N283"/>
      <c r="O283"/>
      <c r="P283"/>
      <c r="Q283"/>
      <c r="R283"/>
      <c r="S283"/>
      <c r="T283"/>
      <c r="U283"/>
      <c r="V283"/>
      <c r="W283"/>
    </row>
    <row r="284" spans="2:23" outlineLevel="1">
      <c r="B284" s="235"/>
      <c r="C284" s="236"/>
      <c r="D284" s="237"/>
      <c r="E284" s="238"/>
      <c r="F284" s="234"/>
      <c r="G284"/>
      <c r="H284"/>
      <c r="I284"/>
      <c r="J284"/>
      <c r="K284"/>
      <c r="L284"/>
      <c r="M284"/>
      <c r="N284"/>
      <c r="O284"/>
      <c r="P284"/>
      <c r="Q284"/>
      <c r="R284"/>
      <c r="S284"/>
      <c r="T284"/>
      <c r="U284"/>
      <c r="V284"/>
      <c r="W284"/>
    </row>
    <row r="285" spans="2:23" outlineLevel="1">
      <c r="B285" s="230"/>
      <c r="C285" s="231"/>
      <c r="D285" s="232"/>
      <c r="E285" s="233"/>
      <c r="F285" s="234"/>
      <c r="G285"/>
      <c r="H285"/>
      <c r="I285"/>
      <c r="J285"/>
      <c r="K285"/>
      <c r="L285"/>
      <c r="M285"/>
      <c r="N285"/>
      <c r="O285"/>
      <c r="P285"/>
      <c r="Q285"/>
      <c r="R285"/>
      <c r="S285"/>
      <c r="T285"/>
      <c r="U285"/>
      <c r="V285"/>
      <c r="W285"/>
    </row>
    <row r="286" spans="2:23" outlineLevel="1">
      <c r="B286" s="235"/>
      <c r="C286" s="236"/>
      <c r="D286" s="237"/>
      <c r="E286" s="238"/>
      <c r="F286" s="234"/>
      <c r="G286"/>
      <c r="H286"/>
      <c r="I286"/>
      <c r="J286"/>
      <c r="K286"/>
      <c r="L286"/>
      <c r="M286"/>
      <c r="N286"/>
      <c r="O286"/>
      <c r="P286"/>
      <c r="Q286"/>
      <c r="R286"/>
      <c r="S286"/>
      <c r="T286"/>
      <c r="U286"/>
      <c r="V286"/>
      <c r="W286"/>
    </row>
    <row r="287" spans="2:23" outlineLevel="1">
      <c r="B287" s="230"/>
      <c r="C287" s="231"/>
      <c r="D287" s="232"/>
      <c r="E287" s="233"/>
      <c r="F287" s="234"/>
      <c r="G287"/>
      <c r="H287"/>
      <c r="I287"/>
      <c r="J287"/>
      <c r="K287"/>
      <c r="L287"/>
      <c r="M287"/>
      <c r="N287"/>
      <c r="O287"/>
      <c r="P287"/>
      <c r="Q287"/>
      <c r="R287"/>
      <c r="S287"/>
      <c r="T287"/>
      <c r="U287"/>
      <c r="V287"/>
      <c r="W287"/>
    </row>
    <row r="288" spans="2:23" outlineLevel="1">
      <c r="B288" s="235"/>
      <c r="C288" s="236"/>
      <c r="D288" s="237"/>
      <c r="E288" s="238"/>
      <c r="F288" s="234"/>
      <c r="G288"/>
      <c r="H288"/>
      <c r="I288"/>
      <c r="J288"/>
      <c r="K288"/>
      <c r="L288"/>
      <c r="M288"/>
      <c r="N288"/>
      <c r="O288"/>
      <c r="P288"/>
      <c r="Q288"/>
      <c r="R288"/>
      <c r="S288"/>
      <c r="T288"/>
      <c r="U288"/>
      <c r="V288"/>
      <c r="W288"/>
    </row>
    <row r="289" spans="2:23" outlineLevel="1">
      <c r="B289" s="230"/>
      <c r="C289" s="231"/>
      <c r="D289" s="232"/>
      <c r="E289" s="233"/>
      <c r="F289" s="234"/>
      <c r="G289"/>
      <c r="H289"/>
      <c r="I289"/>
      <c r="J289"/>
      <c r="K289"/>
      <c r="L289"/>
      <c r="M289"/>
      <c r="N289"/>
      <c r="O289"/>
      <c r="P289"/>
      <c r="Q289"/>
      <c r="R289"/>
      <c r="S289"/>
      <c r="T289"/>
      <c r="U289"/>
      <c r="V289"/>
      <c r="W289"/>
    </row>
    <row r="290" spans="2:23" outlineLevel="1">
      <c r="B290" s="235"/>
      <c r="C290" s="236"/>
      <c r="D290" s="237"/>
      <c r="E290" s="238"/>
      <c r="F290" s="234"/>
      <c r="G290"/>
      <c r="H290"/>
      <c r="I290"/>
      <c r="J290"/>
      <c r="K290"/>
      <c r="L290"/>
      <c r="M290"/>
      <c r="N290"/>
      <c r="O290"/>
      <c r="P290"/>
      <c r="Q290"/>
      <c r="R290"/>
      <c r="S290"/>
      <c r="T290"/>
      <c r="U290"/>
      <c r="V290"/>
      <c r="W290"/>
    </row>
    <row r="291" spans="2:23" outlineLevel="1">
      <c r="B291" s="230"/>
      <c r="C291" s="231"/>
      <c r="D291" s="232"/>
      <c r="E291" s="233"/>
      <c r="F291" s="234"/>
      <c r="G291"/>
      <c r="H291"/>
      <c r="I291"/>
      <c r="J291"/>
      <c r="K291"/>
      <c r="L291"/>
      <c r="M291"/>
      <c r="N291"/>
      <c r="O291"/>
      <c r="P291"/>
      <c r="Q291"/>
      <c r="R291"/>
      <c r="S291"/>
      <c r="T291"/>
      <c r="U291"/>
      <c r="V291"/>
      <c r="W291"/>
    </row>
    <row r="292" spans="2:23" outlineLevel="1">
      <c r="B292" s="235"/>
      <c r="C292" s="236"/>
      <c r="D292" s="237"/>
      <c r="E292" s="238"/>
      <c r="F292" s="234"/>
      <c r="G292"/>
      <c r="H292"/>
      <c r="I292"/>
      <c r="J292"/>
      <c r="K292"/>
      <c r="L292"/>
      <c r="M292"/>
      <c r="N292"/>
      <c r="O292"/>
      <c r="P292"/>
      <c r="Q292"/>
      <c r="R292"/>
      <c r="S292"/>
      <c r="T292"/>
      <c r="U292"/>
      <c r="V292"/>
      <c r="W292"/>
    </row>
    <row r="293" spans="2:23" outlineLevel="1">
      <c r="B293" s="230"/>
      <c r="C293" s="231"/>
      <c r="D293" s="232"/>
      <c r="E293" s="233"/>
      <c r="F293" s="234"/>
      <c r="G293"/>
      <c r="H293"/>
      <c r="I293"/>
      <c r="J293"/>
      <c r="K293"/>
      <c r="L293"/>
      <c r="M293"/>
      <c r="N293"/>
      <c r="O293"/>
      <c r="P293"/>
      <c r="Q293"/>
      <c r="R293"/>
      <c r="S293"/>
      <c r="T293"/>
      <c r="U293"/>
      <c r="V293"/>
      <c r="W293"/>
    </row>
    <row r="294" spans="2:23" outlineLevel="1">
      <c r="B294" s="235"/>
      <c r="C294" s="236"/>
      <c r="D294" s="237"/>
      <c r="E294" s="238"/>
      <c r="F294" s="234"/>
      <c r="G294"/>
      <c r="H294"/>
      <c r="I294"/>
      <c r="J294"/>
      <c r="K294"/>
      <c r="L294"/>
      <c r="M294"/>
      <c r="N294"/>
      <c r="O294"/>
      <c r="P294"/>
      <c r="Q294"/>
      <c r="R294"/>
      <c r="S294"/>
      <c r="T294"/>
      <c r="U294"/>
      <c r="V294"/>
      <c r="W294"/>
    </row>
    <row r="295" spans="2:23" outlineLevel="1">
      <c r="B295" s="230"/>
      <c r="C295" s="231"/>
      <c r="D295" s="232"/>
      <c r="E295" s="233"/>
      <c r="F295" s="234"/>
      <c r="G295"/>
      <c r="H295"/>
      <c r="I295"/>
      <c r="J295"/>
      <c r="K295"/>
      <c r="L295"/>
      <c r="M295"/>
      <c r="N295"/>
      <c r="O295"/>
      <c r="P295"/>
      <c r="Q295"/>
      <c r="R295"/>
      <c r="S295"/>
      <c r="T295"/>
      <c r="U295"/>
      <c r="V295"/>
      <c r="W295"/>
    </row>
    <row r="296" spans="2:23" outlineLevel="1">
      <c r="B296" s="235"/>
      <c r="C296" s="236"/>
      <c r="D296" s="237"/>
      <c r="E296" s="238"/>
      <c r="F296" s="234"/>
      <c r="G296"/>
      <c r="H296"/>
      <c r="I296"/>
      <c r="J296"/>
      <c r="K296"/>
      <c r="L296"/>
      <c r="M296"/>
      <c r="N296"/>
      <c r="O296"/>
      <c r="P296"/>
      <c r="Q296"/>
      <c r="R296"/>
      <c r="S296"/>
      <c r="T296"/>
      <c r="U296"/>
      <c r="V296"/>
      <c r="W296"/>
    </row>
    <row r="297" spans="2:23" outlineLevel="1">
      <c r="B297" s="230"/>
      <c r="C297" s="231"/>
      <c r="D297" s="232"/>
      <c r="E297" s="233"/>
      <c r="F297" s="234"/>
      <c r="G297"/>
      <c r="H297"/>
      <c r="I297"/>
      <c r="J297"/>
      <c r="K297"/>
      <c r="L297"/>
      <c r="M297"/>
      <c r="N297"/>
      <c r="O297"/>
      <c r="P297"/>
      <c r="Q297"/>
      <c r="R297"/>
      <c r="S297"/>
      <c r="T297"/>
      <c r="U297"/>
      <c r="V297"/>
      <c r="W297"/>
    </row>
    <row r="298" spans="2:23" outlineLevel="1">
      <c r="B298" s="235"/>
      <c r="C298" s="236"/>
      <c r="D298" s="237"/>
      <c r="E298" s="238"/>
      <c r="F298" s="234"/>
      <c r="G298"/>
      <c r="H298"/>
      <c r="I298"/>
      <c r="J298"/>
      <c r="K298"/>
      <c r="L298"/>
      <c r="M298"/>
      <c r="N298"/>
      <c r="O298"/>
      <c r="P298"/>
      <c r="Q298"/>
      <c r="R298"/>
      <c r="S298"/>
      <c r="T298"/>
      <c r="U298"/>
      <c r="V298"/>
      <c r="W298"/>
    </row>
    <row r="299" spans="2:23" outlineLevel="1">
      <c r="B299" s="230"/>
      <c r="C299" s="231"/>
      <c r="D299" s="232"/>
      <c r="E299" s="233"/>
      <c r="F299" s="234"/>
      <c r="G299"/>
      <c r="H299"/>
      <c r="I299"/>
      <c r="J299"/>
      <c r="K299"/>
      <c r="L299"/>
      <c r="M299"/>
      <c r="N299"/>
      <c r="O299"/>
      <c r="P299"/>
      <c r="Q299"/>
      <c r="R299"/>
      <c r="S299"/>
      <c r="T299"/>
      <c r="U299"/>
      <c r="V299"/>
      <c r="W299"/>
    </row>
    <row r="300" spans="2:23" outlineLevel="1">
      <c r="B300" s="235"/>
      <c r="C300" s="236"/>
      <c r="D300" s="237"/>
      <c r="E300" s="238"/>
      <c r="F300" s="234"/>
      <c r="G300"/>
      <c r="H300"/>
      <c r="I300"/>
      <c r="J300"/>
      <c r="K300"/>
      <c r="L300"/>
      <c r="M300"/>
      <c r="N300"/>
      <c r="O300"/>
      <c r="P300"/>
      <c r="Q300"/>
      <c r="R300"/>
      <c r="S300"/>
      <c r="T300"/>
      <c r="U300"/>
      <c r="V300"/>
      <c r="W300"/>
    </row>
    <row r="301" spans="2:23" outlineLevel="1">
      <c r="B301" s="230"/>
      <c r="C301" s="231"/>
      <c r="D301" s="232"/>
      <c r="E301" s="233"/>
      <c r="F301" s="234"/>
      <c r="G301"/>
      <c r="H301"/>
      <c r="I301"/>
      <c r="J301"/>
      <c r="K301"/>
      <c r="L301"/>
      <c r="M301"/>
      <c r="N301"/>
      <c r="O301"/>
      <c r="P301"/>
      <c r="Q301"/>
      <c r="R301"/>
      <c r="S301"/>
      <c r="T301"/>
      <c r="U301"/>
      <c r="V301"/>
      <c r="W301"/>
    </row>
    <row r="302" spans="2:23" outlineLevel="1">
      <c r="B302" s="235"/>
      <c r="C302" s="236"/>
      <c r="D302" s="237"/>
      <c r="E302" s="238"/>
      <c r="F302" s="234"/>
      <c r="G302"/>
      <c r="H302"/>
      <c r="I302"/>
      <c r="J302"/>
      <c r="K302"/>
      <c r="L302"/>
      <c r="M302"/>
      <c r="N302"/>
      <c r="O302"/>
      <c r="P302"/>
      <c r="Q302"/>
      <c r="R302"/>
      <c r="S302"/>
      <c r="T302"/>
      <c r="U302"/>
      <c r="V302"/>
      <c r="W302"/>
    </row>
    <row r="303" spans="2:23" outlineLevel="1">
      <c r="B303" s="230"/>
      <c r="C303" s="231"/>
      <c r="D303" s="232"/>
      <c r="E303" s="233"/>
      <c r="F303" s="234"/>
      <c r="G303"/>
      <c r="H303"/>
      <c r="I303"/>
      <c r="J303"/>
      <c r="K303"/>
      <c r="L303"/>
      <c r="M303"/>
      <c r="N303"/>
      <c r="O303"/>
      <c r="P303"/>
      <c r="Q303"/>
      <c r="R303"/>
      <c r="S303"/>
      <c r="T303"/>
      <c r="U303"/>
      <c r="V303"/>
      <c r="W303"/>
    </row>
    <row r="304" spans="2:23" outlineLevel="1">
      <c r="B304" s="235"/>
      <c r="C304" s="236"/>
      <c r="D304" s="237"/>
      <c r="E304" s="238"/>
      <c r="F304" s="234"/>
      <c r="G304"/>
      <c r="H304"/>
      <c r="I304"/>
      <c r="J304"/>
      <c r="K304"/>
      <c r="L304"/>
      <c r="M304"/>
      <c r="N304"/>
      <c r="O304"/>
      <c r="P304"/>
      <c r="Q304"/>
      <c r="R304"/>
      <c r="S304"/>
      <c r="T304"/>
      <c r="U304"/>
      <c r="V304"/>
      <c r="W304"/>
    </row>
    <row r="305" spans="2:23" outlineLevel="1">
      <c r="B305" s="230"/>
      <c r="C305" s="231"/>
      <c r="D305" s="232"/>
      <c r="E305" s="233"/>
      <c r="F305" s="234"/>
      <c r="G305"/>
      <c r="H305"/>
      <c r="I305"/>
      <c r="J305"/>
      <c r="K305"/>
      <c r="L305"/>
      <c r="M305"/>
      <c r="N305"/>
      <c r="O305"/>
      <c r="P305"/>
      <c r="Q305"/>
      <c r="R305"/>
      <c r="S305"/>
      <c r="T305"/>
      <c r="U305"/>
      <c r="V305"/>
      <c r="W305"/>
    </row>
    <row r="306" spans="2:23" outlineLevel="1">
      <c r="B306" s="235"/>
      <c r="C306" s="236"/>
      <c r="D306" s="237"/>
      <c r="E306" s="238"/>
      <c r="F306" s="234"/>
      <c r="G306"/>
      <c r="H306"/>
      <c r="I306"/>
      <c r="J306"/>
      <c r="K306"/>
      <c r="L306"/>
      <c r="M306"/>
      <c r="N306"/>
      <c r="O306"/>
      <c r="P306"/>
      <c r="Q306"/>
      <c r="R306"/>
      <c r="S306"/>
      <c r="T306"/>
      <c r="U306"/>
      <c r="V306"/>
      <c r="W306"/>
    </row>
    <row r="307" spans="2:23" outlineLevel="1">
      <c r="B307" s="230"/>
      <c r="C307" s="231"/>
      <c r="D307" s="232"/>
      <c r="E307" s="233"/>
      <c r="F307" s="234"/>
      <c r="G307"/>
      <c r="H307"/>
      <c r="I307"/>
      <c r="J307"/>
      <c r="K307"/>
      <c r="L307"/>
      <c r="M307"/>
      <c r="N307"/>
      <c r="O307"/>
      <c r="P307"/>
      <c r="Q307"/>
      <c r="R307"/>
      <c r="S307"/>
      <c r="T307"/>
      <c r="U307"/>
      <c r="V307"/>
      <c r="W307"/>
    </row>
    <row r="308" spans="2:23" outlineLevel="1">
      <c r="B308" s="235"/>
      <c r="C308" s="236"/>
      <c r="D308" s="237"/>
      <c r="E308" s="238"/>
      <c r="F308" s="234"/>
      <c r="G308"/>
      <c r="H308"/>
      <c r="I308"/>
      <c r="J308"/>
      <c r="K308"/>
      <c r="L308"/>
      <c r="M308"/>
      <c r="N308"/>
      <c r="O308"/>
      <c r="P308"/>
      <c r="Q308"/>
      <c r="R308"/>
      <c r="S308"/>
      <c r="T308"/>
      <c r="U308"/>
      <c r="V308"/>
      <c r="W308"/>
    </row>
    <row r="309" spans="2:23" outlineLevel="1">
      <c r="B309" s="230"/>
      <c r="C309" s="231"/>
      <c r="D309" s="232"/>
      <c r="E309" s="233"/>
      <c r="F309" s="234"/>
      <c r="G309"/>
      <c r="H309"/>
      <c r="I309"/>
      <c r="J309"/>
      <c r="K309"/>
      <c r="L309"/>
      <c r="M309"/>
      <c r="N309"/>
      <c r="O309"/>
      <c r="P309"/>
      <c r="Q309"/>
      <c r="R309"/>
      <c r="S309"/>
      <c r="T309"/>
      <c r="U309"/>
      <c r="V309"/>
      <c r="W309"/>
    </row>
    <row r="310" spans="2:23" outlineLevel="1">
      <c r="B310" s="235"/>
      <c r="C310" s="236"/>
      <c r="D310" s="237"/>
      <c r="E310" s="238"/>
      <c r="F310" s="234"/>
      <c r="G310"/>
      <c r="H310"/>
      <c r="I310"/>
      <c r="J310"/>
      <c r="K310"/>
      <c r="L310"/>
      <c r="M310"/>
      <c r="N310"/>
      <c r="O310"/>
      <c r="P310"/>
      <c r="Q310"/>
      <c r="R310"/>
      <c r="S310"/>
      <c r="T310"/>
      <c r="U310"/>
      <c r="V310"/>
      <c r="W310"/>
    </row>
    <row r="311" spans="2:23" outlineLevel="1">
      <c r="B311" s="230"/>
      <c r="C311" s="231"/>
      <c r="D311" s="232"/>
      <c r="E311" s="233"/>
      <c r="F311" s="234"/>
      <c r="G311"/>
      <c r="H311"/>
      <c r="I311"/>
      <c r="J311"/>
      <c r="K311"/>
      <c r="L311"/>
      <c r="M311"/>
      <c r="N311"/>
      <c r="O311"/>
      <c r="P311"/>
      <c r="Q311"/>
      <c r="R311"/>
      <c r="S311"/>
      <c r="T311"/>
      <c r="U311"/>
      <c r="V311"/>
      <c r="W311"/>
    </row>
    <row r="312" spans="2:23" outlineLevel="1">
      <c r="B312" s="235"/>
      <c r="C312" s="236"/>
      <c r="D312" s="237"/>
      <c r="E312" s="238"/>
      <c r="F312" s="234"/>
      <c r="G312"/>
      <c r="H312"/>
      <c r="I312"/>
      <c r="J312"/>
      <c r="K312"/>
      <c r="L312"/>
      <c r="M312"/>
      <c r="N312"/>
      <c r="O312"/>
      <c r="P312"/>
      <c r="Q312"/>
      <c r="R312"/>
      <c r="S312"/>
      <c r="T312"/>
      <c r="U312"/>
      <c r="V312"/>
      <c r="W312"/>
    </row>
    <row r="313" spans="2:23" outlineLevel="1">
      <c r="B313" s="230"/>
      <c r="C313" s="231"/>
      <c r="D313" s="232"/>
      <c r="E313" s="233"/>
      <c r="F313" s="234"/>
      <c r="G313"/>
      <c r="H313"/>
      <c r="I313"/>
      <c r="J313"/>
      <c r="K313"/>
      <c r="L313"/>
      <c r="M313"/>
      <c r="N313"/>
      <c r="O313"/>
      <c r="P313"/>
      <c r="Q313"/>
      <c r="R313"/>
      <c r="S313"/>
      <c r="T313"/>
      <c r="U313"/>
      <c r="V313"/>
      <c r="W313"/>
    </row>
    <row r="314" spans="2:23" outlineLevel="1">
      <c r="B314" s="235"/>
      <c r="C314" s="236"/>
      <c r="D314" s="237"/>
      <c r="E314" s="238"/>
      <c r="F314" s="234"/>
      <c r="G314"/>
      <c r="H314"/>
      <c r="I314"/>
      <c r="J314"/>
      <c r="K314"/>
      <c r="L314"/>
      <c r="M314"/>
      <c r="N314"/>
      <c r="O314"/>
      <c r="P314"/>
      <c r="Q314"/>
      <c r="R314"/>
      <c r="S314"/>
      <c r="T314"/>
      <c r="U314"/>
      <c r="V314"/>
      <c r="W314"/>
    </row>
    <row r="315" spans="2:23" outlineLevel="1">
      <c r="B315" s="230"/>
      <c r="C315" s="231"/>
      <c r="D315" s="232"/>
      <c r="E315" s="233"/>
      <c r="F315" s="234"/>
      <c r="G315"/>
      <c r="H315"/>
      <c r="I315"/>
      <c r="J315"/>
      <c r="K315"/>
      <c r="L315"/>
      <c r="M315"/>
      <c r="N315"/>
      <c r="O315"/>
      <c r="P315"/>
      <c r="Q315"/>
      <c r="R315"/>
      <c r="S315"/>
      <c r="T315"/>
      <c r="U315"/>
      <c r="V315"/>
      <c r="W315"/>
    </row>
    <row r="316" spans="2:23" outlineLevel="1">
      <c r="B316" s="235"/>
      <c r="C316" s="236"/>
      <c r="D316" s="237"/>
      <c r="E316" s="238"/>
      <c r="F316" s="234"/>
      <c r="G316"/>
      <c r="H316"/>
      <c r="I316"/>
      <c r="J316"/>
      <c r="K316"/>
      <c r="L316"/>
      <c r="M316"/>
      <c r="N316"/>
      <c r="O316"/>
      <c r="P316"/>
      <c r="Q316"/>
      <c r="R316"/>
      <c r="S316"/>
      <c r="T316"/>
      <c r="U316"/>
      <c r="V316"/>
      <c r="W316"/>
    </row>
    <row r="317" spans="2:23" outlineLevel="1">
      <c r="B317" s="230"/>
      <c r="C317" s="231"/>
      <c r="D317" s="232"/>
      <c r="E317" s="233"/>
      <c r="F317" s="234"/>
      <c r="G317"/>
      <c r="H317"/>
      <c r="I317"/>
      <c r="J317"/>
      <c r="K317"/>
      <c r="L317"/>
      <c r="M317"/>
      <c r="N317"/>
      <c r="O317"/>
      <c r="P317"/>
      <c r="Q317"/>
      <c r="R317"/>
      <c r="S317"/>
      <c r="T317"/>
      <c r="U317"/>
      <c r="V317"/>
      <c r="W317"/>
    </row>
    <row r="318" spans="2:23" outlineLevel="1">
      <c r="B318" s="235"/>
      <c r="C318" s="236"/>
      <c r="D318" s="237"/>
      <c r="E318" s="238"/>
      <c r="F318" s="234"/>
      <c r="G318"/>
      <c r="H318"/>
      <c r="I318"/>
      <c r="J318"/>
      <c r="K318"/>
      <c r="L318"/>
      <c r="M318"/>
      <c r="N318"/>
      <c r="O318"/>
      <c r="P318"/>
      <c r="Q318"/>
      <c r="R318"/>
      <c r="S318"/>
      <c r="T318"/>
      <c r="U318"/>
      <c r="V318"/>
      <c r="W318"/>
    </row>
    <row r="319" spans="2:23" outlineLevel="1">
      <c r="B319" s="230"/>
      <c r="C319" s="231"/>
      <c r="D319" s="232"/>
      <c r="E319" s="233"/>
      <c r="F319" s="234"/>
      <c r="G319"/>
      <c r="H319"/>
      <c r="I319"/>
      <c r="J319"/>
      <c r="K319"/>
      <c r="L319"/>
      <c r="M319"/>
      <c r="N319"/>
      <c r="O319"/>
      <c r="P319"/>
      <c r="Q319"/>
      <c r="R319"/>
      <c r="S319"/>
      <c r="T319"/>
      <c r="U319"/>
      <c r="V319"/>
      <c r="W319"/>
    </row>
    <row r="320" spans="2:23" outlineLevel="1">
      <c r="B320" s="235"/>
      <c r="C320" s="236"/>
      <c r="D320" s="237"/>
      <c r="E320" s="238"/>
      <c r="F320" s="234"/>
      <c r="G320"/>
      <c r="H320"/>
      <c r="I320"/>
      <c r="J320"/>
      <c r="K320"/>
      <c r="L320"/>
      <c r="M320"/>
      <c r="N320"/>
      <c r="O320"/>
      <c r="P320"/>
      <c r="Q320"/>
      <c r="R320"/>
      <c r="S320"/>
      <c r="T320"/>
      <c r="U320"/>
      <c r="V320"/>
      <c r="W320"/>
    </row>
    <row r="321" spans="2:23" outlineLevel="1">
      <c r="B321" s="230"/>
      <c r="C321" s="231"/>
      <c r="D321" s="232"/>
      <c r="E321" s="233"/>
      <c r="F321" s="234"/>
      <c r="G321"/>
      <c r="H321"/>
      <c r="I321"/>
      <c r="J321"/>
      <c r="K321"/>
      <c r="L321"/>
      <c r="M321"/>
      <c r="N321"/>
      <c r="O321"/>
      <c r="P321"/>
      <c r="Q321"/>
      <c r="R321"/>
      <c r="S321"/>
      <c r="T321"/>
      <c r="U321"/>
      <c r="V321"/>
      <c r="W321"/>
    </row>
    <row r="322" spans="2:23" outlineLevel="1">
      <c r="B322" s="235"/>
      <c r="C322" s="236"/>
      <c r="D322" s="237"/>
      <c r="E322" s="238"/>
      <c r="F322" s="234"/>
      <c r="G322"/>
      <c r="H322"/>
      <c r="I322"/>
      <c r="J322"/>
      <c r="K322"/>
      <c r="L322"/>
      <c r="M322"/>
      <c r="N322"/>
      <c r="O322"/>
      <c r="P322"/>
      <c r="Q322"/>
      <c r="R322"/>
      <c r="S322"/>
      <c r="T322"/>
      <c r="U322"/>
      <c r="V322"/>
      <c r="W322"/>
    </row>
    <row r="323" spans="2:23" outlineLevel="1">
      <c r="B323" s="230"/>
      <c r="C323" s="231"/>
      <c r="D323" s="232"/>
      <c r="E323" s="233"/>
      <c r="F323" s="234"/>
      <c r="G323"/>
      <c r="H323"/>
      <c r="I323"/>
      <c r="J323"/>
      <c r="K323"/>
      <c r="L323"/>
      <c r="M323"/>
      <c r="N323"/>
      <c r="O323"/>
      <c r="P323"/>
      <c r="Q323"/>
      <c r="R323"/>
      <c r="S323"/>
      <c r="T323"/>
      <c r="U323"/>
      <c r="V323"/>
      <c r="W323"/>
    </row>
    <row r="324" spans="2:23" outlineLevel="1">
      <c r="B324" s="235"/>
      <c r="C324" s="236"/>
      <c r="D324" s="237"/>
      <c r="E324" s="238"/>
      <c r="F324" s="234"/>
      <c r="G324"/>
      <c r="H324"/>
      <c r="I324"/>
      <c r="J324"/>
      <c r="K324"/>
      <c r="L324"/>
      <c r="M324"/>
      <c r="N324"/>
      <c r="O324"/>
      <c r="P324"/>
      <c r="Q324"/>
      <c r="R324"/>
      <c r="S324"/>
      <c r="T324"/>
      <c r="U324"/>
      <c r="V324"/>
      <c r="W324"/>
    </row>
    <row r="325" spans="2:23" outlineLevel="1">
      <c r="B325" s="230"/>
      <c r="C325" s="231"/>
      <c r="D325" s="232"/>
      <c r="E325" s="233"/>
      <c r="F325" s="234"/>
      <c r="G325"/>
      <c r="H325"/>
      <c r="I325"/>
      <c r="J325"/>
      <c r="K325"/>
      <c r="L325"/>
      <c r="M325"/>
      <c r="N325"/>
      <c r="O325"/>
      <c r="P325"/>
      <c r="Q325"/>
      <c r="R325"/>
      <c r="S325"/>
      <c r="T325"/>
      <c r="U325"/>
      <c r="V325"/>
      <c r="W325"/>
    </row>
    <row r="326" spans="2:23" outlineLevel="1">
      <c r="B326" s="235"/>
      <c r="C326" s="236"/>
      <c r="D326" s="237"/>
      <c r="E326" s="238"/>
      <c r="F326" s="234"/>
      <c r="G326"/>
      <c r="H326"/>
      <c r="I326"/>
      <c r="J326"/>
      <c r="K326"/>
      <c r="L326"/>
      <c r="M326"/>
      <c r="N326"/>
      <c r="O326"/>
      <c r="P326"/>
      <c r="Q326"/>
      <c r="R326"/>
      <c r="S326"/>
      <c r="T326"/>
      <c r="U326"/>
      <c r="V326"/>
      <c r="W326"/>
    </row>
    <row r="327" spans="2:23" outlineLevel="1">
      <c r="B327" s="230"/>
      <c r="C327" s="231"/>
      <c r="D327" s="232"/>
      <c r="E327" s="233"/>
      <c r="F327" s="234"/>
      <c r="G327"/>
      <c r="H327"/>
      <c r="I327"/>
      <c r="J327"/>
      <c r="K327"/>
      <c r="L327"/>
      <c r="M327"/>
      <c r="N327"/>
      <c r="O327"/>
      <c r="P327"/>
      <c r="Q327"/>
      <c r="R327"/>
      <c r="S327"/>
      <c r="T327"/>
      <c r="U327"/>
      <c r="V327"/>
      <c r="W327"/>
    </row>
    <row r="328" spans="2:23" outlineLevel="1">
      <c r="B328" s="235"/>
      <c r="C328" s="236"/>
      <c r="D328" s="237"/>
      <c r="E328" s="238"/>
      <c r="F328" s="234"/>
      <c r="G328"/>
      <c r="H328"/>
      <c r="I328"/>
      <c r="J328"/>
      <c r="K328"/>
      <c r="L328"/>
      <c r="M328"/>
      <c r="N328"/>
      <c r="O328"/>
      <c r="P328"/>
      <c r="Q328"/>
      <c r="R328"/>
      <c r="S328"/>
      <c r="T328"/>
      <c r="U328"/>
      <c r="V328"/>
      <c r="W328"/>
    </row>
    <row r="329" spans="2:23" outlineLevel="1">
      <c r="B329" s="230"/>
      <c r="C329" s="231"/>
      <c r="D329" s="232"/>
      <c r="E329" s="233"/>
      <c r="F329" s="234"/>
      <c r="G329"/>
      <c r="H329"/>
      <c r="I329"/>
      <c r="J329"/>
      <c r="K329"/>
      <c r="L329"/>
      <c r="M329"/>
      <c r="N329"/>
      <c r="O329"/>
      <c r="P329"/>
      <c r="Q329"/>
      <c r="R329"/>
      <c r="S329"/>
      <c r="T329"/>
      <c r="U329"/>
      <c r="V329"/>
      <c r="W329"/>
    </row>
    <row r="330" spans="2:23" outlineLevel="1">
      <c r="B330" s="235"/>
      <c r="C330" s="236"/>
      <c r="D330" s="237"/>
      <c r="E330" s="238"/>
      <c r="F330" s="234"/>
      <c r="G330"/>
      <c r="H330"/>
      <c r="I330"/>
      <c r="J330"/>
      <c r="K330"/>
      <c r="L330"/>
      <c r="M330"/>
      <c r="N330"/>
      <c r="O330"/>
      <c r="P330"/>
      <c r="Q330"/>
      <c r="R330"/>
      <c r="S330"/>
      <c r="T330"/>
      <c r="U330"/>
      <c r="V330"/>
      <c r="W330"/>
    </row>
    <row r="331" spans="2:23" outlineLevel="1">
      <c r="B331" s="230"/>
      <c r="C331" s="231"/>
      <c r="D331" s="232"/>
      <c r="E331" s="233"/>
      <c r="F331" s="234"/>
      <c r="G331"/>
      <c r="H331"/>
      <c r="I331"/>
      <c r="J331"/>
      <c r="K331"/>
      <c r="L331"/>
      <c r="M331"/>
      <c r="N331"/>
      <c r="O331"/>
      <c r="P331"/>
      <c r="Q331"/>
      <c r="R331"/>
      <c r="S331"/>
      <c r="T331"/>
      <c r="U331"/>
      <c r="V331"/>
      <c r="W331"/>
    </row>
    <row r="332" spans="2:23" outlineLevel="1">
      <c r="B332" s="235"/>
      <c r="C332" s="236"/>
      <c r="D332" s="237"/>
      <c r="E332" s="238"/>
      <c r="F332" s="234"/>
      <c r="G332"/>
      <c r="H332"/>
      <c r="I332"/>
      <c r="J332"/>
      <c r="K332"/>
      <c r="L332"/>
      <c r="M332"/>
      <c r="N332"/>
      <c r="O332"/>
      <c r="P332"/>
      <c r="Q332"/>
      <c r="R332"/>
      <c r="S332"/>
      <c r="T332"/>
      <c r="U332"/>
      <c r="V332"/>
      <c r="W332"/>
    </row>
    <row r="333" spans="2:23" outlineLevel="1">
      <c r="B333" s="230"/>
      <c r="C333" s="231"/>
      <c r="D333" s="232"/>
      <c r="E333" s="233"/>
      <c r="F333" s="234"/>
      <c r="G333"/>
      <c r="H333"/>
      <c r="I333"/>
      <c r="J333"/>
      <c r="K333"/>
      <c r="L333"/>
      <c r="M333"/>
      <c r="N333"/>
      <c r="O333"/>
      <c r="P333"/>
      <c r="Q333"/>
      <c r="R333"/>
      <c r="S333"/>
      <c r="T333"/>
      <c r="U333"/>
      <c r="V333"/>
      <c r="W333"/>
    </row>
    <row r="334" spans="2:23" outlineLevel="1">
      <c r="B334" s="235"/>
      <c r="C334" s="236"/>
      <c r="D334" s="237"/>
      <c r="E334" s="238"/>
      <c r="F334" s="234"/>
      <c r="G334"/>
      <c r="H334"/>
      <c r="I334"/>
      <c r="J334"/>
      <c r="K334"/>
      <c r="L334"/>
      <c r="M334"/>
      <c r="N334"/>
      <c r="O334"/>
      <c r="P334"/>
      <c r="Q334"/>
      <c r="R334"/>
      <c r="S334"/>
      <c r="T334"/>
      <c r="U334"/>
      <c r="V334"/>
      <c r="W334"/>
    </row>
    <row r="335" spans="2:23" outlineLevel="1">
      <c r="B335" s="230"/>
      <c r="C335" s="231"/>
      <c r="D335" s="232"/>
      <c r="E335" s="233"/>
      <c r="F335" s="234"/>
      <c r="G335"/>
      <c r="H335"/>
      <c r="I335"/>
      <c r="J335"/>
      <c r="K335"/>
      <c r="L335"/>
      <c r="M335"/>
      <c r="N335"/>
      <c r="O335"/>
      <c r="P335"/>
      <c r="Q335"/>
      <c r="R335"/>
      <c r="S335"/>
      <c r="T335"/>
      <c r="U335"/>
      <c r="V335"/>
      <c r="W335"/>
    </row>
    <row r="336" spans="2:23" outlineLevel="1">
      <c r="B336" s="235"/>
      <c r="C336" s="236"/>
      <c r="D336" s="237"/>
      <c r="E336" s="238"/>
      <c r="F336" s="234"/>
      <c r="G336"/>
      <c r="H336"/>
      <c r="I336"/>
      <c r="J336"/>
      <c r="K336"/>
      <c r="L336"/>
      <c r="M336"/>
      <c r="N336"/>
      <c r="O336"/>
      <c r="P336"/>
      <c r="Q336"/>
      <c r="R336"/>
      <c r="S336"/>
      <c r="T336"/>
      <c r="U336"/>
      <c r="V336"/>
      <c r="W336"/>
    </row>
    <row r="337" spans="2:23" outlineLevel="1">
      <c r="B337" s="230"/>
      <c r="C337" s="231"/>
      <c r="D337" s="232"/>
      <c r="E337" s="233"/>
      <c r="F337" s="234"/>
      <c r="G337"/>
      <c r="H337"/>
      <c r="I337"/>
      <c r="J337"/>
      <c r="K337"/>
      <c r="L337"/>
      <c r="M337"/>
      <c r="N337"/>
      <c r="O337"/>
      <c r="P337"/>
      <c r="Q337"/>
      <c r="R337"/>
      <c r="S337"/>
      <c r="T337"/>
      <c r="U337"/>
      <c r="V337"/>
      <c r="W337"/>
    </row>
    <row r="338" spans="2:23" outlineLevel="1">
      <c r="B338" s="235"/>
      <c r="C338" s="236"/>
      <c r="D338" s="237"/>
      <c r="E338" s="238"/>
      <c r="F338" s="234"/>
      <c r="G338"/>
      <c r="H338"/>
      <c r="I338"/>
      <c r="J338"/>
      <c r="K338"/>
      <c r="L338"/>
      <c r="M338"/>
      <c r="N338"/>
      <c r="O338"/>
      <c r="P338"/>
      <c r="Q338"/>
      <c r="R338"/>
      <c r="S338"/>
      <c r="T338"/>
      <c r="U338"/>
      <c r="V338"/>
      <c r="W338"/>
    </row>
    <row r="339" spans="2:23" outlineLevel="1">
      <c r="B339" s="230"/>
      <c r="C339" s="231"/>
      <c r="D339" s="232"/>
      <c r="E339" s="233"/>
      <c r="F339" s="234"/>
      <c r="G339"/>
      <c r="H339"/>
      <c r="I339"/>
      <c r="J339"/>
      <c r="K339"/>
      <c r="L339"/>
      <c r="M339"/>
      <c r="N339"/>
      <c r="O339"/>
      <c r="P339"/>
      <c r="Q339"/>
      <c r="R339"/>
      <c r="S339"/>
      <c r="T339"/>
      <c r="U339"/>
      <c r="V339"/>
      <c r="W339"/>
    </row>
    <row r="340" spans="2:23" outlineLevel="1">
      <c r="B340" s="235"/>
      <c r="C340" s="236"/>
      <c r="D340" s="237"/>
      <c r="E340" s="238"/>
      <c r="F340" s="234"/>
      <c r="G340"/>
      <c r="H340"/>
      <c r="I340"/>
      <c r="J340"/>
      <c r="K340"/>
      <c r="L340"/>
      <c r="M340"/>
      <c r="N340"/>
      <c r="O340"/>
      <c r="P340"/>
      <c r="Q340"/>
      <c r="R340"/>
      <c r="S340"/>
      <c r="T340"/>
      <c r="U340"/>
      <c r="V340"/>
      <c r="W340"/>
    </row>
    <row r="341" spans="2:23" outlineLevel="1">
      <c r="B341" s="230"/>
      <c r="C341" s="231"/>
      <c r="D341" s="232"/>
      <c r="E341" s="233"/>
      <c r="F341" s="234"/>
      <c r="G341"/>
      <c r="H341"/>
      <c r="I341"/>
      <c r="J341"/>
      <c r="K341"/>
      <c r="L341"/>
      <c r="M341"/>
      <c r="N341"/>
      <c r="O341"/>
      <c r="P341"/>
      <c r="Q341"/>
      <c r="R341"/>
      <c r="S341"/>
      <c r="T341"/>
      <c r="U341"/>
      <c r="V341"/>
      <c r="W341"/>
    </row>
    <row r="342" spans="2:23" outlineLevel="1">
      <c r="B342" s="235"/>
      <c r="C342" s="236"/>
      <c r="D342" s="237"/>
      <c r="E342" s="238"/>
      <c r="F342" s="234"/>
      <c r="G342"/>
      <c r="H342"/>
      <c r="I342"/>
      <c r="J342"/>
      <c r="K342"/>
      <c r="L342"/>
      <c r="M342"/>
      <c r="N342"/>
      <c r="O342"/>
      <c r="P342"/>
      <c r="Q342"/>
      <c r="R342"/>
      <c r="S342"/>
      <c r="T342"/>
      <c r="U342"/>
      <c r="V342"/>
      <c r="W342"/>
    </row>
    <row r="343" spans="2:23" outlineLevel="1">
      <c r="B343" s="230"/>
      <c r="C343" s="231"/>
      <c r="D343" s="232"/>
      <c r="E343" s="233"/>
      <c r="F343" s="234"/>
      <c r="G343"/>
      <c r="H343"/>
      <c r="I343"/>
      <c r="J343"/>
      <c r="K343"/>
      <c r="L343"/>
      <c r="M343"/>
      <c r="N343"/>
      <c r="O343"/>
      <c r="P343"/>
      <c r="Q343"/>
      <c r="R343"/>
      <c r="S343"/>
      <c r="T343"/>
      <c r="U343"/>
      <c r="V343"/>
      <c r="W343"/>
    </row>
    <row r="344" spans="2:23" outlineLevel="1">
      <c r="B344" s="235"/>
      <c r="C344" s="236"/>
      <c r="D344" s="237"/>
      <c r="E344" s="238"/>
      <c r="F344" s="234"/>
      <c r="G344"/>
      <c r="H344"/>
      <c r="I344"/>
      <c r="J344"/>
      <c r="K344"/>
      <c r="L344"/>
      <c r="M344"/>
      <c r="N344"/>
      <c r="O344"/>
      <c r="P344"/>
      <c r="Q344"/>
      <c r="R344"/>
      <c r="S344"/>
      <c r="T344"/>
      <c r="U344"/>
      <c r="V344"/>
      <c r="W344"/>
    </row>
    <row r="345" spans="2:23" outlineLevel="1">
      <c r="B345" s="230"/>
      <c r="C345" s="231"/>
      <c r="D345" s="232"/>
      <c r="E345" s="233"/>
      <c r="F345" s="234"/>
      <c r="G345"/>
      <c r="H345"/>
      <c r="I345"/>
      <c r="J345"/>
      <c r="K345"/>
      <c r="L345"/>
      <c r="M345"/>
      <c r="N345"/>
      <c r="O345"/>
      <c r="P345"/>
      <c r="Q345"/>
      <c r="R345"/>
      <c r="S345"/>
      <c r="T345"/>
      <c r="U345"/>
      <c r="V345"/>
      <c r="W345"/>
    </row>
    <row r="346" spans="2:23" outlineLevel="1">
      <c r="B346" s="235"/>
      <c r="C346" s="236"/>
      <c r="D346" s="237"/>
      <c r="E346" s="238"/>
      <c r="F346" s="234"/>
      <c r="G346"/>
      <c r="H346"/>
      <c r="I346"/>
      <c r="J346"/>
      <c r="K346"/>
      <c r="L346"/>
      <c r="M346"/>
      <c r="N346"/>
      <c r="O346"/>
      <c r="P346"/>
      <c r="Q346"/>
      <c r="R346"/>
      <c r="S346"/>
      <c r="T346"/>
      <c r="U346"/>
      <c r="V346"/>
      <c r="W346"/>
    </row>
    <row r="347" spans="2:23" outlineLevel="1">
      <c r="B347" s="230"/>
      <c r="C347" s="231"/>
      <c r="D347" s="232"/>
      <c r="E347" s="233"/>
      <c r="F347" s="234"/>
      <c r="G347"/>
      <c r="H347"/>
      <c r="I347"/>
      <c r="J347"/>
      <c r="K347"/>
      <c r="L347"/>
      <c r="M347"/>
      <c r="N347"/>
      <c r="O347"/>
      <c r="P347"/>
      <c r="Q347"/>
      <c r="R347"/>
      <c r="S347"/>
      <c r="T347"/>
      <c r="U347"/>
      <c r="V347"/>
      <c r="W347"/>
    </row>
    <row r="348" spans="2:23" outlineLevel="1">
      <c r="B348" s="235"/>
      <c r="C348" s="236"/>
      <c r="D348" s="237"/>
      <c r="E348" s="238"/>
      <c r="F348" s="234"/>
      <c r="G348"/>
      <c r="H348"/>
      <c r="I348"/>
      <c r="J348"/>
      <c r="K348"/>
      <c r="L348"/>
      <c r="M348"/>
      <c r="N348"/>
      <c r="O348"/>
      <c r="P348"/>
      <c r="Q348"/>
      <c r="R348"/>
      <c r="S348"/>
      <c r="T348"/>
      <c r="U348"/>
      <c r="V348"/>
      <c r="W348"/>
    </row>
    <row r="349" spans="2:23" outlineLevel="1">
      <c r="B349" s="230"/>
      <c r="C349" s="231"/>
      <c r="D349" s="232"/>
      <c r="E349" s="233"/>
      <c r="F349" s="234"/>
      <c r="G349"/>
      <c r="H349"/>
      <c r="I349"/>
      <c r="J349"/>
      <c r="K349"/>
      <c r="L349"/>
      <c r="M349"/>
      <c r="N349"/>
      <c r="O349"/>
      <c r="P349"/>
      <c r="Q349"/>
      <c r="R349"/>
      <c r="S349"/>
      <c r="T349"/>
      <c r="U349"/>
      <c r="V349"/>
      <c r="W349"/>
    </row>
    <row r="350" spans="2:23" outlineLevel="1">
      <c r="B350" s="235"/>
      <c r="C350" s="236"/>
      <c r="D350" s="237"/>
      <c r="E350" s="238"/>
      <c r="F350" s="234"/>
      <c r="G350"/>
      <c r="H350"/>
      <c r="I350"/>
      <c r="J350"/>
      <c r="K350"/>
      <c r="L350"/>
      <c r="M350"/>
      <c r="N350"/>
      <c r="O350"/>
      <c r="P350"/>
      <c r="Q350"/>
      <c r="R350"/>
      <c r="S350"/>
      <c r="T350"/>
      <c r="U350"/>
      <c r="V350"/>
      <c r="W350"/>
    </row>
    <row r="351" spans="2:23" outlineLevel="1">
      <c r="B351" s="230"/>
      <c r="C351" s="231"/>
      <c r="D351" s="232"/>
      <c r="E351" s="233"/>
      <c r="F351" s="234"/>
      <c r="G351"/>
      <c r="H351"/>
      <c r="I351"/>
      <c r="J351"/>
      <c r="K351"/>
      <c r="L351"/>
      <c r="M351"/>
      <c r="N351"/>
      <c r="O351"/>
      <c r="P351"/>
      <c r="Q351"/>
      <c r="R351"/>
      <c r="S351"/>
      <c r="T351"/>
      <c r="U351"/>
      <c r="V351"/>
      <c r="W351"/>
    </row>
    <row r="352" spans="2:23" outlineLevel="1">
      <c r="B352" s="235"/>
      <c r="C352" s="236"/>
      <c r="D352" s="237"/>
      <c r="E352" s="238"/>
      <c r="F352" s="234"/>
      <c r="G352"/>
      <c r="H352"/>
      <c r="I352"/>
      <c r="J352"/>
      <c r="K352"/>
      <c r="L352"/>
      <c r="M352"/>
      <c r="N352"/>
      <c r="O352"/>
      <c r="P352"/>
      <c r="Q352"/>
      <c r="R352"/>
      <c r="S352"/>
      <c r="T352"/>
      <c r="U352"/>
      <c r="V352"/>
      <c r="W352"/>
    </row>
    <row r="353" spans="2:23" outlineLevel="1">
      <c r="B353" s="230"/>
      <c r="C353" s="231"/>
      <c r="D353" s="232"/>
      <c r="E353" s="233"/>
      <c r="F353" s="234"/>
      <c r="G353"/>
      <c r="H353"/>
      <c r="I353"/>
      <c r="J353"/>
      <c r="K353"/>
      <c r="L353"/>
      <c r="M353"/>
      <c r="N353"/>
      <c r="O353"/>
      <c r="P353"/>
      <c r="Q353"/>
      <c r="R353"/>
      <c r="S353"/>
      <c r="T353"/>
      <c r="U353"/>
      <c r="V353"/>
      <c r="W353"/>
    </row>
    <row r="354" spans="2:23" outlineLevel="1">
      <c r="B354" s="235"/>
      <c r="C354" s="236"/>
      <c r="D354" s="237"/>
      <c r="E354" s="238"/>
      <c r="F354" s="234"/>
      <c r="G354"/>
      <c r="H354"/>
      <c r="I354"/>
      <c r="J354"/>
      <c r="K354"/>
      <c r="L354"/>
      <c r="M354"/>
      <c r="N354"/>
      <c r="O354"/>
      <c r="P354"/>
      <c r="Q354"/>
      <c r="R354"/>
      <c r="S354"/>
      <c r="T354"/>
      <c r="U354"/>
      <c r="V354"/>
      <c r="W354"/>
    </row>
    <row r="355" spans="2:23" outlineLevel="1">
      <c r="B355" s="230"/>
      <c r="C355" s="231"/>
      <c r="D355" s="232"/>
      <c r="E355" s="233"/>
      <c r="F355" s="234"/>
      <c r="G355"/>
      <c r="H355"/>
      <c r="I355"/>
      <c r="J355"/>
      <c r="K355"/>
      <c r="L355"/>
      <c r="M355"/>
      <c r="N355"/>
      <c r="O355"/>
      <c r="P355"/>
      <c r="Q355"/>
      <c r="R355"/>
      <c r="S355"/>
      <c r="T355"/>
      <c r="U355"/>
      <c r="V355"/>
      <c r="W355"/>
    </row>
    <row r="356" spans="2:23" outlineLevel="1">
      <c r="B356" s="235"/>
      <c r="C356" s="236"/>
      <c r="D356" s="237"/>
      <c r="E356" s="238"/>
      <c r="F356" s="234"/>
      <c r="G356"/>
      <c r="H356"/>
      <c r="I356"/>
      <c r="J356"/>
      <c r="K356"/>
      <c r="L356"/>
      <c r="M356"/>
      <c r="N356"/>
      <c r="O356"/>
      <c r="P356"/>
      <c r="Q356"/>
      <c r="R356"/>
      <c r="S356"/>
      <c r="T356"/>
      <c r="U356"/>
      <c r="V356"/>
      <c r="W356"/>
    </row>
    <row r="357" spans="2:23" outlineLevel="1">
      <c r="B357" s="230"/>
      <c r="C357" s="231"/>
      <c r="D357" s="232"/>
      <c r="E357" s="233"/>
      <c r="F357" s="234"/>
      <c r="G357"/>
      <c r="H357"/>
      <c r="I357"/>
      <c r="J357"/>
      <c r="K357"/>
      <c r="L357"/>
      <c r="M357"/>
      <c r="N357"/>
      <c r="O357"/>
      <c r="P357"/>
      <c r="Q357"/>
      <c r="R357"/>
      <c r="S357"/>
      <c r="T357"/>
      <c r="U357"/>
      <c r="V357"/>
      <c r="W357"/>
    </row>
    <row r="358" spans="2:23" outlineLevel="1">
      <c r="B358" s="235"/>
      <c r="C358" s="236"/>
      <c r="D358" s="237"/>
      <c r="E358" s="238"/>
      <c r="F358" s="234"/>
      <c r="G358"/>
      <c r="H358"/>
      <c r="I358"/>
      <c r="J358"/>
      <c r="K358"/>
      <c r="L358"/>
      <c r="M358"/>
      <c r="N358"/>
      <c r="O358"/>
      <c r="P358"/>
      <c r="Q358"/>
      <c r="R358"/>
      <c r="S358"/>
      <c r="T358"/>
      <c r="U358"/>
      <c r="V358"/>
      <c r="W358"/>
    </row>
    <row r="359" spans="2:23" outlineLevel="1">
      <c r="B359" s="230"/>
      <c r="C359" s="231"/>
      <c r="D359" s="232"/>
      <c r="E359" s="233"/>
      <c r="F359" s="234"/>
      <c r="G359"/>
      <c r="H359"/>
      <c r="I359"/>
      <c r="J359"/>
      <c r="K359"/>
      <c r="L359"/>
      <c r="M359"/>
      <c r="N359"/>
      <c r="O359"/>
      <c r="P359"/>
      <c r="Q359"/>
      <c r="R359"/>
      <c r="S359"/>
      <c r="T359"/>
      <c r="U359"/>
      <c r="V359"/>
      <c r="W359"/>
    </row>
    <row r="360" spans="2:23" outlineLevel="1">
      <c r="B360" s="235"/>
      <c r="C360" s="236"/>
      <c r="D360" s="237"/>
      <c r="E360" s="238"/>
      <c r="F360" s="234"/>
      <c r="G360"/>
      <c r="H360"/>
      <c r="I360"/>
      <c r="J360"/>
      <c r="K360"/>
      <c r="L360"/>
      <c r="M360"/>
      <c r="N360"/>
      <c r="O360"/>
      <c r="P360"/>
      <c r="Q360"/>
      <c r="R360"/>
      <c r="S360"/>
      <c r="T360"/>
      <c r="U360"/>
      <c r="V360"/>
      <c r="W360"/>
    </row>
    <row r="361" spans="2:23" outlineLevel="1">
      <c r="B361" s="230"/>
      <c r="C361" s="231"/>
      <c r="D361" s="232"/>
      <c r="E361" s="233"/>
      <c r="F361" s="234"/>
      <c r="G361"/>
      <c r="H361"/>
      <c r="I361"/>
      <c r="J361"/>
      <c r="K361"/>
      <c r="L361"/>
      <c r="M361"/>
      <c r="N361"/>
      <c r="O361"/>
      <c r="P361"/>
      <c r="Q361"/>
      <c r="R361"/>
      <c r="S361"/>
      <c r="T361"/>
      <c r="U361"/>
      <c r="V361"/>
      <c r="W361"/>
    </row>
    <row r="362" spans="2:23" outlineLevel="1">
      <c r="B362" s="235"/>
      <c r="C362" s="236"/>
      <c r="D362" s="237"/>
      <c r="E362" s="238"/>
      <c r="F362" s="234"/>
      <c r="G362"/>
      <c r="H362"/>
      <c r="I362"/>
      <c r="J362"/>
      <c r="K362"/>
      <c r="L362"/>
      <c r="M362"/>
      <c r="N362"/>
      <c r="O362"/>
      <c r="P362"/>
      <c r="Q362"/>
      <c r="R362"/>
      <c r="S362"/>
      <c r="T362"/>
      <c r="U362"/>
      <c r="V362"/>
      <c r="W362"/>
    </row>
    <row r="363" spans="2:23" outlineLevel="1">
      <c r="B363" s="230"/>
      <c r="C363" s="231"/>
      <c r="D363" s="232"/>
      <c r="E363" s="233"/>
      <c r="F363" s="234"/>
      <c r="G363"/>
      <c r="H363"/>
      <c r="I363"/>
      <c r="J363"/>
      <c r="K363"/>
      <c r="L363"/>
      <c r="M363"/>
      <c r="N363"/>
      <c r="O363"/>
      <c r="P363"/>
      <c r="Q363"/>
      <c r="R363"/>
      <c r="S363"/>
      <c r="T363"/>
      <c r="U363"/>
      <c r="V363"/>
      <c r="W363"/>
    </row>
    <row r="364" spans="2:23" outlineLevel="1">
      <c r="B364" s="235"/>
      <c r="C364" s="236"/>
      <c r="D364" s="237"/>
      <c r="E364" s="238"/>
      <c r="F364" s="234"/>
      <c r="G364"/>
      <c r="H364"/>
      <c r="I364"/>
      <c r="J364"/>
      <c r="K364"/>
      <c r="L364"/>
      <c r="M364"/>
      <c r="N364"/>
      <c r="O364"/>
      <c r="P364"/>
      <c r="Q364"/>
      <c r="R364"/>
      <c r="S364"/>
      <c r="T364"/>
      <c r="U364"/>
      <c r="V364"/>
      <c r="W364"/>
    </row>
    <row r="365" spans="2:23" outlineLevel="1">
      <c r="B365" s="230"/>
      <c r="C365" s="231"/>
      <c r="D365" s="232"/>
      <c r="E365" s="233"/>
      <c r="F365" s="234"/>
      <c r="G365"/>
      <c r="H365"/>
      <c r="I365"/>
      <c r="J365"/>
      <c r="K365"/>
      <c r="L365"/>
      <c r="M365"/>
      <c r="N365"/>
      <c r="O365"/>
      <c r="P365"/>
      <c r="Q365"/>
      <c r="R365"/>
      <c r="S365"/>
      <c r="T365"/>
      <c r="U365"/>
      <c r="V365"/>
      <c r="W365"/>
    </row>
    <row r="366" spans="2:23" outlineLevel="1">
      <c r="B366" s="235"/>
      <c r="C366" s="236"/>
      <c r="D366" s="237"/>
      <c r="E366" s="238"/>
      <c r="F366" s="234"/>
      <c r="G366"/>
      <c r="H366"/>
      <c r="I366"/>
      <c r="J366"/>
      <c r="K366"/>
      <c r="L366"/>
      <c r="M366"/>
      <c r="N366"/>
      <c r="O366"/>
      <c r="P366"/>
      <c r="Q366"/>
      <c r="R366"/>
      <c r="S366"/>
      <c r="T366"/>
      <c r="U366"/>
      <c r="V366"/>
      <c r="W366"/>
    </row>
    <row r="367" spans="2:23" outlineLevel="1">
      <c r="B367" s="230"/>
      <c r="C367" s="231"/>
      <c r="D367" s="232"/>
      <c r="E367" s="233"/>
      <c r="F367" s="234"/>
      <c r="G367"/>
      <c r="H367"/>
      <c r="I367"/>
      <c r="J367"/>
      <c r="K367"/>
      <c r="L367"/>
      <c r="M367"/>
      <c r="N367"/>
      <c r="O367"/>
      <c r="P367"/>
      <c r="Q367"/>
      <c r="R367"/>
      <c r="S367"/>
      <c r="T367"/>
      <c r="U367"/>
      <c r="V367"/>
      <c r="W367"/>
    </row>
    <row r="368" spans="2:23" outlineLevel="1">
      <c r="B368" s="235"/>
      <c r="C368" s="236"/>
      <c r="D368" s="237"/>
      <c r="E368" s="238"/>
      <c r="F368" s="234"/>
      <c r="G368"/>
      <c r="H368"/>
      <c r="I368"/>
      <c r="J368"/>
      <c r="K368"/>
      <c r="L368"/>
      <c r="M368"/>
      <c r="N368"/>
      <c r="O368"/>
      <c r="P368"/>
      <c r="Q368"/>
      <c r="R368"/>
      <c r="S368"/>
      <c r="T368"/>
      <c r="U368"/>
      <c r="V368"/>
      <c r="W368"/>
    </row>
    <row r="369" spans="2:56" outlineLevel="1">
      <c r="B369" s="230"/>
      <c r="C369" s="231"/>
      <c r="D369" s="232"/>
      <c r="E369" s="233"/>
      <c r="F369" s="234"/>
      <c r="G369"/>
      <c r="H369"/>
      <c r="I369"/>
      <c r="J369"/>
      <c r="K369"/>
      <c r="L369"/>
      <c r="M369"/>
      <c r="N369"/>
      <c r="O369"/>
      <c r="P369"/>
      <c r="Q369"/>
      <c r="R369"/>
      <c r="S369"/>
      <c r="T369"/>
      <c r="U369"/>
      <c r="V369"/>
      <c r="W369"/>
    </row>
    <row r="370" spans="2:56" outlineLevel="1">
      <c r="B370" s="235"/>
      <c r="C370" s="236"/>
      <c r="D370" s="237"/>
      <c r="E370" s="238"/>
      <c r="F370" s="234"/>
      <c r="G370"/>
      <c r="H370"/>
      <c r="I370"/>
      <c r="J370"/>
      <c r="K370"/>
      <c r="L370"/>
      <c r="M370"/>
      <c r="N370"/>
      <c r="O370"/>
      <c r="P370"/>
      <c r="Q370"/>
      <c r="R370"/>
      <c r="S370"/>
      <c r="T370"/>
      <c r="U370"/>
      <c r="V370"/>
      <c r="W370"/>
    </row>
    <row r="371" spans="2:56" outlineLevel="1">
      <c r="B371" s="230"/>
      <c r="C371" s="231"/>
      <c r="D371" s="232"/>
      <c r="E371" s="233"/>
      <c r="F371" s="234"/>
      <c r="G371"/>
      <c r="H371"/>
      <c r="I371"/>
      <c r="J371"/>
      <c r="K371"/>
      <c r="L371"/>
      <c r="M371"/>
      <c r="N371"/>
      <c r="O371"/>
      <c r="P371"/>
      <c r="Q371"/>
      <c r="R371"/>
      <c r="S371"/>
      <c r="T371"/>
      <c r="U371"/>
      <c r="V371"/>
      <c r="W371"/>
    </row>
    <row r="372" spans="2:56" outlineLevel="1">
      <c r="B372" s="235"/>
      <c r="C372" s="236"/>
      <c r="D372" s="237"/>
      <c r="E372" s="238"/>
      <c r="F372" s="234"/>
      <c r="G372"/>
      <c r="H372"/>
      <c r="I372"/>
      <c r="J372"/>
      <c r="K372"/>
      <c r="L372"/>
      <c r="M372"/>
      <c r="N372"/>
      <c r="O372"/>
      <c r="P372"/>
      <c r="Q372"/>
      <c r="R372"/>
      <c r="S372"/>
      <c r="T372"/>
      <c r="U372"/>
      <c r="V372"/>
      <c r="W372"/>
    </row>
    <row r="373" spans="2:56" outlineLevel="1">
      <c r="B373" s="230"/>
      <c r="C373" s="231"/>
      <c r="D373" s="232"/>
      <c r="E373" s="233"/>
      <c r="F373" s="234"/>
      <c r="G373"/>
      <c r="H373"/>
      <c r="I373"/>
      <c r="J373"/>
      <c r="K373"/>
      <c r="L373"/>
      <c r="M373"/>
      <c r="N373"/>
      <c r="O373"/>
      <c r="P373"/>
      <c r="Q373"/>
      <c r="R373"/>
      <c r="S373"/>
      <c r="T373"/>
      <c r="U373"/>
      <c r="V373"/>
      <c r="W373"/>
    </row>
    <row r="374" spans="2:56">
      <c r="B374" s="86" t="s">
        <v>15</v>
      </c>
      <c r="C374" s="87" t="s">
        <v>1128</v>
      </c>
      <c r="D374" s="87"/>
      <c r="E374" s="120"/>
      <c r="F374" s="103"/>
      <c r="G374"/>
      <c r="H374"/>
      <c r="I374"/>
      <c r="J374"/>
      <c r="K374"/>
      <c r="L374"/>
      <c r="M374"/>
      <c r="N374"/>
      <c r="O374"/>
      <c r="P374"/>
      <c r="Q374"/>
      <c r="R374"/>
      <c r="S374"/>
      <c r="T374"/>
      <c r="U374"/>
      <c r="V374"/>
      <c r="W374"/>
    </row>
    <row r="375" spans="2:56">
      <c r="B375" s="219" t="s">
        <v>73</v>
      </c>
      <c r="C375" s="8" t="s">
        <v>1130</v>
      </c>
      <c r="D375" s="255" t="s">
        <v>1129</v>
      </c>
      <c r="E375" s="122" t="str">
        <f>Main_Parameters!$C$172</f>
        <v>0000</v>
      </c>
      <c r="F375" s="179"/>
      <c r="G375"/>
      <c r="H375"/>
      <c r="I375"/>
      <c r="J375"/>
      <c r="K375"/>
      <c r="L375"/>
      <c r="M375"/>
      <c r="N375"/>
      <c r="O375"/>
      <c r="P375"/>
      <c r="Q375"/>
      <c r="R375"/>
      <c r="S375"/>
      <c r="T375"/>
      <c r="U375"/>
      <c r="V375"/>
      <c r="W375"/>
    </row>
    <row r="376" spans="2:56">
      <c r="B376" s="97" t="str">
        <f>IF(Main_Parameters!$M$21="Progressive","REMnd","WR16")</f>
        <v>REMnd</v>
      </c>
      <c r="C376" s="8" t="s">
        <v>1132</v>
      </c>
      <c r="D376" s="255" t="s">
        <v>1131</v>
      </c>
      <c r="E376" s="122" t="str">
        <f>Main_Parameters!$C$173</f>
        <v>A010</v>
      </c>
      <c r="F376" s="39"/>
      <c r="G376"/>
      <c r="H376"/>
      <c r="I376"/>
      <c r="J376"/>
      <c r="K376"/>
      <c r="L376"/>
      <c r="M376"/>
      <c r="N376"/>
      <c r="O376"/>
      <c r="P376"/>
      <c r="Q376"/>
      <c r="R376"/>
      <c r="S376"/>
      <c r="T376"/>
      <c r="U376"/>
      <c r="V376"/>
      <c r="W376"/>
    </row>
    <row r="377" spans="2:56">
      <c r="B377" s="219" t="s">
        <v>73</v>
      </c>
      <c r="C377" s="8" t="s">
        <v>1134</v>
      </c>
      <c r="D377" s="255" t="s">
        <v>868</v>
      </c>
      <c r="E377" s="122" t="str">
        <f>Main_Parameters!$C$175</f>
        <v>8000</v>
      </c>
      <c r="F377" s="39"/>
      <c r="G377"/>
      <c r="H377"/>
      <c r="I377"/>
      <c r="J377"/>
      <c r="K377"/>
      <c r="L377"/>
      <c r="M377"/>
      <c r="N377"/>
      <c r="O377"/>
      <c r="P377"/>
      <c r="Q377"/>
      <c r="R377"/>
      <c r="S377"/>
      <c r="T377"/>
      <c r="U377"/>
      <c r="V377"/>
      <c r="W377"/>
    </row>
    <row r="378" spans="2:56">
      <c r="B378" s="97" t="str">
        <f>IF(Main_Parameters!$C$42="Manual","WR16","REMnd")</f>
        <v>REMnd</v>
      </c>
      <c r="C378" s="8" t="s">
        <v>1135</v>
      </c>
      <c r="D378" s="255" t="s">
        <v>1133</v>
      </c>
      <c r="E378" s="122" t="str">
        <f>Main_Parameters!$C$176</f>
        <v>04FF</v>
      </c>
      <c r="F378" s="39"/>
      <c r="G378"/>
      <c r="H378"/>
      <c r="I378"/>
      <c r="J378"/>
      <c r="K378"/>
      <c r="L378"/>
      <c r="M378"/>
      <c r="N378"/>
      <c r="O378"/>
      <c r="P378"/>
      <c r="Q378"/>
      <c r="R378"/>
      <c r="S378"/>
      <c r="T378"/>
      <c r="U378"/>
      <c r="V378"/>
      <c r="W378"/>
    </row>
    <row r="379" spans="2:56">
      <c r="B379" s="219" t="s">
        <v>73</v>
      </c>
      <c r="C379" s="8" t="s">
        <v>1137</v>
      </c>
      <c r="D379" s="255" t="s">
        <v>1136</v>
      </c>
      <c r="E379" s="122" t="str">
        <f>Main_Parameters!$C$179</f>
        <v>0000</v>
      </c>
      <c r="F379" s="179"/>
      <c r="G379"/>
      <c r="H379"/>
      <c r="I379"/>
      <c r="J379"/>
      <c r="K379"/>
      <c r="L379"/>
      <c r="M379"/>
      <c r="N379"/>
      <c r="O379"/>
      <c r="P379"/>
      <c r="Q379"/>
      <c r="R379"/>
      <c r="S379"/>
      <c r="T379"/>
      <c r="U379"/>
      <c r="V379"/>
      <c r="W379"/>
    </row>
    <row r="380" spans="2:56">
      <c r="B380" s="97" t="str">
        <f>IF(Main_Parameters!$M$21="Progressive","REMnd","WR16")</f>
        <v>REMnd</v>
      </c>
      <c r="C380" s="8" t="s">
        <v>1167</v>
      </c>
      <c r="D380" s="255" t="s">
        <v>1146</v>
      </c>
      <c r="E380" s="122" t="str">
        <f>Main_Parameters!$C$180</f>
        <v>A010</v>
      </c>
      <c r="F380" s="39"/>
      <c r="G380"/>
      <c r="H380"/>
      <c r="I380"/>
      <c r="J380"/>
      <c r="K380"/>
      <c r="L380"/>
      <c r="M380"/>
      <c r="N380"/>
      <c r="O380"/>
      <c r="P380"/>
      <c r="Q380"/>
      <c r="R380"/>
      <c r="S380"/>
      <c r="T380"/>
      <c r="U380"/>
      <c r="V380"/>
      <c r="W380"/>
    </row>
    <row r="381" spans="2:56">
      <c r="B381" s="97" t="str">
        <f>IF(Main_Parameters!$C$42="Manual","WR16","REMnd")</f>
        <v>REMnd</v>
      </c>
      <c r="C381" s="8" t="s">
        <v>1168</v>
      </c>
      <c r="D381" s="255" t="s">
        <v>1145</v>
      </c>
      <c r="E381" s="122" t="str">
        <f>Main_Parameters!$C$182</f>
        <v>0500</v>
      </c>
      <c r="F381" s="39"/>
      <c r="G381"/>
      <c r="H381"/>
      <c r="I381"/>
      <c r="J381"/>
      <c r="K381"/>
      <c r="L381"/>
      <c r="M381"/>
      <c r="N381"/>
      <c r="O381"/>
      <c r="P381"/>
      <c r="Q381"/>
      <c r="R381"/>
      <c r="S381"/>
      <c r="T381"/>
      <c r="U381"/>
      <c r="V381"/>
      <c r="W381"/>
    </row>
    <row r="382" spans="2:56">
      <c r="B382" s="97" t="str">
        <f>IF(Main_Parameters!$C$42="Manual","WR16","REMnd")</f>
        <v>REMnd</v>
      </c>
      <c r="C382" s="8" t="s">
        <v>1169</v>
      </c>
      <c r="D382" s="255" t="s">
        <v>1142</v>
      </c>
      <c r="E382" s="122" t="str">
        <f>Main_Parameters!$C$183</f>
        <v>09FF</v>
      </c>
      <c r="F382" s="39"/>
      <c r="G382"/>
      <c r="H382"/>
      <c r="I382"/>
      <c r="J382"/>
      <c r="K382"/>
      <c r="L382"/>
      <c r="M382"/>
      <c r="N382"/>
      <c r="O382"/>
      <c r="P382"/>
      <c r="Q382"/>
      <c r="R382"/>
      <c r="S382"/>
      <c r="T382"/>
      <c r="U382"/>
      <c r="V382"/>
      <c r="W382"/>
    </row>
    <row r="383" spans="2:56">
      <c r="B383" s="86" t="s">
        <v>15</v>
      </c>
      <c r="C383" s="90" t="s">
        <v>101</v>
      </c>
      <c r="D383" s="91"/>
      <c r="E383" s="124"/>
      <c r="F383" s="103"/>
      <c r="G383"/>
      <c r="H383"/>
      <c r="I383"/>
      <c r="J383"/>
      <c r="K383"/>
      <c r="L383"/>
      <c r="M383"/>
      <c r="N383"/>
      <c r="O383"/>
      <c r="P383"/>
      <c r="Q383"/>
      <c r="R383"/>
      <c r="S383"/>
      <c r="T383"/>
      <c r="U383"/>
      <c r="V383"/>
      <c r="W383"/>
      <c r="X383" s="376"/>
      <c r="AH383" s="376"/>
    </row>
    <row r="384" spans="2:56">
      <c r="B384" s="19" t="s">
        <v>88</v>
      </c>
      <c r="C384" s="5" t="s">
        <v>1074</v>
      </c>
      <c r="D384" s="17" t="s">
        <v>1071</v>
      </c>
      <c r="E384" s="122" t="str">
        <f>DEC2HEX(AW384*2^7+AX384*2^6+AY384*2^5+AZ384*2^4+BA384*2^3+BB384*2^2+BC384*2^1+BD384*2^0,2)</f>
        <v>03</v>
      </c>
      <c r="F384" s="39"/>
      <c r="G384"/>
      <c r="H384" s="102" t="s">
        <v>164</v>
      </c>
      <c r="I384" s="99"/>
      <c r="J384" s="102" t="s">
        <v>165</v>
      </c>
      <c r="K384" s="99"/>
      <c r="L384" s="102" t="s">
        <v>166</v>
      </c>
      <c r="M384" s="99"/>
      <c r="N384" s="102" t="s">
        <v>167</v>
      </c>
      <c r="O384" s="99"/>
      <c r="P384" s="102" t="s">
        <v>168</v>
      </c>
      <c r="Q384" s="99"/>
      <c r="R384" s="102" t="s">
        <v>169</v>
      </c>
      <c r="S384" s="99"/>
      <c r="T384" s="102" t="s">
        <v>170</v>
      </c>
      <c r="U384" s="99"/>
      <c r="V384" s="100" t="s">
        <v>1072</v>
      </c>
      <c r="W384" s="280" t="s">
        <v>1597</v>
      </c>
      <c r="X384" s="376"/>
      <c r="AH384" s="376"/>
      <c r="AW384" s="168">
        <v>0</v>
      </c>
      <c r="AX384" s="168">
        <v>0</v>
      </c>
      <c r="AY384" s="168">
        <v>0</v>
      </c>
      <c r="AZ384" s="168">
        <v>0</v>
      </c>
      <c r="BA384" s="168">
        <v>0</v>
      </c>
      <c r="BB384" s="168">
        <v>0</v>
      </c>
      <c r="BC384" s="168">
        <v>1</v>
      </c>
      <c r="BD384" s="168">
        <f>IF(W384="Manual",0,1)</f>
        <v>1</v>
      </c>
    </row>
    <row r="385" spans="2:56">
      <c r="B385" s="19" t="s">
        <v>88</v>
      </c>
      <c r="C385" s="5" t="s">
        <v>1075</v>
      </c>
      <c r="D385" s="17" t="s">
        <v>1073</v>
      </c>
      <c r="E385" s="122" t="str">
        <f>DEC2HEX(AW385*2^7+AX385*2^6+AY385*2^5+AZ385*2^4+BA385*2^3+BB385*2^2+BC385*2^1+BD385*2^0,2)</f>
        <v>3F</v>
      </c>
      <c r="F385" s="39"/>
      <c r="G385"/>
      <c r="H385" s="102" t="s">
        <v>164</v>
      </c>
      <c r="I385" s="99"/>
      <c r="J385" s="102" t="s">
        <v>165</v>
      </c>
      <c r="K385" s="99"/>
      <c r="L385" s="102" t="s">
        <v>166</v>
      </c>
      <c r="M385" s="99"/>
      <c r="N385" s="102" t="s">
        <v>167</v>
      </c>
      <c r="O385" s="99"/>
      <c r="P385" s="102" t="s">
        <v>168</v>
      </c>
      <c r="Q385" s="99"/>
      <c r="R385" s="102" t="s">
        <v>169</v>
      </c>
      <c r="S385" s="99"/>
      <c r="T385" s="102" t="s">
        <v>170</v>
      </c>
      <c r="U385" s="99"/>
      <c r="V385" s="100" t="s">
        <v>1077</v>
      </c>
      <c r="W385" s="280" t="s">
        <v>473</v>
      </c>
      <c r="X385" s="376"/>
      <c r="AH385" s="376"/>
      <c r="AW385" s="168">
        <v>0</v>
      </c>
      <c r="AX385" s="168">
        <v>0</v>
      </c>
      <c r="AY385" s="168">
        <v>1</v>
      </c>
      <c r="AZ385" s="168">
        <v>1</v>
      </c>
      <c r="BA385" s="168">
        <v>1</v>
      </c>
      <c r="BB385" s="168">
        <v>1</v>
      </c>
      <c r="BC385" s="168">
        <v>1</v>
      </c>
      <c r="BD385" s="168">
        <f>IF(W385="Suspend",0,1)</f>
        <v>1</v>
      </c>
    </row>
    <row r="386" spans="2:56">
      <c r="B386" s="19" t="s">
        <v>88</v>
      </c>
      <c r="C386" s="5" t="s">
        <v>1078</v>
      </c>
      <c r="D386" s="17" t="s">
        <v>1076</v>
      </c>
      <c r="E386" s="122" t="str">
        <f>DEC2HEX(AW386*2^7+AX386*2^6+AY386*2^5+AZ386*2^4+BA386*2^3+BB386*2^2+BC386*2^1+BD386*2^0,2)</f>
        <v>31</v>
      </c>
      <c r="F386" s="39"/>
      <c r="G386"/>
      <c r="H386" s="102" t="s">
        <v>164</v>
      </c>
      <c r="I386" s="99"/>
      <c r="J386" s="102" t="s">
        <v>165</v>
      </c>
      <c r="K386" s="99"/>
      <c r="L386" s="493" t="s">
        <v>1080</v>
      </c>
      <c r="M386" s="500"/>
      <c r="N386" s="494"/>
      <c r="O386" s="280" t="s">
        <v>473</v>
      </c>
      <c r="P386" s="102" t="s">
        <v>168</v>
      </c>
      <c r="Q386" s="99"/>
      <c r="R386" s="102" t="s">
        <v>169</v>
      </c>
      <c r="S386" s="99"/>
      <c r="T386" s="102" t="s">
        <v>170</v>
      </c>
      <c r="U386" s="99"/>
      <c r="V386" s="100" t="s">
        <v>1079</v>
      </c>
      <c r="W386" s="280" t="s">
        <v>444</v>
      </c>
      <c r="X386" s="376"/>
      <c r="AH386" s="376"/>
      <c r="AW386" s="168">
        <v>0</v>
      </c>
      <c r="AX386" s="168">
        <v>0</v>
      </c>
      <c r="AY386" s="168">
        <v>0</v>
      </c>
      <c r="AZ386" s="168">
        <f>IF(O386="HiZ",0,IF(O386="L-Fix",1,IF(O386="H-Fix",2,3)))</f>
        <v>3</v>
      </c>
      <c r="BA386" s="168">
        <v>0</v>
      </c>
      <c r="BB386" s="168">
        <v>0</v>
      </c>
      <c r="BC386" s="168">
        <v>0</v>
      </c>
      <c r="BD386" s="168">
        <f>IF(W386="OFF",0,1)</f>
        <v>1</v>
      </c>
    </row>
    <row r="387" spans="2:56">
      <c r="B387" s="19" t="s">
        <v>88</v>
      </c>
      <c r="C387" s="5" t="s">
        <v>1081</v>
      </c>
      <c r="D387" s="17" t="s">
        <v>1082</v>
      </c>
      <c r="E387" s="122" t="str">
        <f>DEC2HEX(AW387*2^7+AX387*2^6+AY387*2^5+AZ387*2^4+BA387*2^3+BB387*2^2+BC387*2^1+BD387*2^0,2)</f>
        <v>01</v>
      </c>
      <c r="F387" s="39"/>
      <c r="G387"/>
      <c r="H387" s="102" t="s">
        <v>164</v>
      </c>
      <c r="I387" s="99"/>
      <c r="J387" s="102" t="s">
        <v>165</v>
      </c>
      <c r="K387" s="99"/>
      <c r="L387" s="102" t="s">
        <v>166</v>
      </c>
      <c r="M387" s="99"/>
      <c r="N387" s="102" t="s">
        <v>167</v>
      </c>
      <c r="O387" s="99"/>
      <c r="P387" s="102" t="s">
        <v>168</v>
      </c>
      <c r="Q387" s="99"/>
      <c r="R387" s="102" t="s">
        <v>169</v>
      </c>
      <c r="S387" s="99"/>
      <c r="T387" s="102" t="s">
        <v>170</v>
      </c>
      <c r="U387" s="99"/>
      <c r="V387" s="100" t="s">
        <v>1083</v>
      </c>
      <c r="W387" s="280" t="s">
        <v>473</v>
      </c>
      <c r="X387" s="376"/>
      <c r="AH387" s="376"/>
      <c r="AW387" s="168">
        <v>0</v>
      </c>
      <c r="AX387" s="168">
        <v>0</v>
      </c>
      <c r="AY387" s="168">
        <v>0</v>
      </c>
      <c r="AZ387" s="168">
        <v>0</v>
      </c>
      <c r="BA387" s="168">
        <v>0</v>
      </c>
      <c r="BB387" s="168">
        <v>0</v>
      </c>
      <c r="BC387" s="168">
        <v>0</v>
      </c>
      <c r="BD387" s="168">
        <f>IF(W387="PDOWN",0,1)</f>
        <v>1</v>
      </c>
    </row>
    <row r="388" spans="2:56">
      <c r="B388" s="86" t="s">
        <v>15</v>
      </c>
      <c r="C388" s="90" t="s">
        <v>1084</v>
      </c>
      <c r="D388" s="91"/>
      <c r="E388" s="124"/>
      <c r="F388" s="103"/>
      <c r="G388"/>
      <c r="H388"/>
      <c r="I388"/>
      <c r="J388"/>
      <c r="K388"/>
      <c r="L388"/>
      <c r="M388"/>
      <c r="N388"/>
      <c r="O388"/>
      <c r="P388"/>
      <c r="Q388"/>
      <c r="R388"/>
      <c r="S388"/>
      <c r="T388"/>
      <c r="U388"/>
      <c r="V388"/>
      <c r="W388"/>
      <c r="X388" s="376"/>
      <c r="AH388" s="376"/>
    </row>
    <row r="389" spans="2:56">
      <c r="B389" s="19" t="s">
        <v>1085</v>
      </c>
      <c r="C389" s="5" t="s">
        <v>1086</v>
      </c>
      <c r="D389" s="16" t="s">
        <v>99</v>
      </c>
      <c r="E389" s="122" t="str">
        <f>DEC2HEX(Main_Parameters!$C$72*100,4)</f>
        <v>12C0</v>
      </c>
      <c r="F389" s="39"/>
      <c r="G389"/>
      <c r="H389"/>
      <c r="I389"/>
      <c r="J389"/>
      <c r="K389"/>
      <c r="L389"/>
      <c r="M389"/>
      <c r="N389"/>
      <c r="O389"/>
      <c r="P389"/>
      <c r="Q389"/>
      <c r="R389"/>
      <c r="S389"/>
      <c r="T389"/>
      <c r="U389"/>
      <c r="V389"/>
      <c r="W389"/>
      <c r="X389" s="376"/>
      <c r="AH389" s="376"/>
    </row>
    <row r="390" spans="2:56">
      <c r="B390" s="19" t="s">
        <v>88</v>
      </c>
      <c r="C390" s="5" t="s">
        <v>1087</v>
      </c>
      <c r="D390" s="16" t="s">
        <v>172</v>
      </c>
      <c r="E390" s="122" t="str">
        <f>DEC2HEX(MOD(Main_Parameters!$C$72*10000, 256), 2)</f>
        <v>00</v>
      </c>
      <c r="F390" s="39"/>
      <c r="G390"/>
      <c r="H390"/>
      <c r="I390"/>
      <c r="J390"/>
      <c r="K390"/>
      <c r="L390"/>
      <c r="M390"/>
      <c r="N390"/>
      <c r="O390"/>
      <c r="P390"/>
      <c r="Q390"/>
      <c r="R390"/>
      <c r="S390"/>
      <c r="T390"/>
      <c r="U390"/>
      <c r="V390"/>
      <c r="W390"/>
      <c r="X390" s="376"/>
      <c r="AH390" s="376"/>
    </row>
    <row r="391" spans="2:56">
      <c r="B391" s="19" t="s">
        <v>1085</v>
      </c>
      <c r="C391" s="5" t="s">
        <v>1088</v>
      </c>
      <c r="D391" s="16" t="s">
        <v>174</v>
      </c>
      <c r="E391" s="122" t="str">
        <f>DEC2HEX(INT(Main_Parameters!$C$72*10000/256),4)</f>
        <v>0753</v>
      </c>
      <c r="F391" s="39"/>
      <c r="G391"/>
      <c r="H391"/>
      <c r="I391"/>
      <c r="J391"/>
      <c r="K391"/>
      <c r="L391"/>
      <c r="M391"/>
      <c r="N391"/>
      <c r="O391"/>
      <c r="P391"/>
      <c r="Q391"/>
      <c r="R391"/>
      <c r="S391"/>
      <c r="T391"/>
      <c r="U391"/>
      <c r="V391"/>
      <c r="W391"/>
      <c r="X391" s="376"/>
      <c r="AH391" s="376"/>
    </row>
    <row r="392" spans="2:56">
      <c r="B392" s="19" t="s">
        <v>88</v>
      </c>
      <c r="C392" s="5" t="s">
        <v>100</v>
      </c>
      <c r="D392" s="16" t="s">
        <v>173</v>
      </c>
      <c r="E392" s="122" t="str">
        <f>IF(Main_Parameters!$C$72=42,"00","02")</f>
        <v>02</v>
      </c>
      <c r="F392" s="39"/>
      <c r="G392"/>
      <c r="H392"/>
      <c r="I392"/>
      <c r="J392"/>
      <c r="K392"/>
      <c r="L392"/>
      <c r="M392"/>
      <c r="N392"/>
      <c r="O392"/>
      <c r="P392"/>
      <c r="Q392"/>
      <c r="R392"/>
      <c r="S392"/>
      <c r="T392"/>
      <c r="U392"/>
      <c r="V392"/>
      <c r="W392"/>
      <c r="X392" s="376"/>
      <c r="AH392" s="376"/>
    </row>
    <row r="393" spans="2:56">
      <c r="B393" s="19" t="s">
        <v>1085</v>
      </c>
      <c r="C393" s="5" t="s">
        <v>1093</v>
      </c>
      <c r="D393" s="16" t="s">
        <v>1089</v>
      </c>
      <c r="E393" s="122" t="str">
        <f>DEC2HEX(Main_Parameters!$C$72*100,4)</f>
        <v>12C0</v>
      </c>
      <c r="F393" s="39"/>
      <c r="G393"/>
      <c r="H393"/>
      <c r="I393"/>
      <c r="J393"/>
      <c r="K393"/>
      <c r="L393"/>
      <c r="M393"/>
      <c r="N393"/>
      <c r="O393"/>
      <c r="P393"/>
      <c r="Q393"/>
      <c r="R393"/>
      <c r="S393"/>
      <c r="T393"/>
      <c r="U393"/>
      <c r="V393"/>
      <c r="W393"/>
      <c r="X393" s="376"/>
      <c r="AH393" s="376"/>
    </row>
    <row r="394" spans="2:56">
      <c r="B394" s="86" t="s">
        <v>15</v>
      </c>
      <c r="C394" s="90" t="s">
        <v>1152</v>
      </c>
      <c r="D394" s="91"/>
      <c r="E394" s="124"/>
      <c r="F394" s="103"/>
      <c r="G394"/>
      <c r="Q394"/>
      <c r="R394"/>
      <c r="S394"/>
      <c r="T394"/>
      <c r="U394"/>
      <c r="V394"/>
      <c r="W394"/>
      <c r="X394" s="376"/>
      <c r="AH394" s="376"/>
    </row>
    <row r="395" spans="2:56">
      <c r="B395" s="280" t="s">
        <v>1336</v>
      </c>
      <c r="C395" s="9" t="s">
        <v>89</v>
      </c>
      <c r="D395" s="16" t="s">
        <v>90</v>
      </c>
      <c r="E395" s="121" t="str">
        <f>DEC2HEX(Y395*2^7+Z395*2^6+AA395*2^5+AB395*2^4+AC395*2^3+AD395*2^2+AE395*2^1+AF395,2)</f>
        <v>FF</v>
      </c>
      <c r="F395" s="39"/>
      <c r="G395"/>
      <c r="H395" s="100" t="s">
        <v>479</v>
      </c>
      <c r="I395" s="280" t="s">
        <v>1153</v>
      </c>
      <c r="J395" s="100" t="s">
        <v>480</v>
      </c>
      <c r="K395" s="280" t="s">
        <v>1153</v>
      </c>
      <c r="L395" s="100" t="s">
        <v>481</v>
      </c>
      <c r="M395" s="280" t="s">
        <v>1153</v>
      </c>
      <c r="N395" s="100" t="s">
        <v>482</v>
      </c>
      <c r="O395" s="280" t="s">
        <v>1153</v>
      </c>
      <c r="P395" s="100" t="s">
        <v>483</v>
      </c>
      <c r="Q395" s="280" t="s">
        <v>1153</v>
      </c>
      <c r="R395" s="100" t="s">
        <v>484</v>
      </c>
      <c r="S395" s="280" t="s">
        <v>1153</v>
      </c>
      <c r="T395" s="100" t="s">
        <v>485</v>
      </c>
      <c r="U395" s="280" t="s">
        <v>1153</v>
      </c>
      <c r="V395" s="100" t="s">
        <v>486</v>
      </c>
      <c r="W395" s="280" t="s">
        <v>1153</v>
      </c>
      <c r="X395" s="376"/>
      <c r="Y395" s="168">
        <f>IF(I395="Clear INT",1,0)</f>
        <v>1</v>
      </c>
      <c r="Z395" s="168">
        <f>IF(K395="Clear INT",1,0)</f>
        <v>1</v>
      </c>
      <c r="AA395" s="168">
        <f>IF(M395="Clear INT",1,0)</f>
        <v>1</v>
      </c>
      <c r="AB395" s="168">
        <f>IF(O395="Clear INT",1,0)</f>
        <v>1</v>
      </c>
      <c r="AC395" s="168">
        <f>IF(Q395="Clear INT",1,0)</f>
        <v>1</v>
      </c>
      <c r="AD395" s="168">
        <f>IF(S395="Clear INT",1,0)</f>
        <v>1</v>
      </c>
      <c r="AE395" s="168">
        <f>IF(U395="Clear INT",1,0)</f>
        <v>1</v>
      </c>
      <c r="AF395" s="168">
        <f>IF(W395="Clear INT",1,0)</f>
        <v>1</v>
      </c>
      <c r="AH395" s="376"/>
    </row>
    <row r="396" spans="2:56">
      <c r="B396" s="280" t="s">
        <v>1336</v>
      </c>
      <c r="C396" s="9" t="s">
        <v>91</v>
      </c>
      <c r="D396" s="16" t="s">
        <v>92</v>
      </c>
      <c r="E396" s="121" t="str">
        <f>DEC2HEX(Y396*2^7+Z396*2^6+AA396*2^5+AB396*2^4+AC396*2^3+AD396*2^2+AE396*2^1+AF396,2)</f>
        <v>FE</v>
      </c>
      <c r="F396" s="39"/>
      <c r="G396"/>
      <c r="H396" s="100" t="s">
        <v>487</v>
      </c>
      <c r="I396" s="280" t="s">
        <v>495</v>
      </c>
      <c r="J396" s="100" t="s">
        <v>488</v>
      </c>
      <c r="K396" s="280" t="s">
        <v>495</v>
      </c>
      <c r="L396" s="100" t="s">
        <v>489</v>
      </c>
      <c r="M396" s="280" t="s">
        <v>495</v>
      </c>
      <c r="N396" s="100" t="s">
        <v>490</v>
      </c>
      <c r="O396" s="280" t="s">
        <v>495</v>
      </c>
      <c r="P396" s="101" t="s">
        <v>491</v>
      </c>
      <c r="Q396" s="280" t="s">
        <v>495</v>
      </c>
      <c r="R396" s="101" t="s">
        <v>492</v>
      </c>
      <c r="S396" s="280" t="s">
        <v>495</v>
      </c>
      <c r="T396" s="100" t="s">
        <v>493</v>
      </c>
      <c r="U396" s="280" t="s">
        <v>495</v>
      </c>
      <c r="V396" s="100" t="s">
        <v>494</v>
      </c>
      <c r="W396" s="280" t="s">
        <v>496</v>
      </c>
      <c r="X396" s="376"/>
      <c r="Y396" s="168">
        <f>IF(I396="MASK Off",0,1)</f>
        <v>1</v>
      </c>
      <c r="Z396" s="168">
        <f>IF(K396="MASK Off",0,1)</f>
        <v>1</v>
      </c>
      <c r="AA396" s="168">
        <f>IF(M396="MASK Off",0,1)</f>
        <v>1</v>
      </c>
      <c r="AB396" s="168">
        <f>IF(O396="MASK Off",0,1)</f>
        <v>1</v>
      </c>
      <c r="AC396" s="168">
        <f>IF(Q396="MASK Off",0,1)</f>
        <v>1</v>
      </c>
      <c r="AD396" s="168">
        <f>IF(S396="MASK Off",0,1)</f>
        <v>1</v>
      </c>
      <c r="AE396" s="168">
        <f>IF(U396="MASK Off",0,1)</f>
        <v>1</v>
      </c>
      <c r="AF396" s="168">
        <f>IF(W396="MASK Off",0,1)</f>
        <v>0</v>
      </c>
      <c r="AH396" s="376"/>
    </row>
    <row r="397" spans="2:56">
      <c r="B397" s="280" t="s">
        <v>1100</v>
      </c>
      <c r="C397" s="9" t="s">
        <v>93</v>
      </c>
      <c r="D397" s="16" t="s">
        <v>96</v>
      </c>
      <c r="E397" s="121" t="str">
        <f>DEC2HEX(Y397*2^7+Z397*2^6+AA397*2^5+AB397*2^4+AC397*2^3+AD397*2^2+AE397*2^1+AF397,2)</f>
        <v>00</v>
      </c>
      <c r="F397" s="39"/>
      <c r="G397"/>
      <c r="H397" s="101" t="s">
        <v>497</v>
      </c>
      <c r="I397" s="280" t="s">
        <v>496</v>
      </c>
      <c r="J397" s="100" t="s">
        <v>498</v>
      </c>
      <c r="K397" s="280" t="s">
        <v>496</v>
      </c>
      <c r="L397" s="100" t="s">
        <v>499</v>
      </c>
      <c r="M397" s="280" t="s">
        <v>496</v>
      </c>
      <c r="N397" s="100" t="s">
        <v>500</v>
      </c>
      <c r="O397" s="280" t="s">
        <v>496</v>
      </c>
      <c r="P397" s="100" t="s">
        <v>501</v>
      </c>
      <c r="Q397" s="280" t="s">
        <v>496</v>
      </c>
      <c r="R397" s="100" t="s">
        <v>502</v>
      </c>
      <c r="S397" s="280" t="s">
        <v>496</v>
      </c>
      <c r="T397" s="100" t="s">
        <v>503</v>
      </c>
      <c r="U397" s="280" t="s">
        <v>496</v>
      </c>
      <c r="V397" s="100" t="s">
        <v>504</v>
      </c>
      <c r="W397" s="280" t="s">
        <v>496</v>
      </c>
      <c r="X397" s="376"/>
      <c r="Y397" s="168">
        <f>IF(I397="MASK Off",0,1)</f>
        <v>0</v>
      </c>
      <c r="Z397" s="168">
        <f>IF(K397="MASK Off",0,1)</f>
        <v>0</v>
      </c>
      <c r="AA397" s="168">
        <f>IF(M397="MASK Off",0,1)</f>
        <v>0</v>
      </c>
      <c r="AB397" s="168">
        <f>IF(O397="MASK Off",0,1)</f>
        <v>0</v>
      </c>
      <c r="AC397" s="168">
        <f>IF(Q397="MASK Off",0,1)</f>
        <v>0</v>
      </c>
      <c r="AD397" s="168">
        <f>IF(S397="MASK Off",0,1)</f>
        <v>0</v>
      </c>
      <c r="AE397" s="168">
        <f>IF(U397="MASK Off",0,1)</f>
        <v>0</v>
      </c>
      <c r="AF397" s="168">
        <f>IF(W397="MASK Off",0,1)</f>
        <v>0</v>
      </c>
      <c r="AH397" s="376"/>
    </row>
    <row r="398" spans="2:56">
      <c r="B398" s="280" t="s">
        <v>1100</v>
      </c>
      <c r="C398" s="9" t="s">
        <v>94</v>
      </c>
      <c r="D398" s="16" t="s">
        <v>97</v>
      </c>
      <c r="E398" s="121" t="str">
        <f>DEC2HEX(Y398*2^7+Z398*2^6+AA398*2^5+AB398*2^4+AC398*2^3+AD398*2^2+AE398*2^1+AF398,2)</f>
        <v>00</v>
      </c>
      <c r="F398" s="39"/>
      <c r="G398"/>
      <c r="H398" s="100" t="s">
        <v>505</v>
      </c>
      <c r="I398" s="280" t="s">
        <v>496</v>
      </c>
      <c r="J398" s="101" t="s">
        <v>506</v>
      </c>
      <c r="K398" s="280" t="s">
        <v>496</v>
      </c>
      <c r="L398" s="102" t="s">
        <v>166</v>
      </c>
      <c r="M398" s="99"/>
      <c r="N398" s="100" t="s">
        <v>507</v>
      </c>
      <c r="O398" s="280" t="s">
        <v>496</v>
      </c>
      <c r="P398" s="100" t="s">
        <v>508</v>
      </c>
      <c r="Q398" s="280" t="s">
        <v>496</v>
      </c>
      <c r="R398" s="112" t="s">
        <v>509</v>
      </c>
      <c r="S398" s="280" t="s">
        <v>496</v>
      </c>
      <c r="T398" s="100" t="s">
        <v>510</v>
      </c>
      <c r="U398" s="280" t="s">
        <v>496</v>
      </c>
      <c r="V398" s="100" t="s">
        <v>511</v>
      </c>
      <c r="W398" s="280" t="s">
        <v>496</v>
      </c>
      <c r="X398" s="376"/>
      <c r="Y398" s="168">
        <f>IF(I398="MASK Off",0,1)</f>
        <v>0</v>
      </c>
      <c r="Z398" s="168">
        <f>IF(K398="MASK Off",0,1)</f>
        <v>0</v>
      </c>
      <c r="AA398" s="168">
        <v>0</v>
      </c>
      <c r="AB398" s="168">
        <f>IF(O398="MASK Off",0,1)</f>
        <v>0</v>
      </c>
      <c r="AC398" s="168">
        <f>IF(Q398="MASK Off",0,1)</f>
        <v>0</v>
      </c>
      <c r="AD398" s="168">
        <f>IF(S398="MASK Off",0,1)</f>
        <v>0</v>
      </c>
      <c r="AE398" s="168">
        <f>IF(U398="MASK Off",0,1)</f>
        <v>0</v>
      </c>
      <c r="AF398" s="168">
        <f>IF(W398="MASK Off",0,1)</f>
        <v>0</v>
      </c>
      <c r="AH398" s="376"/>
    </row>
    <row r="399" spans="2:56">
      <c r="B399" s="280" t="s">
        <v>1100</v>
      </c>
      <c r="C399" s="9" t="s">
        <v>95</v>
      </c>
      <c r="D399" s="16" t="s">
        <v>98</v>
      </c>
      <c r="E399" s="121" t="str">
        <f>DEC2HEX(Y399*2^7+Z399*2^6+AA399*2^5+AB399*2^4+AC399*2^3+AD399*2^2+AE399*2^1+AF399,2)</f>
        <v>00</v>
      </c>
      <c r="F399" s="39"/>
      <c r="G399"/>
      <c r="H399" s="100" t="s">
        <v>513</v>
      </c>
      <c r="I399" s="280" t="s">
        <v>496</v>
      </c>
      <c r="J399" s="100" t="s">
        <v>514</v>
      </c>
      <c r="K399" s="280" t="s">
        <v>496</v>
      </c>
      <c r="L399" s="100" t="s">
        <v>515</v>
      </c>
      <c r="M399" s="280" t="s">
        <v>496</v>
      </c>
      <c r="N399" s="100" t="s">
        <v>516</v>
      </c>
      <c r="O399" s="280" t="s">
        <v>496</v>
      </c>
      <c r="P399" s="100" t="s">
        <v>517</v>
      </c>
      <c r="Q399" s="280" t="s">
        <v>496</v>
      </c>
      <c r="R399" s="100" t="s">
        <v>518</v>
      </c>
      <c r="S399" s="280" t="s">
        <v>496</v>
      </c>
      <c r="T399" s="100" t="s">
        <v>519</v>
      </c>
      <c r="U399" s="280" t="s">
        <v>496</v>
      </c>
      <c r="V399" s="100" t="s">
        <v>520</v>
      </c>
      <c r="W399" s="280" t="s">
        <v>496</v>
      </c>
      <c r="X399" s="376"/>
      <c r="Y399" s="168">
        <f>IF(I399="MASK Off",0,1)</f>
        <v>0</v>
      </c>
      <c r="Z399" s="168">
        <f>IF(K399="MASK Off",0,1)</f>
        <v>0</v>
      </c>
      <c r="AA399" s="168">
        <f>IF(M399="MASK Off",0,1)</f>
        <v>0</v>
      </c>
      <c r="AB399" s="168">
        <f>IF(O399="MASK Off",0,1)</f>
        <v>0</v>
      </c>
      <c r="AC399" s="168">
        <f>IF(Q399="MASK Off",0,1)</f>
        <v>0</v>
      </c>
      <c r="AD399" s="168">
        <f>IF(S399="MASK Off",0,1)</f>
        <v>0</v>
      </c>
      <c r="AE399" s="168">
        <f>IF(U399="MASK Off",0,1)</f>
        <v>0</v>
      </c>
      <c r="AF399" s="168">
        <f>IF(W399="MASK Off",0,1)</f>
        <v>0</v>
      </c>
      <c r="AH399" s="376"/>
    </row>
    <row r="400" spans="2:56">
      <c r="B400" s="86" t="s">
        <v>15</v>
      </c>
      <c r="C400" s="88" t="s">
        <v>1151</v>
      </c>
      <c r="D400" s="86"/>
      <c r="E400" s="123"/>
      <c r="F400" s="103"/>
      <c r="G400"/>
      <c r="H400"/>
      <c r="I400"/>
      <c r="J400"/>
      <c r="K400"/>
      <c r="L400"/>
      <c r="M400"/>
      <c r="N400"/>
      <c r="O400"/>
      <c r="P400"/>
      <c r="Q400"/>
      <c r="R400"/>
      <c r="S400"/>
      <c r="T400"/>
      <c r="U400"/>
      <c r="V400"/>
      <c r="W400"/>
      <c r="X400" s="376"/>
      <c r="AH400" s="376"/>
      <c r="AL400" s="168">
        <v>0</v>
      </c>
    </row>
    <row r="401" spans="2:56">
      <c r="B401" s="280" t="s">
        <v>1576</v>
      </c>
      <c r="C401" s="8" t="s">
        <v>716</v>
      </c>
      <c r="D401" s="15" t="s">
        <v>718</v>
      </c>
      <c r="E401" s="122" t="str">
        <f>DEC2HEX(Y401*2^31+Z401*2^30+AA401*2^29+AB401*2^28+AC401*2^27+AD401*2^26+AE401*2^25+AF401*2^24+AG401*2^23+AH401*2^22+AI401*2^21+AJ401*2^20+AK401*2^19+AL401*2^18+AM401*2^17+AN401*2^16+AO401*2^15+AP401*2^14+AQ401*2^13+AR401*2^12+AS401*2^11+AT401*2^10+AU401*2^9+AV401*2^8+AW401*2^7+AX401*2^6+AY401*2^5+AZ401*2^4+BA401*2^3+BB401*2^2+BC401*2^1+BD401*2^0,4)</f>
        <v>0FBF</v>
      </c>
      <c r="F401" s="39"/>
      <c r="G401"/>
      <c r="H401" s="102" t="s">
        <v>1113</v>
      </c>
      <c r="I401" s="102" t="s">
        <v>1112</v>
      </c>
      <c r="J401" s="102" t="s">
        <v>1111</v>
      </c>
      <c r="K401" s="102" t="s">
        <v>1109</v>
      </c>
      <c r="L401" s="280" t="s">
        <v>1154</v>
      </c>
      <c r="M401" s="280" t="s">
        <v>1155</v>
      </c>
      <c r="N401" s="280" t="s">
        <v>1156</v>
      </c>
      <c r="O401" s="280" t="s">
        <v>1157</v>
      </c>
      <c r="P401" s="280" t="s">
        <v>1158</v>
      </c>
      <c r="Q401" s="102" t="s">
        <v>165</v>
      </c>
      <c r="R401" s="280" t="s">
        <v>1159</v>
      </c>
      <c r="S401" s="280" t="s">
        <v>1160</v>
      </c>
      <c r="T401" s="280" t="s">
        <v>1161</v>
      </c>
      <c r="U401" s="280" t="s">
        <v>1162</v>
      </c>
      <c r="V401" s="280" t="s">
        <v>1163</v>
      </c>
      <c r="W401" s="280" t="s">
        <v>1164</v>
      </c>
      <c r="X401" s="376"/>
      <c r="Y401" s="168">
        <v>0</v>
      </c>
      <c r="Z401" s="168">
        <v>0</v>
      </c>
      <c r="AA401" s="168">
        <v>0</v>
      </c>
      <c r="AB401" s="168">
        <v>0</v>
      </c>
      <c r="AC401" s="168">
        <v>0</v>
      </c>
      <c r="AD401" s="168">
        <v>0</v>
      </c>
      <c r="AE401" s="168">
        <v>0</v>
      </c>
      <c r="AF401" s="168">
        <v>0</v>
      </c>
      <c r="AG401" s="168">
        <v>0</v>
      </c>
      <c r="AH401" s="376">
        <v>0</v>
      </c>
      <c r="AI401" s="168">
        <v>0</v>
      </c>
      <c r="AJ401" s="168">
        <v>0</v>
      </c>
      <c r="AK401" s="168">
        <v>0</v>
      </c>
      <c r="AL401" s="168">
        <v>0</v>
      </c>
      <c r="AM401" s="168">
        <v>0</v>
      </c>
      <c r="AN401" s="168">
        <v>0</v>
      </c>
      <c r="AO401" s="168">
        <v>0</v>
      </c>
      <c r="AP401" s="168">
        <v>0</v>
      </c>
      <c r="AQ401" s="168">
        <v>0</v>
      </c>
      <c r="AR401" s="168">
        <v>0</v>
      </c>
      <c r="AS401" s="168">
        <f>IF(L401="DSITX1 Clear",1,0)</f>
        <v>1</v>
      </c>
      <c r="AT401" s="168">
        <f>IF(M401="AMUTE Clear",1,0)</f>
        <v>1</v>
      </c>
      <c r="AU401" s="168">
        <f>IF(N401="HDMI Clear",1,0)</f>
        <v>1</v>
      </c>
      <c r="AV401" s="168">
        <f>IF(O401="DSITX0 Clear",1,0)</f>
        <v>1</v>
      </c>
      <c r="AW401" s="168">
        <f>IF(P401="SLIMB Clear",1,0)</f>
        <v>1</v>
      </c>
      <c r="AX401" s="168">
        <v>0</v>
      </c>
      <c r="AY401" s="168">
        <f>IF(R401="SYS Clear",1,0)</f>
        <v>1</v>
      </c>
      <c r="AZ401" s="168">
        <f>IF(S401="CEC-Er Clear",1,0)</f>
        <v>1</v>
      </c>
      <c r="BA401" s="168">
        <f>IF(T401="CEC-TX Clear",1,0)</f>
        <v>1</v>
      </c>
      <c r="BB401" s="168">
        <f>IF(U401="CEC-RX Clear",1,0)</f>
        <v>1</v>
      </c>
      <c r="BC401" s="168">
        <f>IF(V401="IR_Er Clear",1,0)</f>
        <v>1</v>
      </c>
      <c r="BD401" s="168">
        <f>IF(W401="IR_Dat Clear",1,0)</f>
        <v>1</v>
      </c>
    </row>
    <row r="402" spans="2:56">
      <c r="B402" s="280" t="s">
        <v>1576</v>
      </c>
      <c r="C402" s="8" t="s">
        <v>717</v>
      </c>
      <c r="D402" s="15" t="s">
        <v>719</v>
      </c>
      <c r="E402" s="122" t="str">
        <f>DEC2HEX(Y402*2^31+Z402*2^30+AA402*2^29+AB402*2^28+AC402*2^27+AD402*2^26+AE402*2^25+AF402*2^24+AG402*2^23+AH402*2^22+AI402*2^21+AJ402*2^20+AK402*2^19+AL402*2^18+AM402*2^17+AN402*2^16+AO402*2^15+AP402*2^14+AQ402*2^13+AR402*2^12+AS402*2^11+AT402*2^10+AU402*2^9+AV402*2^8+AW402*2^7+AX402*2^6+AY402*2^5+AZ402*2^4+BA402*2^3+BB402*2^2+BC402*2^1+BD402*2^0,4)</f>
        <v>0DBF</v>
      </c>
      <c r="F402" s="39"/>
      <c r="G402"/>
      <c r="H402" s="102" t="s">
        <v>1113</v>
      </c>
      <c r="I402" s="102" t="s">
        <v>1112</v>
      </c>
      <c r="J402" s="102" t="s">
        <v>1111</v>
      </c>
      <c r="K402" s="102" t="s">
        <v>1109</v>
      </c>
      <c r="L402" s="280" t="s">
        <v>1108</v>
      </c>
      <c r="M402" s="280" t="s">
        <v>1107</v>
      </c>
      <c r="N402" s="280" t="s">
        <v>1582</v>
      </c>
      <c r="O402" s="280" t="s">
        <v>1106</v>
      </c>
      <c r="P402" s="280" t="s">
        <v>1105</v>
      </c>
      <c r="Q402" s="102" t="s">
        <v>165</v>
      </c>
      <c r="R402" s="280" t="s">
        <v>1578</v>
      </c>
      <c r="S402" s="280" t="s">
        <v>1104</v>
      </c>
      <c r="T402" s="280" t="s">
        <v>1103</v>
      </c>
      <c r="U402" s="280" t="s">
        <v>1102</v>
      </c>
      <c r="V402" s="280" t="s">
        <v>1110</v>
      </c>
      <c r="W402" s="280" t="s">
        <v>1101</v>
      </c>
      <c r="X402" s="376"/>
      <c r="Y402" s="168">
        <v>0</v>
      </c>
      <c r="Z402" s="168">
        <v>0</v>
      </c>
      <c r="AA402" s="168">
        <v>0</v>
      </c>
      <c r="AB402" s="168">
        <v>0</v>
      </c>
      <c r="AC402" s="168">
        <v>0</v>
      </c>
      <c r="AD402" s="168">
        <v>0</v>
      </c>
      <c r="AE402" s="168">
        <v>0</v>
      </c>
      <c r="AF402" s="168">
        <v>0</v>
      </c>
      <c r="AG402" s="168">
        <v>0</v>
      </c>
      <c r="AH402" s="376">
        <v>0</v>
      </c>
      <c r="AI402" s="168">
        <v>0</v>
      </c>
      <c r="AJ402" s="168">
        <v>0</v>
      </c>
      <c r="AK402" s="168">
        <v>0</v>
      </c>
      <c r="AL402" s="168">
        <v>0</v>
      </c>
      <c r="AM402" s="168">
        <v>0</v>
      </c>
      <c r="AN402" s="168">
        <v>0</v>
      </c>
      <c r="AO402" s="168">
        <v>0</v>
      </c>
      <c r="AP402" s="168">
        <v>0</v>
      </c>
      <c r="AQ402" s="168">
        <v>0</v>
      </c>
      <c r="AR402" s="168">
        <v>0</v>
      </c>
      <c r="AS402" s="168">
        <f>IF(L402="DSITX1 Enb",0,1)</f>
        <v>1</v>
      </c>
      <c r="AT402" s="168">
        <f>IF(M402="AMUTE Enb",0,1)</f>
        <v>1</v>
      </c>
      <c r="AU402" s="168">
        <f>IF(N402="HDMI Enb",0,1)</f>
        <v>0</v>
      </c>
      <c r="AV402" s="168">
        <f>IF(O402="DSITX0 Enb",0,1)</f>
        <v>1</v>
      </c>
      <c r="AW402" s="168">
        <f>IF(P402="SLIMB Enb",0,1)</f>
        <v>1</v>
      </c>
      <c r="AX402" s="168">
        <v>0</v>
      </c>
      <c r="AY402" s="168">
        <f>IF(R402="SYS Enb",0,1)</f>
        <v>1</v>
      </c>
      <c r="AZ402" s="168">
        <f>IF(S402="CEC-Er Enb",0,1)</f>
        <v>1</v>
      </c>
      <c r="BA402" s="168">
        <f>IF(T402="CEC-TX Enb",0,1)</f>
        <v>1</v>
      </c>
      <c r="BB402" s="168">
        <f>IF(U402="CEC-RX Enb",0,1)</f>
        <v>1</v>
      </c>
      <c r="BC402" s="168">
        <f>IF(V402="IR_Er Enb",0,1)</f>
        <v>1</v>
      </c>
      <c r="BD402" s="168">
        <f>IF(W402="IR_Dat Enb",0,1)</f>
        <v>1</v>
      </c>
    </row>
    <row r="403" spans="2:56">
      <c r="B403" s="86" t="s">
        <v>15</v>
      </c>
      <c r="C403" s="90" t="s">
        <v>107</v>
      </c>
      <c r="D403" s="91"/>
      <c r="E403" s="124"/>
      <c r="F403" s="103"/>
      <c r="G403"/>
      <c r="H403"/>
      <c r="I403"/>
      <c r="J403"/>
      <c r="K403"/>
      <c r="L403"/>
      <c r="M403"/>
      <c r="N403"/>
      <c r="O403"/>
      <c r="P403"/>
      <c r="Q403"/>
      <c r="R403"/>
      <c r="S403"/>
      <c r="T403"/>
      <c r="U403"/>
      <c r="V403"/>
      <c r="W403"/>
      <c r="X403" s="376"/>
      <c r="AH403" s="376"/>
    </row>
    <row r="404" spans="2:56">
      <c r="B404" s="19" t="s">
        <v>88</v>
      </c>
      <c r="C404" s="5" t="s">
        <v>108</v>
      </c>
      <c r="D404" s="17" t="s">
        <v>1090</v>
      </c>
      <c r="E404" s="121" t="str">
        <f>DEC2HEX(Y404*2^7+Z404*2^6+AA404*2^5+AB404*2^4+AC404*2^3+AD404*2^2+AE404*2^1+AF404,2)</f>
        <v>01</v>
      </c>
      <c r="F404" s="39"/>
      <c r="G404"/>
      <c r="H404" s="102" t="s">
        <v>164</v>
      </c>
      <c r="I404" s="99"/>
      <c r="J404" s="102" t="s">
        <v>165</v>
      </c>
      <c r="K404" s="99"/>
      <c r="L404" s="102" t="s">
        <v>166</v>
      </c>
      <c r="M404" s="99"/>
      <c r="N404" s="102" t="s">
        <v>167</v>
      </c>
      <c r="O404" s="99"/>
      <c r="P404" s="102" t="s">
        <v>168</v>
      </c>
      <c r="Q404" s="99"/>
      <c r="R404" s="102" t="s">
        <v>169</v>
      </c>
      <c r="S404" s="99"/>
      <c r="T404" s="493" t="s">
        <v>521</v>
      </c>
      <c r="U404" s="500"/>
      <c r="V404" s="494"/>
      <c r="W404" s="280" t="s">
        <v>522</v>
      </c>
      <c r="X404" s="376"/>
      <c r="Y404" s="168">
        <v>0</v>
      </c>
      <c r="Z404" s="168">
        <v>0</v>
      </c>
      <c r="AA404" s="168">
        <v>0</v>
      </c>
      <c r="AB404" s="168">
        <v>0</v>
      </c>
      <c r="AC404" s="168">
        <v>0</v>
      </c>
      <c r="AD404" s="168">
        <v>0</v>
      </c>
      <c r="AE404" s="168">
        <v>0</v>
      </c>
      <c r="AF404" s="168">
        <f>IF(W404="EEPROM",0,IF(W404="RAM+DDC2B",1,2))</f>
        <v>1</v>
      </c>
      <c r="AH404" s="376"/>
    </row>
    <row r="405" spans="2:56" ht="15">
      <c r="B405" s="19" t="s">
        <v>1085</v>
      </c>
      <c r="C405" s="5" t="s">
        <v>1091</v>
      </c>
      <c r="D405" s="17" t="s">
        <v>1092</v>
      </c>
      <c r="E405" s="121" t="str">
        <f>DEC2HEX(W405,4)</f>
        <v>0100</v>
      </c>
      <c r="F405" s="39"/>
      <c r="G405"/>
      <c r="H405" s="493" t="s">
        <v>523</v>
      </c>
      <c r="I405" s="500"/>
      <c r="J405" s="500"/>
      <c r="K405" s="500"/>
      <c r="L405" s="500"/>
      <c r="M405" s="500"/>
      <c r="N405" s="500"/>
      <c r="O405" s="500"/>
      <c r="P405" s="500"/>
      <c r="Q405" s="500"/>
      <c r="R405" s="500"/>
      <c r="S405" s="500"/>
      <c r="T405" s="500"/>
      <c r="U405" s="500"/>
      <c r="V405" s="218" t="str">
        <f>IF(W405&gt;=0,IF(W405&lt;=2047,"OK","NG"),"NG")</f>
        <v>OK</v>
      </c>
      <c r="W405" s="286">
        <v>256</v>
      </c>
      <c r="X405" s="376"/>
      <c r="Y405" s="168">
        <v>0</v>
      </c>
      <c r="Z405" s="168">
        <v>0</v>
      </c>
      <c r="AA405" s="168">
        <v>0</v>
      </c>
      <c r="AB405" s="168">
        <v>0</v>
      </c>
      <c r="AC405" s="168">
        <v>0</v>
      </c>
      <c r="AD405" s="168">
        <v>0</v>
      </c>
      <c r="AE405" s="168">
        <v>0</v>
      </c>
      <c r="AF405" s="168">
        <f>MOD(W405,256)</f>
        <v>0</v>
      </c>
      <c r="AH405" s="376"/>
    </row>
    <row r="406" spans="2:56">
      <c r="B406" s="136" t="s">
        <v>15</v>
      </c>
      <c r="C406" s="137" t="s">
        <v>109</v>
      </c>
      <c r="D406" s="138"/>
      <c r="E406" s="138"/>
      <c r="F406" s="139" t="s">
        <v>720</v>
      </c>
      <c r="G406"/>
      <c r="H406"/>
      <c r="I406"/>
      <c r="J406"/>
      <c r="K406"/>
      <c r="L406"/>
      <c r="M406"/>
      <c r="N406"/>
      <c r="O406"/>
      <c r="P406"/>
      <c r="Q406"/>
      <c r="R406"/>
      <c r="S406"/>
      <c r="T406"/>
      <c r="U406"/>
      <c r="V406"/>
      <c r="W406"/>
      <c r="X406" s="376"/>
      <c r="AH406" s="376"/>
    </row>
    <row r="407" spans="2:56" outlineLevel="1">
      <c r="B407" s="19" t="s">
        <v>88</v>
      </c>
      <c r="C407" s="5" t="s">
        <v>163</v>
      </c>
      <c r="D407" s="17" t="s">
        <v>162</v>
      </c>
      <c r="E407" s="109" t="str">
        <f>EDID!E4</f>
        <v>00</v>
      </c>
      <c r="F407" s="179"/>
      <c r="G407" s="140">
        <f t="shared" ref="G407:G415" si="6">HEX2DEC(E407)</f>
        <v>0</v>
      </c>
      <c r="H407"/>
      <c r="I407"/>
      <c r="J407"/>
      <c r="K407"/>
      <c r="L407"/>
      <c r="M407"/>
      <c r="N407"/>
      <c r="O407"/>
      <c r="P407"/>
      <c r="Q407"/>
      <c r="R407"/>
      <c r="S407"/>
      <c r="T407"/>
      <c r="U407"/>
      <c r="V407"/>
      <c r="W407"/>
      <c r="X407" s="376"/>
      <c r="AH407" s="376"/>
    </row>
    <row r="408" spans="2:56" outlineLevel="1">
      <c r="B408" s="19" t="s">
        <v>88</v>
      </c>
      <c r="C408" s="5" t="s">
        <v>163</v>
      </c>
      <c r="D408" s="17" t="s">
        <v>181</v>
      </c>
      <c r="E408" s="109" t="str">
        <f>EDID!E5</f>
        <v>FF</v>
      </c>
      <c r="F408" s="179"/>
      <c r="G408" s="140">
        <f t="shared" si="6"/>
        <v>255</v>
      </c>
      <c r="H408"/>
      <c r="I408"/>
      <c r="J408"/>
      <c r="K408"/>
      <c r="L408"/>
      <c r="M408"/>
      <c r="N408"/>
      <c r="O408"/>
      <c r="P408"/>
      <c r="Q408"/>
      <c r="R408"/>
      <c r="S408"/>
      <c r="T408"/>
      <c r="U408"/>
      <c r="V408"/>
      <c r="W408"/>
      <c r="X408" s="376"/>
      <c r="AH408" s="376"/>
    </row>
    <row r="409" spans="2:56" outlineLevel="1">
      <c r="B409" s="19" t="s">
        <v>88</v>
      </c>
      <c r="C409" s="5" t="s">
        <v>163</v>
      </c>
      <c r="D409" s="17" t="s">
        <v>182</v>
      </c>
      <c r="E409" s="109" t="str">
        <f>EDID!E6</f>
        <v>FF</v>
      </c>
      <c r="F409" s="179"/>
      <c r="G409" s="140">
        <f t="shared" si="6"/>
        <v>255</v>
      </c>
      <c r="H409"/>
      <c r="I409"/>
      <c r="J409"/>
      <c r="K409"/>
      <c r="L409"/>
      <c r="M409"/>
      <c r="N409"/>
      <c r="O409"/>
      <c r="P409"/>
      <c r="Q409"/>
      <c r="R409"/>
      <c r="S409"/>
      <c r="T409"/>
      <c r="U409"/>
      <c r="V409"/>
      <c r="W409"/>
      <c r="X409" s="376"/>
      <c r="AH409" s="376"/>
    </row>
    <row r="410" spans="2:56" outlineLevel="1">
      <c r="B410" s="19" t="s">
        <v>88</v>
      </c>
      <c r="C410" s="5" t="s">
        <v>163</v>
      </c>
      <c r="D410" s="17" t="s">
        <v>183</v>
      </c>
      <c r="E410" s="109" t="str">
        <f>EDID!E7</f>
        <v>FF</v>
      </c>
      <c r="F410" s="179"/>
      <c r="G410" s="140">
        <f t="shared" si="6"/>
        <v>255</v>
      </c>
      <c r="H410"/>
      <c r="I410"/>
      <c r="J410"/>
      <c r="K410"/>
      <c r="L410"/>
      <c r="M410"/>
      <c r="N410"/>
      <c r="O410"/>
      <c r="P410"/>
      <c r="Q410"/>
      <c r="R410"/>
      <c r="S410"/>
      <c r="T410"/>
      <c r="U410"/>
      <c r="V410"/>
      <c r="W410"/>
      <c r="X410" s="376"/>
      <c r="AH410" s="376"/>
    </row>
    <row r="411" spans="2:56" outlineLevel="1">
      <c r="B411" s="19" t="s">
        <v>88</v>
      </c>
      <c r="C411" s="5" t="s">
        <v>163</v>
      </c>
      <c r="D411" s="17" t="s">
        <v>184</v>
      </c>
      <c r="E411" s="109" t="str">
        <f>EDID!E8</f>
        <v>FF</v>
      </c>
      <c r="F411" s="179"/>
      <c r="G411" s="140">
        <f t="shared" si="6"/>
        <v>255</v>
      </c>
      <c r="H411"/>
      <c r="I411"/>
      <c r="J411"/>
      <c r="K411"/>
      <c r="L411"/>
      <c r="M411"/>
      <c r="N411"/>
      <c r="O411"/>
      <c r="P411"/>
      <c r="Q411"/>
      <c r="R411"/>
      <c r="S411"/>
      <c r="T411"/>
      <c r="U411"/>
      <c r="V411"/>
      <c r="W411"/>
      <c r="X411" s="376"/>
      <c r="AH411" s="376"/>
    </row>
    <row r="412" spans="2:56" outlineLevel="1">
      <c r="B412" s="19" t="s">
        <v>88</v>
      </c>
      <c r="C412" s="5" t="s">
        <v>163</v>
      </c>
      <c r="D412" s="17" t="s">
        <v>185</v>
      </c>
      <c r="E412" s="109" t="str">
        <f>EDID!E9</f>
        <v>FF</v>
      </c>
      <c r="F412" s="179"/>
      <c r="G412" s="140">
        <f t="shared" si="6"/>
        <v>255</v>
      </c>
      <c r="H412"/>
      <c r="I412"/>
      <c r="J412"/>
      <c r="K412"/>
      <c r="L412"/>
      <c r="M412"/>
      <c r="N412"/>
      <c r="O412"/>
      <c r="P412"/>
      <c r="Q412"/>
      <c r="R412"/>
      <c r="S412"/>
      <c r="T412"/>
      <c r="U412"/>
      <c r="V412"/>
      <c r="W412"/>
      <c r="X412" s="376"/>
      <c r="AH412" s="376"/>
    </row>
    <row r="413" spans="2:56" outlineLevel="1">
      <c r="B413" s="19" t="s">
        <v>88</v>
      </c>
      <c r="C413" s="5" t="s">
        <v>163</v>
      </c>
      <c r="D413" s="17" t="s">
        <v>186</v>
      </c>
      <c r="E413" s="109" t="str">
        <f>EDID!E10</f>
        <v>FF</v>
      </c>
      <c r="F413" s="179"/>
      <c r="G413" s="140">
        <f t="shared" si="6"/>
        <v>255</v>
      </c>
      <c r="H413"/>
      <c r="I413"/>
      <c r="J413"/>
      <c r="K413"/>
      <c r="L413"/>
      <c r="M413"/>
      <c r="N413"/>
      <c r="O413"/>
      <c r="P413"/>
      <c r="Q413"/>
      <c r="R413"/>
      <c r="S413"/>
      <c r="T413"/>
      <c r="U413"/>
      <c r="V413"/>
      <c r="W413"/>
      <c r="X413" s="376"/>
      <c r="AH413" s="376"/>
    </row>
    <row r="414" spans="2:56" outlineLevel="1">
      <c r="B414" s="19" t="s">
        <v>88</v>
      </c>
      <c r="C414" s="5" t="s">
        <v>163</v>
      </c>
      <c r="D414" s="17" t="s">
        <v>187</v>
      </c>
      <c r="E414" s="109" t="str">
        <f>EDID!E11</f>
        <v>00</v>
      </c>
      <c r="F414" s="179"/>
      <c r="G414" s="140">
        <f t="shared" si="6"/>
        <v>0</v>
      </c>
      <c r="H414"/>
      <c r="I414"/>
      <c r="J414"/>
      <c r="K414"/>
      <c r="L414"/>
      <c r="M414"/>
      <c r="N414"/>
      <c r="O414"/>
      <c r="P414"/>
      <c r="Q414"/>
      <c r="R414"/>
      <c r="S414"/>
      <c r="T414"/>
      <c r="U414"/>
      <c r="V414"/>
      <c r="W414"/>
      <c r="X414" s="376"/>
      <c r="AH414" s="376"/>
    </row>
    <row r="415" spans="2:56" outlineLevel="1">
      <c r="B415" s="19" t="s">
        <v>88</v>
      </c>
      <c r="C415" s="5" t="s">
        <v>163</v>
      </c>
      <c r="D415" s="17" t="s">
        <v>188</v>
      </c>
      <c r="E415" s="109" t="str">
        <f>EDID!E12</f>
        <v>52</v>
      </c>
      <c r="F415" s="179"/>
      <c r="G415" s="140">
        <f t="shared" si="6"/>
        <v>82</v>
      </c>
      <c r="H415"/>
      <c r="I415"/>
      <c r="J415"/>
      <c r="K415"/>
      <c r="L415"/>
      <c r="M415"/>
      <c r="N415"/>
      <c r="O415"/>
      <c r="P415"/>
      <c r="Q415"/>
      <c r="R415"/>
      <c r="S415"/>
      <c r="T415"/>
      <c r="U415"/>
      <c r="V415"/>
      <c r="W415"/>
      <c r="X415" s="376"/>
      <c r="AH415" s="376"/>
    </row>
    <row r="416" spans="2:56" outlineLevel="1">
      <c r="B416" s="19" t="s">
        <v>88</v>
      </c>
      <c r="C416" s="5" t="s">
        <v>163</v>
      </c>
      <c r="D416" s="17" t="s">
        <v>189</v>
      </c>
      <c r="E416" s="109" t="str">
        <f>EDID!E13</f>
        <v>62</v>
      </c>
      <c r="F416" s="179"/>
      <c r="G416"/>
      <c r="H416"/>
      <c r="I416"/>
      <c r="J416"/>
      <c r="K416"/>
      <c r="L416"/>
      <c r="M416"/>
      <c r="N416"/>
      <c r="O416"/>
      <c r="P416"/>
      <c r="Q416"/>
      <c r="R416"/>
      <c r="S416"/>
      <c r="T416"/>
      <c r="U416"/>
      <c r="V416"/>
      <c r="W416"/>
      <c r="X416" s="376"/>
      <c r="Y416" s="376"/>
      <c r="Z416" s="376"/>
      <c r="AA416" s="376"/>
      <c r="AB416" s="376"/>
      <c r="AC416" s="376"/>
      <c r="AD416" s="376"/>
      <c r="AE416" s="376"/>
      <c r="AF416" s="376"/>
      <c r="AG416" s="376"/>
      <c r="AH416" s="376"/>
      <c r="AI416" s="376"/>
      <c r="AJ416" s="376"/>
      <c r="AK416" s="376"/>
      <c r="AL416" s="376"/>
      <c r="AM416" s="376"/>
      <c r="AN416" s="376"/>
      <c r="AO416" s="376"/>
      <c r="AP416" s="376"/>
      <c r="AQ416" s="376"/>
      <c r="AR416" s="376"/>
    </row>
    <row r="417" spans="2:44" outlineLevel="1">
      <c r="B417" s="19" t="s">
        <v>88</v>
      </c>
      <c r="C417" s="5" t="s">
        <v>163</v>
      </c>
      <c r="D417" s="17" t="s">
        <v>190</v>
      </c>
      <c r="E417" s="109" t="str">
        <f>EDID!E14</f>
        <v>88</v>
      </c>
      <c r="F417" s="179"/>
      <c r="G417"/>
      <c r="H417"/>
      <c r="I417"/>
      <c r="J417"/>
      <c r="K417"/>
      <c r="L417"/>
      <c r="M417"/>
      <c r="N417"/>
      <c r="O417"/>
      <c r="P417"/>
      <c r="Q417"/>
      <c r="R417"/>
      <c r="S417"/>
      <c r="T417"/>
      <c r="U417"/>
      <c r="V417"/>
      <c r="W417"/>
      <c r="X417" s="376"/>
      <c r="Y417" s="376"/>
      <c r="Z417" s="376"/>
      <c r="AA417" s="376"/>
      <c r="AB417" s="376"/>
      <c r="AC417" s="376"/>
      <c r="AD417" s="376"/>
      <c r="AE417" s="376"/>
      <c r="AF417" s="376"/>
      <c r="AG417" s="376"/>
      <c r="AH417" s="376"/>
      <c r="AI417" s="376"/>
      <c r="AJ417" s="376"/>
      <c r="AK417" s="376"/>
      <c r="AL417" s="376"/>
      <c r="AM417" s="376"/>
      <c r="AN417" s="376"/>
      <c r="AO417" s="376"/>
      <c r="AP417" s="376"/>
      <c r="AQ417" s="376"/>
      <c r="AR417" s="376"/>
    </row>
    <row r="418" spans="2:44" outlineLevel="1">
      <c r="B418" s="19" t="s">
        <v>88</v>
      </c>
      <c r="C418" s="5" t="s">
        <v>163</v>
      </c>
      <c r="D418" s="17" t="s">
        <v>191</v>
      </c>
      <c r="E418" s="109" t="str">
        <f>EDID!E15</f>
        <v>88</v>
      </c>
      <c r="F418" s="179"/>
      <c r="G418"/>
      <c r="H418"/>
      <c r="I418"/>
      <c r="J418"/>
      <c r="K418"/>
      <c r="L418"/>
      <c r="M418"/>
      <c r="N418"/>
      <c r="O418"/>
      <c r="P418"/>
      <c r="Q418"/>
      <c r="R418"/>
      <c r="S418"/>
      <c r="T418"/>
      <c r="U418"/>
      <c r="V418"/>
      <c r="W418"/>
      <c r="X418" s="376"/>
      <c r="Y418" s="376"/>
      <c r="Z418" s="376"/>
      <c r="AA418" s="376"/>
      <c r="AB418" s="376"/>
      <c r="AC418" s="376"/>
      <c r="AD418" s="376"/>
      <c r="AE418" s="376"/>
      <c r="AF418" s="376"/>
      <c r="AG418" s="376"/>
      <c r="AH418" s="376"/>
      <c r="AI418" s="376"/>
      <c r="AJ418" s="376"/>
      <c r="AK418" s="376"/>
      <c r="AL418" s="376"/>
      <c r="AM418" s="376"/>
      <c r="AN418" s="376"/>
      <c r="AO418" s="376"/>
      <c r="AP418" s="376"/>
      <c r="AQ418" s="376"/>
      <c r="AR418" s="376"/>
    </row>
    <row r="419" spans="2:44" outlineLevel="1">
      <c r="B419" s="19" t="s">
        <v>88</v>
      </c>
      <c r="C419" s="5" t="s">
        <v>163</v>
      </c>
      <c r="D419" s="17" t="s">
        <v>192</v>
      </c>
      <c r="E419" s="109" t="str">
        <f>EDID!E16</f>
        <v>00</v>
      </c>
      <c r="F419" s="179"/>
      <c r="G419"/>
      <c r="H419"/>
      <c r="I419"/>
      <c r="J419"/>
      <c r="K419"/>
      <c r="L419"/>
      <c r="M419"/>
      <c r="N419"/>
      <c r="O419"/>
      <c r="P419"/>
      <c r="Q419"/>
      <c r="R419"/>
      <c r="S419"/>
      <c r="T419"/>
      <c r="U419"/>
      <c r="V419"/>
      <c r="W419"/>
      <c r="X419" s="376"/>
      <c r="Y419" s="376"/>
      <c r="Z419" s="376"/>
      <c r="AA419" s="376"/>
      <c r="AB419" s="376"/>
      <c r="AC419" s="376"/>
      <c r="AD419" s="376"/>
      <c r="AE419" s="376"/>
      <c r="AF419" s="376"/>
      <c r="AG419" s="376"/>
      <c r="AH419" s="376"/>
      <c r="AI419" s="376"/>
      <c r="AJ419" s="376"/>
      <c r="AK419" s="376"/>
      <c r="AL419" s="376"/>
      <c r="AM419" s="376"/>
      <c r="AN419" s="376"/>
      <c r="AO419" s="376"/>
      <c r="AP419" s="376"/>
      <c r="AQ419" s="376"/>
      <c r="AR419" s="376"/>
    </row>
    <row r="420" spans="2:44" outlineLevel="1">
      <c r="B420" s="19" t="s">
        <v>88</v>
      </c>
      <c r="C420" s="5" t="s">
        <v>163</v>
      </c>
      <c r="D420" s="17" t="s">
        <v>193</v>
      </c>
      <c r="E420" s="109" t="str">
        <f>EDID!E17</f>
        <v>88</v>
      </c>
      <c r="F420" s="179"/>
      <c r="G420"/>
      <c r="H420"/>
      <c r="I420"/>
      <c r="J420"/>
      <c r="K420"/>
      <c r="L420"/>
      <c r="M420"/>
      <c r="N420"/>
      <c r="O420"/>
      <c r="P420"/>
      <c r="Q420"/>
      <c r="R420"/>
      <c r="S420"/>
      <c r="T420"/>
      <c r="U420"/>
      <c r="V420"/>
      <c r="W420"/>
      <c r="X420" s="376"/>
      <c r="Y420" s="376"/>
      <c r="Z420" s="376"/>
      <c r="AA420" s="376"/>
      <c r="AB420" s="376"/>
      <c r="AC420" s="376"/>
      <c r="AD420" s="376"/>
      <c r="AE420" s="376"/>
      <c r="AF420" s="376"/>
      <c r="AG420" s="376"/>
      <c r="AH420" s="376"/>
      <c r="AI420" s="376"/>
      <c r="AJ420" s="376"/>
      <c r="AK420" s="376"/>
      <c r="AL420" s="376"/>
      <c r="AM420" s="376"/>
      <c r="AN420" s="376"/>
      <c r="AO420" s="376"/>
      <c r="AP420" s="376"/>
      <c r="AQ420" s="376"/>
      <c r="AR420" s="376"/>
    </row>
    <row r="421" spans="2:44" outlineLevel="1">
      <c r="B421" s="19" t="s">
        <v>88</v>
      </c>
      <c r="C421" s="5" t="s">
        <v>163</v>
      </c>
      <c r="D421" s="17" t="s">
        <v>194</v>
      </c>
      <c r="E421" s="109" t="str">
        <f>EDID!E18</f>
        <v>88</v>
      </c>
      <c r="F421" s="179"/>
      <c r="G421"/>
      <c r="H421"/>
      <c r="I421"/>
      <c r="J421"/>
      <c r="K421"/>
      <c r="L421"/>
      <c r="M421"/>
      <c r="N421"/>
      <c r="O421"/>
      <c r="P421"/>
      <c r="Q421"/>
      <c r="R421"/>
      <c r="S421"/>
      <c r="T421"/>
      <c r="U421"/>
      <c r="V421"/>
      <c r="W421"/>
      <c r="X421" s="376"/>
      <c r="Y421" s="376"/>
      <c r="Z421" s="376"/>
      <c r="AA421" s="376"/>
      <c r="AB421" s="376"/>
      <c r="AC421" s="376"/>
      <c r="AD421" s="376"/>
      <c r="AE421" s="376"/>
      <c r="AF421" s="376"/>
      <c r="AG421" s="376"/>
      <c r="AH421" s="376"/>
      <c r="AI421" s="376"/>
      <c r="AJ421" s="376"/>
      <c r="AK421" s="376"/>
      <c r="AL421" s="376"/>
      <c r="AM421" s="376"/>
      <c r="AN421" s="376"/>
      <c r="AO421" s="376"/>
      <c r="AP421" s="376"/>
      <c r="AQ421" s="376"/>
      <c r="AR421" s="376"/>
    </row>
    <row r="422" spans="2:44" outlineLevel="1">
      <c r="B422" s="19" t="s">
        <v>88</v>
      </c>
      <c r="C422" s="5" t="s">
        <v>163</v>
      </c>
      <c r="D422" s="17" t="s">
        <v>195</v>
      </c>
      <c r="E422" s="109" t="str">
        <f>EDID!E19</f>
        <v>88</v>
      </c>
      <c r="F422" s="179"/>
      <c r="G422"/>
      <c r="H422"/>
      <c r="I422"/>
      <c r="J422"/>
      <c r="K422"/>
      <c r="L422"/>
      <c r="M422"/>
      <c r="N422"/>
      <c r="O422"/>
      <c r="P422"/>
      <c r="Q422"/>
      <c r="R422"/>
      <c r="S422"/>
      <c r="T422"/>
      <c r="U422"/>
      <c r="V422"/>
      <c r="W422"/>
      <c r="X422" s="376"/>
      <c r="Y422" s="376"/>
      <c r="Z422" s="376"/>
      <c r="AA422" s="376"/>
      <c r="AB422" s="376"/>
      <c r="AC422" s="376"/>
      <c r="AD422" s="376"/>
      <c r="AE422" s="376"/>
      <c r="AF422" s="376"/>
      <c r="AG422" s="376"/>
      <c r="AH422" s="376"/>
      <c r="AI422" s="376"/>
      <c r="AJ422" s="376"/>
      <c r="AK422" s="376"/>
      <c r="AL422" s="376"/>
      <c r="AM422" s="376"/>
      <c r="AN422" s="376"/>
      <c r="AO422" s="376"/>
      <c r="AP422" s="376"/>
      <c r="AQ422" s="376"/>
      <c r="AR422" s="376"/>
    </row>
    <row r="423" spans="2:44" outlineLevel="1">
      <c r="B423" s="19" t="s">
        <v>88</v>
      </c>
      <c r="C423" s="5" t="s">
        <v>163</v>
      </c>
      <c r="D423" s="17" t="s">
        <v>196</v>
      </c>
      <c r="E423" s="109" t="str">
        <f>EDID!E20</f>
        <v>1C</v>
      </c>
      <c r="F423" s="179"/>
      <c r="G423"/>
      <c r="H423"/>
      <c r="I423"/>
      <c r="J423"/>
      <c r="K423"/>
      <c r="L423"/>
      <c r="M423"/>
      <c r="N423"/>
      <c r="O423"/>
      <c r="P423"/>
      <c r="Q423"/>
      <c r="R423"/>
      <c r="S423"/>
      <c r="T423"/>
      <c r="U423"/>
      <c r="V423"/>
      <c r="W423"/>
      <c r="X423" s="376"/>
      <c r="Y423" s="376"/>
      <c r="Z423" s="376"/>
      <c r="AA423" s="376"/>
      <c r="AB423" s="376"/>
      <c r="AC423" s="376"/>
      <c r="AD423" s="376"/>
      <c r="AE423" s="376"/>
      <c r="AF423" s="376"/>
      <c r="AG423" s="376"/>
      <c r="AH423" s="376"/>
      <c r="AI423" s="376"/>
      <c r="AJ423" s="376"/>
      <c r="AK423" s="376"/>
      <c r="AL423" s="376"/>
      <c r="AM423" s="376"/>
      <c r="AN423" s="376"/>
      <c r="AO423" s="376"/>
      <c r="AP423" s="376"/>
      <c r="AQ423" s="376"/>
      <c r="AR423" s="376"/>
    </row>
    <row r="424" spans="2:44" outlineLevel="1">
      <c r="B424" s="19" t="s">
        <v>88</v>
      </c>
      <c r="C424" s="5" t="s">
        <v>163</v>
      </c>
      <c r="D424" s="17" t="s">
        <v>197</v>
      </c>
      <c r="E424" s="109" t="str">
        <f>EDID!E21</f>
        <v>15</v>
      </c>
      <c r="F424" s="179"/>
      <c r="G424"/>
      <c r="H424"/>
      <c r="I424"/>
      <c r="J424"/>
      <c r="K424"/>
      <c r="L424"/>
      <c r="M424"/>
      <c r="N424"/>
      <c r="O424"/>
      <c r="P424"/>
      <c r="Q424"/>
      <c r="R424"/>
      <c r="S424"/>
      <c r="T424"/>
      <c r="U424"/>
      <c r="V424"/>
      <c r="W424"/>
      <c r="X424" s="376"/>
      <c r="Y424" s="376"/>
      <c r="Z424" s="376"/>
      <c r="AA424" s="376"/>
      <c r="AB424" s="376"/>
      <c r="AC424" s="376"/>
      <c r="AD424" s="376"/>
      <c r="AE424" s="376"/>
      <c r="AF424" s="376"/>
      <c r="AG424" s="376"/>
      <c r="AH424" s="376"/>
      <c r="AI424" s="376"/>
      <c r="AJ424" s="376"/>
      <c r="AK424" s="376"/>
      <c r="AL424" s="376"/>
      <c r="AM424" s="376"/>
      <c r="AN424" s="376"/>
      <c r="AO424" s="376"/>
      <c r="AP424" s="376"/>
      <c r="AQ424" s="376"/>
      <c r="AR424" s="376"/>
    </row>
    <row r="425" spans="2:44" outlineLevel="1">
      <c r="B425" s="19" t="s">
        <v>88</v>
      </c>
      <c r="C425" s="5" t="s">
        <v>163</v>
      </c>
      <c r="D425" s="17" t="s">
        <v>198</v>
      </c>
      <c r="E425" s="109" t="str">
        <f>EDID!E22</f>
        <v>01</v>
      </c>
      <c r="F425" s="179"/>
      <c r="G425"/>
      <c r="H425"/>
      <c r="I425"/>
      <c r="J425"/>
      <c r="K425"/>
      <c r="L425"/>
      <c r="M425"/>
      <c r="N425"/>
      <c r="O425"/>
      <c r="P425"/>
      <c r="Q425"/>
      <c r="R425"/>
      <c r="S425"/>
      <c r="T425"/>
      <c r="U425"/>
      <c r="V425"/>
      <c r="W425"/>
      <c r="X425" s="376"/>
      <c r="Y425" s="376"/>
      <c r="Z425" s="376"/>
      <c r="AA425" s="376"/>
      <c r="AB425" s="376"/>
      <c r="AC425" s="376"/>
      <c r="AD425" s="376"/>
      <c r="AE425" s="376"/>
      <c r="AF425" s="376"/>
      <c r="AG425" s="376"/>
      <c r="AH425" s="376"/>
      <c r="AI425" s="376"/>
      <c r="AJ425" s="376"/>
      <c r="AK425" s="376"/>
      <c r="AL425" s="376"/>
      <c r="AM425" s="376"/>
      <c r="AN425" s="376"/>
      <c r="AO425" s="376"/>
      <c r="AP425" s="376"/>
      <c r="AQ425" s="376"/>
      <c r="AR425" s="376"/>
    </row>
    <row r="426" spans="2:44" outlineLevel="1">
      <c r="B426" s="19" t="s">
        <v>88</v>
      </c>
      <c r="C426" s="5" t="s">
        <v>163</v>
      </c>
      <c r="D426" s="17" t="s">
        <v>199</v>
      </c>
      <c r="E426" s="109" t="str">
        <f>EDID!E23</f>
        <v>03</v>
      </c>
      <c r="F426" s="179"/>
      <c r="G426"/>
      <c r="H426"/>
      <c r="I426"/>
      <c r="J426"/>
      <c r="K426"/>
      <c r="L426"/>
      <c r="M426"/>
      <c r="N426"/>
      <c r="O426"/>
      <c r="P426"/>
      <c r="Q426"/>
      <c r="R426"/>
      <c r="S426"/>
      <c r="T426"/>
      <c r="U426"/>
      <c r="V426"/>
      <c r="W426"/>
      <c r="X426" s="376"/>
      <c r="Y426" s="376"/>
      <c r="Z426" s="376"/>
      <c r="AA426" s="376"/>
      <c r="AB426" s="376"/>
      <c r="AC426" s="376"/>
      <c r="AD426" s="376"/>
      <c r="AE426" s="376"/>
      <c r="AF426" s="376"/>
      <c r="AG426" s="376"/>
      <c r="AH426" s="376"/>
      <c r="AI426" s="376"/>
      <c r="AJ426" s="376"/>
      <c r="AK426" s="376"/>
      <c r="AL426" s="376"/>
      <c r="AM426" s="376"/>
      <c r="AN426" s="376"/>
      <c r="AO426" s="376"/>
      <c r="AP426" s="376"/>
      <c r="AQ426" s="376"/>
      <c r="AR426" s="376"/>
    </row>
    <row r="427" spans="2:44" outlineLevel="1">
      <c r="B427" s="19" t="s">
        <v>88</v>
      </c>
      <c r="C427" s="5" t="s">
        <v>163</v>
      </c>
      <c r="D427" s="17" t="s">
        <v>200</v>
      </c>
      <c r="E427" s="109" t="str">
        <f>EDID!E24</f>
        <v>80</v>
      </c>
      <c r="F427" s="179"/>
      <c r="G427"/>
      <c r="H427"/>
      <c r="I427"/>
      <c r="J427"/>
      <c r="K427"/>
      <c r="L427"/>
      <c r="M427"/>
      <c r="N427"/>
      <c r="O427"/>
      <c r="P427"/>
      <c r="Q427"/>
      <c r="R427"/>
      <c r="S427"/>
      <c r="T427"/>
      <c r="U427"/>
      <c r="V427"/>
      <c r="W427"/>
      <c r="X427" s="376"/>
      <c r="Y427" s="376"/>
      <c r="Z427" s="376"/>
      <c r="AA427" s="376"/>
      <c r="AB427" s="376"/>
      <c r="AC427" s="376"/>
      <c r="AD427" s="376"/>
      <c r="AE427" s="376"/>
      <c r="AF427" s="376"/>
      <c r="AG427" s="376"/>
      <c r="AH427" s="376"/>
      <c r="AI427" s="376"/>
      <c r="AJ427" s="376"/>
      <c r="AK427" s="376"/>
      <c r="AL427" s="376"/>
      <c r="AM427" s="376"/>
      <c r="AN427" s="376"/>
      <c r="AO427" s="376"/>
      <c r="AP427" s="376"/>
      <c r="AQ427" s="376"/>
      <c r="AR427" s="376"/>
    </row>
    <row r="428" spans="2:44" outlineLevel="1">
      <c r="B428" s="19" t="s">
        <v>88</v>
      </c>
      <c r="C428" s="5" t="s">
        <v>163</v>
      </c>
      <c r="D428" s="17" t="s">
        <v>201</v>
      </c>
      <c r="E428" s="109" t="str">
        <f>EDID!E25</f>
        <v>00</v>
      </c>
      <c r="F428" s="179"/>
      <c r="G428"/>
      <c r="H428"/>
      <c r="I428"/>
      <c r="J428"/>
      <c r="K428"/>
      <c r="L428"/>
      <c r="M428"/>
      <c r="N428"/>
      <c r="O428"/>
      <c r="P428"/>
      <c r="Q428"/>
      <c r="R428"/>
      <c r="S428"/>
      <c r="T428"/>
      <c r="U428"/>
      <c r="V428"/>
      <c r="W428"/>
      <c r="X428" s="376"/>
      <c r="Y428" s="376"/>
      <c r="Z428" s="376"/>
      <c r="AA428" s="376"/>
      <c r="AB428" s="376"/>
      <c r="AC428" s="376"/>
      <c r="AD428" s="376"/>
      <c r="AE428" s="376"/>
      <c r="AF428" s="376"/>
      <c r="AG428" s="376"/>
      <c r="AH428" s="376"/>
      <c r="AI428" s="376"/>
      <c r="AJ428" s="376"/>
      <c r="AK428" s="376"/>
      <c r="AL428" s="376"/>
      <c r="AM428" s="376"/>
      <c r="AN428" s="376"/>
      <c r="AO428" s="376"/>
      <c r="AP428" s="376"/>
      <c r="AQ428" s="376"/>
      <c r="AR428" s="376"/>
    </row>
    <row r="429" spans="2:44" outlineLevel="1">
      <c r="B429" s="19" t="s">
        <v>88</v>
      </c>
      <c r="C429" s="5" t="s">
        <v>163</v>
      </c>
      <c r="D429" s="17" t="s">
        <v>202</v>
      </c>
      <c r="E429" s="109" t="str">
        <f>EDID!E26</f>
        <v>00</v>
      </c>
      <c r="F429" s="179"/>
      <c r="G429"/>
      <c r="H429"/>
      <c r="I429"/>
      <c r="J429"/>
      <c r="K429"/>
      <c r="L429"/>
      <c r="M429"/>
      <c r="N429"/>
      <c r="O429"/>
      <c r="P429"/>
      <c r="Q429"/>
      <c r="R429"/>
      <c r="S429"/>
      <c r="T429"/>
      <c r="U429"/>
      <c r="V429"/>
      <c r="W429"/>
      <c r="X429" s="376"/>
      <c r="Y429" s="376"/>
      <c r="Z429" s="376"/>
      <c r="AA429" s="376"/>
      <c r="AB429" s="376"/>
      <c r="AC429" s="376"/>
      <c r="AD429" s="376"/>
      <c r="AE429" s="376"/>
      <c r="AF429" s="376"/>
      <c r="AG429" s="376"/>
      <c r="AH429" s="376"/>
      <c r="AI429" s="376"/>
      <c r="AJ429" s="376"/>
      <c r="AK429" s="376"/>
      <c r="AL429" s="376"/>
      <c r="AM429" s="376"/>
      <c r="AN429" s="376"/>
      <c r="AO429" s="376"/>
      <c r="AP429" s="376"/>
      <c r="AQ429" s="376"/>
      <c r="AR429" s="376"/>
    </row>
    <row r="430" spans="2:44" outlineLevel="1">
      <c r="B430" s="19" t="s">
        <v>88</v>
      </c>
      <c r="C430" s="5" t="s">
        <v>163</v>
      </c>
      <c r="D430" s="17" t="s">
        <v>203</v>
      </c>
      <c r="E430" s="109" t="str">
        <f>EDID!E27</f>
        <v>78</v>
      </c>
      <c r="F430" s="179"/>
      <c r="G430"/>
      <c r="H430"/>
      <c r="I430"/>
      <c r="J430"/>
      <c r="K430"/>
      <c r="L430"/>
      <c r="M430"/>
      <c r="N430"/>
      <c r="O430"/>
      <c r="P430"/>
      <c r="Q430"/>
      <c r="R430"/>
      <c r="S430"/>
      <c r="T430"/>
      <c r="U430"/>
      <c r="V430"/>
      <c r="W430"/>
      <c r="X430" s="376"/>
      <c r="Y430" s="376"/>
      <c r="Z430" s="376"/>
      <c r="AA430" s="376"/>
      <c r="AB430" s="376"/>
      <c r="AC430" s="376"/>
      <c r="AD430" s="376"/>
      <c r="AE430" s="376"/>
      <c r="AF430" s="376"/>
      <c r="AG430" s="376"/>
      <c r="AH430" s="376"/>
      <c r="AI430" s="376"/>
      <c r="AJ430" s="376"/>
      <c r="AK430" s="376"/>
      <c r="AL430" s="376"/>
      <c r="AM430" s="376"/>
      <c r="AN430" s="376"/>
      <c r="AO430" s="376"/>
      <c r="AP430" s="376"/>
      <c r="AQ430" s="376"/>
      <c r="AR430" s="376"/>
    </row>
    <row r="431" spans="2:44" outlineLevel="1">
      <c r="B431" s="19" t="s">
        <v>88</v>
      </c>
      <c r="C431" s="5" t="s">
        <v>163</v>
      </c>
      <c r="D431" s="17" t="s">
        <v>204</v>
      </c>
      <c r="E431" s="109" t="str">
        <f>EDID!E28</f>
        <v>0A</v>
      </c>
      <c r="F431" s="179"/>
      <c r="G431"/>
      <c r="H431"/>
      <c r="I431"/>
      <c r="J431"/>
      <c r="K431"/>
      <c r="L431"/>
      <c r="M431"/>
      <c r="N431"/>
      <c r="O431"/>
      <c r="P431"/>
      <c r="Q431"/>
      <c r="R431"/>
      <c r="S431"/>
      <c r="T431"/>
      <c r="U431"/>
      <c r="V431"/>
      <c r="W431"/>
      <c r="X431" s="376"/>
      <c r="Y431" s="376"/>
      <c r="Z431" s="376"/>
      <c r="AA431" s="376"/>
      <c r="AB431" s="376"/>
      <c r="AC431" s="376"/>
      <c r="AD431" s="376"/>
      <c r="AE431" s="376"/>
      <c r="AF431" s="376"/>
      <c r="AG431" s="376"/>
      <c r="AH431" s="376"/>
      <c r="AI431" s="376"/>
      <c r="AJ431" s="376"/>
      <c r="AK431" s="376"/>
      <c r="AL431" s="376"/>
      <c r="AM431" s="376"/>
      <c r="AN431" s="376"/>
      <c r="AO431" s="376"/>
      <c r="AP431" s="376"/>
      <c r="AQ431" s="376"/>
      <c r="AR431" s="376"/>
    </row>
    <row r="432" spans="2:44" outlineLevel="1">
      <c r="B432" s="19" t="s">
        <v>88</v>
      </c>
      <c r="C432" s="5" t="s">
        <v>163</v>
      </c>
      <c r="D432" s="17" t="s">
        <v>205</v>
      </c>
      <c r="E432" s="109" t="str">
        <f>EDID!E29</f>
        <v>0D</v>
      </c>
      <c r="F432" s="179"/>
      <c r="G432"/>
      <c r="H432"/>
      <c r="I432"/>
      <c r="J432"/>
      <c r="K432"/>
      <c r="L432"/>
      <c r="M432"/>
      <c r="N432"/>
      <c r="O432"/>
      <c r="P432"/>
      <c r="Q432"/>
      <c r="R432"/>
      <c r="S432"/>
      <c r="T432"/>
      <c r="U432"/>
      <c r="V432"/>
      <c r="W432"/>
      <c r="X432" s="376"/>
      <c r="Y432" s="376"/>
      <c r="Z432" s="376"/>
      <c r="AA432" s="376"/>
      <c r="AB432" s="376"/>
      <c r="AC432" s="376"/>
      <c r="AD432" s="376"/>
      <c r="AE432" s="376"/>
      <c r="AF432" s="376"/>
      <c r="AG432" s="376"/>
      <c r="AH432" s="376"/>
      <c r="AI432" s="376"/>
      <c r="AJ432" s="376"/>
      <c r="AK432" s="376"/>
      <c r="AL432" s="376"/>
      <c r="AM432" s="376"/>
      <c r="AN432" s="376"/>
      <c r="AO432" s="376"/>
      <c r="AP432" s="376"/>
      <c r="AQ432" s="376"/>
      <c r="AR432" s="376"/>
    </row>
    <row r="433" spans="2:44" outlineLevel="1">
      <c r="B433" s="19" t="s">
        <v>88</v>
      </c>
      <c r="C433" s="5" t="s">
        <v>163</v>
      </c>
      <c r="D433" s="17" t="s">
        <v>206</v>
      </c>
      <c r="E433" s="109" t="str">
        <f>EDID!E30</f>
        <v>C9</v>
      </c>
      <c r="F433" s="179"/>
      <c r="G433"/>
      <c r="H433"/>
      <c r="I433"/>
      <c r="J433"/>
      <c r="K433"/>
      <c r="L433"/>
      <c r="M433"/>
      <c r="N433"/>
      <c r="O433"/>
      <c r="P433"/>
      <c r="Q433"/>
      <c r="R433"/>
      <c r="S433"/>
      <c r="T433"/>
      <c r="U433"/>
      <c r="V433"/>
      <c r="W433"/>
      <c r="X433" s="376"/>
      <c r="Y433" s="376"/>
      <c r="Z433" s="376"/>
      <c r="AA433" s="376"/>
      <c r="AB433" s="376"/>
      <c r="AC433" s="376"/>
      <c r="AD433" s="376"/>
      <c r="AE433" s="376"/>
      <c r="AF433" s="376"/>
      <c r="AG433" s="376"/>
      <c r="AH433" s="376"/>
      <c r="AI433" s="376"/>
      <c r="AJ433" s="376"/>
      <c r="AK433" s="376"/>
      <c r="AL433" s="376"/>
      <c r="AM433" s="376"/>
      <c r="AN433" s="376"/>
      <c r="AO433" s="376"/>
      <c r="AP433" s="376"/>
      <c r="AQ433" s="376"/>
      <c r="AR433" s="376"/>
    </row>
    <row r="434" spans="2:44" outlineLevel="1">
      <c r="B434" s="19" t="s">
        <v>88</v>
      </c>
      <c r="C434" s="5" t="s">
        <v>163</v>
      </c>
      <c r="D434" s="17" t="s">
        <v>207</v>
      </c>
      <c r="E434" s="109" t="str">
        <f>EDID!E31</f>
        <v>A0</v>
      </c>
      <c r="F434" s="179"/>
      <c r="G434"/>
      <c r="H434"/>
      <c r="I434"/>
      <c r="J434"/>
      <c r="K434"/>
      <c r="L434"/>
      <c r="M434"/>
      <c r="N434"/>
      <c r="O434"/>
      <c r="P434"/>
      <c r="Q434"/>
      <c r="R434"/>
      <c r="S434"/>
      <c r="T434"/>
      <c r="U434"/>
      <c r="V434"/>
      <c r="W434"/>
      <c r="X434" s="376"/>
      <c r="Y434" s="376"/>
      <c r="Z434" s="376"/>
      <c r="AA434" s="376"/>
      <c r="AB434" s="376"/>
      <c r="AC434" s="376"/>
      <c r="AD434" s="376"/>
      <c r="AE434" s="376"/>
      <c r="AF434" s="376"/>
      <c r="AG434" s="376"/>
      <c r="AH434" s="376"/>
      <c r="AI434" s="376"/>
      <c r="AJ434" s="376"/>
      <c r="AK434" s="376"/>
      <c r="AL434" s="376"/>
      <c r="AM434" s="376"/>
      <c r="AN434" s="376"/>
      <c r="AO434" s="376"/>
      <c r="AP434" s="376"/>
      <c r="AQ434" s="376"/>
      <c r="AR434" s="376"/>
    </row>
    <row r="435" spans="2:44" outlineLevel="1">
      <c r="B435" s="19" t="s">
        <v>88</v>
      </c>
      <c r="C435" s="5" t="s">
        <v>163</v>
      </c>
      <c r="D435" s="17" t="s">
        <v>208</v>
      </c>
      <c r="E435" s="109" t="str">
        <f>EDID!E32</f>
        <v>57</v>
      </c>
      <c r="F435" s="179"/>
      <c r="G435"/>
      <c r="H435"/>
      <c r="I435"/>
      <c r="J435"/>
      <c r="K435"/>
      <c r="L435"/>
      <c r="M435"/>
      <c r="N435"/>
      <c r="O435"/>
      <c r="P435"/>
      <c r="Q435"/>
      <c r="R435"/>
      <c r="S435"/>
      <c r="T435"/>
      <c r="U435"/>
      <c r="V435"/>
      <c r="W435"/>
      <c r="X435" s="376"/>
      <c r="Y435" s="376"/>
      <c r="Z435" s="376"/>
      <c r="AA435" s="376"/>
      <c r="AB435" s="376"/>
      <c r="AC435" s="376"/>
      <c r="AD435" s="376"/>
      <c r="AE435" s="376"/>
      <c r="AF435" s="376"/>
      <c r="AG435" s="376"/>
      <c r="AH435" s="376"/>
      <c r="AI435" s="376"/>
      <c r="AJ435" s="376"/>
      <c r="AK435" s="376"/>
      <c r="AL435" s="376"/>
      <c r="AM435" s="376"/>
      <c r="AN435" s="376"/>
      <c r="AO435" s="376"/>
      <c r="AP435" s="376"/>
      <c r="AQ435" s="376"/>
      <c r="AR435" s="376"/>
    </row>
    <row r="436" spans="2:44" outlineLevel="1">
      <c r="B436" s="19" t="s">
        <v>88</v>
      </c>
      <c r="C436" s="5" t="s">
        <v>163</v>
      </c>
      <c r="D436" s="17" t="s">
        <v>209</v>
      </c>
      <c r="E436" s="109" t="str">
        <f>EDID!E33</f>
        <v>47</v>
      </c>
      <c r="F436" s="179"/>
      <c r="G436"/>
      <c r="H436"/>
      <c r="I436"/>
      <c r="J436"/>
      <c r="K436"/>
      <c r="L436"/>
      <c r="M436"/>
      <c r="N436"/>
      <c r="O436"/>
      <c r="P436"/>
      <c r="Q436"/>
      <c r="R436"/>
      <c r="S436"/>
      <c r="T436"/>
      <c r="U436"/>
      <c r="V436"/>
      <c r="W436"/>
      <c r="X436" s="376"/>
      <c r="Y436" s="376"/>
      <c r="Z436" s="376"/>
      <c r="AA436" s="376"/>
      <c r="AB436" s="376"/>
      <c r="AC436" s="376"/>
      <c r="AD436" s="376"/>
      <c r="AE436" s="376"/>
      <c r="AF436" s="376"/>
      <c r="AG436" s="376"/>
      <c r="AH436" s="376"/>
      <c r="AI436" s="376"/>
      <c r="AJ436" s="376"/>
      <c r="AK436" s="376"/>
      <c r="AL436" s="376"/>
      <c r="AM436" s="376"/>
      <c r="AN436" s="376"/>
      <c r="AO436" s="376"/>
      <c r="AP436" s="376"/>
      <c r="AQ436" s="376"/>
      <c r="AR436" s="376"/>
    </row>
    <row r="437" spans="2:44" outlineLevel="1">
      <c r="B437" s="19" t="s">
        <v>88</v>
      </c>
      <c r="C437" s="5" t="s">
        <v>163</v>
      </c>
      <c r="D437" s="17" t="s">
        <v>210</v>
      </c>
      <c r="E437" s="109" t="str">
        <f>EDID!E34</f>
        <v>98</v>
      </c>
      <c r="F437" s="179"/>
      <c r="G437"/>
      <c r="H437"/>
      <c r="I437"/>
      <c r="J437"/>
      <c r="K437"/>
      <c r="L437"/>
      <c r="M437"/>
      <c r="N437"/>
      <c r="O437"/>
      <c r="P437"/>
      <c r="Q437"/>
      <c r="R437"/>
      <c r="S437"/>
      <c r="T437"/>
      <c r="U437"/>
      <c r="V437"/>
      <c r="W437"/>
      <c r="X437" s="376"/>
      <c r="Y437" s="376"/>
      <c r="Z437" s="376"/>
      <c r="AA437" s="376"/>
      <c r="AB437" s="376"/>
      <c r="AC437" s="376"/>
      <c r="AD437" s="376"/>
      <c r="AE437" s="376"/>
      <c r="AF437" s="376"/>
      <c r="AG437" s="376"/>
      <c r="AH437" s="376"/>
      <c r="AI437" s="376"/>
      <c r="AJ437" s="376"/>
      <c r="AK437" s="376"/>
      <c r="AL437" s="376"/>
      <c r="AM437" s="376"/>
      <c r="AN437" s="376"/>
      <c r="AO437" s="376"/>
      <c r="AP437" s="376"/>
      <c r="AQ437" s="376"/>
      <c r="AR437" s="376"/>
    </row>
    <row r="438" spans="2:44" outlineLevel="1">
      <c r="B438" s="19" t="s">
        <v>88</v>
      </c>
      <c r="C438" s="5" t="s">
        <v>163</v>
      </c>
      <c r="D438" s="17" t="s">
        <v>211</v>
      </c>
      <c r="E438" s="109" t="str">
        <f>EDID!E35</f>
        <v>27</v>
      </c>
      <c r="F438" s="179"/>
      <c r="G438"/>
      <c r="H438"/>
      <c r="I438"/>
      <c r="J438"/>
      <c r="K438"/>
      <c r="L438"/>
      <c r="M438"/>
      <c r="N438"/>
      <c r="O438"/>
      <c r="P438"/>
      <c r="Q438"/>
      <c r="R438"/>
      <c r="S438"/>
      <c r="T438"/>
      <c r="U438"/>
      <c r="V438"/>
      <c r="W438"/>
      <c r="X438" s="376"/>
      <c r="Y438" s="376"/>
      <c r="Z438" s="376"/>
      <c r="AA438" s="376"/>
      <c r="AB438" s="376"/>
      <c r="AC438" s="376"/>
      <c r="AD438" s="376"/>
      <c r="AE438" s="376"/>
      <c r="AF438" s="376"/>
      <c r="AG438" s="376"/>
      <c r="AH438" s="376"/>
      <c r="AI438" s="376"/>
      <c r="AJ438" s="376"/>
      <c r="AK438" s="376"/>
      <c r="AL438" s="376"/>
      <c r="AM438" s="376"/>
      <c r="AN438" s="376"/>
      <c r="AO438" s="376"/>
      <c r="AP438" s="376"/>
      <c r="AQ438" s="376"/>
      <c r="AR438" s="376"/>
    </row>
    <row r="439" spans="2:44" outlineLevel="1">
      <c r="B439" s="19" t="s">
        <v>88</v>
      </c>
      <c r="C439" s="5" t="s">
        <v>163</v>
      </c>
      <c r="D439" s="17" t="s">
        <v>212</v>
      </c>
      <c r="E439" s="109" t="str">
        <f>EDID!E36</f>
        <v>12</v>
      </c>
      <c r="F439" s="179"/>
      <c r="G439"/>
      <c r="H439"/>
      <c r="I439"/>
      <c r="J439"/>
      <c r="K439"/>
      <c r="L439"/>
      <c r="M439"/>
      <c r="N439"/>
      <c r="O439"/>
      <c r="P439"/>
      <c r="Q439"/>
      <c r="R439"/>
      <c r="S439"/>
      <c r="T439"/>
      <c r="U439"/>
      <c r="V439"/>
      <c r="W439"/>
      <c r="X439" s="376"/>
      <c r="Y439" s="376"/>
      <c r="Z439" s="376"/>
      <c r="AA439" s="376"/>
      <c r="AB439" s="376"/>
      <c r="AC439" s="376"/>
      <c r="AD439" s="376"/>
      <c r="AE439" s="376"/>
      <c r="AF439" s="376"/>
      <c r="AG439" s="376"/>
      <c r="AH439" s="376"/>
      <c r="AI439" s="376"/>
      <c r="AJ439" s="376"/>
      <c r="AK439" s="376"/>
      <c r="AL439" s="376"/>
      <c r="AM439" s="376"/>
      <c r="AN439" s="376"/>
      <c r="AO439" s="376"/>
      <c r="AP439" s="376"/>
      <c r="AQ439" s="376"/>
      <c r="AR439" s="376"/>
    </row>
    <row r="440" spans="2:44" outlineLevel="1">
      <c r="B440" s="19" t="s">
        <v>88</v>
      </c>
      <c r="C440" s="5" t="s">
        <v>163</v>
      </c>
      <c r="D440" s="17" t="s">
        <v>213</v>
      </c>
      <c r="E440" s="109" t="str">
        <f>EDID!E37</f>
        <v>48</v>
      </c>
      <c r="F440" s="179"/>
      <c r="G440"/>
      <c r="H440"/>
      <c r="I440"/>
      <c r="J440"/>
      <c r="K440"/>
      <c r="L440"/>
      <c r="M440"/>
      <c r="N440"/>
      <c r="O440"/>
      <c r="P440"/>
      <c r="Q440"/>
      <c r="R440"/>
      <c r="S440"/>
      <c r="T440"/>
      <c r="U440"/>
      <c r="V440"/>
      <c r="W440"/>
      <c r="X440" s="376"/>
      <c r="Y440" s="376"/>
      <c r="Z440" s="376"/>
      <c r="AA440" s="376"/>
      <c r="AB440" s="376"/>
      <c r="AC440" s="376"/>
      <c r="AD440" s="376"/>
      <c r="AE440" s="376"/>
      <c r="AF440" s="376"/>
      <c r="AG440" s="376"/>
      <c r="AH440" s="376"/>
      <c r="AI440" s="376"/>
      <c r="AJ440" s="376"/>
      <c r="AK440" s="376"/>
      <c r="AL440" s="376"/>
      <c r="AM440" s="376"/>
      <c r="AN440" s="376"/>
      <c r="AO440" s="376"/>
      <c r="AP440" s="376"/>
      <c r="AQ440" s="376"/>
      <c r="AR440" s="376"/>
    </row>
    <row r="441" spans="2:44" outlineLevel="1">
      <c r="B441" s="19" t="s">
        <v>88</v>
      </c>
      <c r="C441" s="5" t="s">
        <v>163</v>
      </c>
      <c r="D441" s="17" t="s">
        <v>214</v>
      </c>
      <c r="E441" s="109" t="str">
        <f>EDID!E38</f>
        <v>4C</v>
      </c>
      <c r="F441" s="179"/>
      <c r="G441"/>
      <c r="H441"/>
      <c r="I441"/>
      <c r="J441"/>
      <c r="K441"/>
      <c r="L441"/>
      <c r="M441"/>
      <c r="N441"/>
      <c r="O441"/>
      <c r="P441"/>
      <c r="Q441"/>
      <c r="R441"/>
      <c r="S441"/>
      <c r="T441"/>
      <c r="U441"/>
      <c r="V441"/>
      <c r="W441"/>
      <c r="X441" s="376"/>
      <c r="Y441" s="376"/>
      <c r="Z441" s="376"/>
      <c r="AA441" s="376"/>
      <c r="AB441" s="376"/>
      <c r="AC441" s="376"/>
      <c r="AD441" s="376"/>
      <c r="AE441" s="376"/>
      <c r="AF441" s="376"/>
      <c r="AG441" s="376"/>
      <c r="AH441" s="376"/>
      <c r="AI441" s="376"/>
      <c r="AJ441" s="376"/>
      <c r="AK441" s="376"/>
      <c r="AL441" s="376"/>
      <c r="AM441" s="376"/>
      <c r="AN441" s="376"/>
      <c r="AO441" s="376"/>
      <c r="AP441" s="376"/>
      <c r="AQ441" s="376"/>
      <c r="AR441" s="376"/>
    </row>
    <row r="442" spans="2:44" outlineLevel="1">
      <c r="B442" s="19" t="s">
        <v>88</v>
      </c>
      <c r="C442" s="5" t="s">
        <v>163</v>
      </c>
      <c r="D442" s="17" t="s">
        <v>215</v>
      </c>
      <c r="E442" s="109" t="str">
        <f>EDID!E39</f>
        <v>00</v>
      </c>
      <c r="F442" s="179"/>
      <c r="G442"/>
      <c r="H442"/>
      <c r="I442"/>
      <c r="J442"/>
      <c r="K442"/>
      <c r="L442"/>
      <c r="M442"/>
      <c r="N442"/>
      <c r="O442"/>
      <c r="P442"/>
      <c r="Q442"/>
      <c r="R442"/>
      <c r="S442"/>
      <c r="T442"/>
      <c r="U442"/>
      <c r="V442"/>
      <c r="W442"/>
      <c r="X442" s="376"/>
      <c r="Y442" s="376"/>
      <c r="Z442" s="376"/>
      <c r="AA442" s="376"/>
      <c r="AB442" s="376"/>
      <c r="AC442" s="376"/>
      <c r="AD442" s="376"/>
      <c r="AE442" s="376"/>
      <c r="AF442" s="376"/>
      <c r="AG442" s="376"/>
      <c r="AH442" s="376"/>
      <c r="AI442" s="376"/>
      <c r="AJ442" s="376"/>
      <c r="AK442" s="376"/>
      <c r="AL442" s="376"/>
      <c r="AM442" s="376"/>
      <c r="AN442" s="376"/>
      <c r="AO442" s="376"/>
      <c r="AP442" s="376"/>
      <c r="AQ442" s="376"/>
      <c r="AR442" s="376"/>
    </row>
    <row r="443" spans="2:44" outlineLevel="1">
      <c r="B443" s="19" t="s">
        <v>88</v>
      </c>
      <c r="C443" s="5" t="s">
        <v>163</v>
      </c>
      <c r="D443" s="17" t="s">
        <v>216</v>
      </c>
      <c r="E443" s="109" t="str">
        <f>EDID!E40</f>
        <v>00</v>
      </c>
      <c r="F443" s="179"/>
      <c r="G443"/>
      <c r="H443"/>
      <c r="I443"/>
      <c r="J443"/>
      <c r="K443"/>
      <c r="L443"/>
      <c r="M443"/>
      <c r="N443"/>
      <c r="O443"/>
      <c r="P443"/>
      <c r="Q443"/>
      <c r="R443"/>
      <c r="S443"/>
      <c r="T443"/>
      <c r="U443"/>
      <c r="V443"/>
      <c r="W443"/>
      <c r="X443" s="376"/>
      <c r="Y443" s="376"/>
      <c r="Z443" s="376"/>
      <c r="AA443" s="376"/>
      <c r="AB443" s="376"/>
      <c r="AC443" s="376"/>
      <c r="AD443" s="376"/>
      <c r="AE443" s="376"/>
      <c r="AF443" s="376"/>
      <c r="AG443" s="376"/>
      <c r="AH443" s="376"/>
      <c r="AI443" s="376"/>
      <c r="AJ443" s="376"/>
      <c r="AK443" s="376"/>
      <c r="AL443" s="376"/>
      <c r="AM443" s="376"/>
      <c r="AN443" s="376"/>
      <c r="AO443" s="376"/>
      <c r="AP443" s="376"/>
      <c r="AQ443" s="376"/>
      <c r="AR443" s="376"/>
    </row>
    <row r="444" spans="2:44" outlineLevel="1">
      <c r="B444" s="19" t="s">
        <v>88</v>
      </c>
      <c r="C444" s="5" t="s">
        <v>163</v>
      </c>
      <c r="D444" s="17" t="s">
        <v>217</v>
      </c>
      <c r="E444" s="109" t="str">
        <f>EDID!E41</f>
        <v>00</v>
      </c>
      <c r="F444" s="179"/>
      <c r="G444"/>
      <c r="H444"/>
      <c r="I444"/>
      <c r="J444"/>
      <c r="K444"/>
      <c r="L444"/>
      <c r="M444"/>
      <c r="N444"/>
      <c r="O444"/>
      <c r="P444"/>
      <c r="Q444"/>
      <c r="R444"/>
      <c r="S444"/>
      <c r="T444"/>
      <c r="U444"/>
      <c r="V444"/>
      <c r="W444"/>
      <c r="X444" s="376"/>
      <c r="Y444" s="376"/>
      <c r="Z444" s="376"/>
      <c r="AA444" s="376"/>
      <c r="AB444" s="376"/>
      <c r="AC444" s="376"/>
      <c r="AD444" s="376"/>
      <c r="AE444" s="376"/>
      <c r="AF444" s="376"/>
      <c r="AG444" s="376"/>
      <c r="AH444" s="376"/>
      <c r="AI444" s="376"/>
      <c r="AJ444" s="376"/>
      <c r="AK444" s="376"/>
      <c r="AL444" s="376"/>
      <c r="AM444" s="376"/>
      <c r="AN444" s="376"/>
      <c r="AO444" s="376"/>
      <c r="AP444" s="376"/>
      <c r="AQ444" s="376"/>
      <c r="AR444" s="376"/>
    </row>
    <row r="445" spans="2:44" outlineLevel="1">
      <c r="B445" s="19" t="s">
        <v>88</v>
      </c>
      <c r="C445" s="5" t="s">
        <v>163</v>
      </c>
      <c r="D445" s="17" t="s">
        <v>218</v>
      </c>
      <c r="E445" s="109" t="str">
        <f>EDID!E42</f>
        <v>01</v>
      </c>
      <c r="F445" s="179"/>
      <c r="G445"/>
      <c r="H445"/>
      <c r="I445"/>
      <c r="J445"/>
      <c r="K445"/>
      <c r="L445"/>
      <c r="M445"/>
      <c r="N445"/>
      <c r="O445"/>
      <c r="P445"/>
      <c r="Q445"/>
      <c r="R445"/>
      <c r="S445"/>
      <c r="T445"/>
      <c r="U445"/>
      <c r="V445"/>
      <c r="W445"/>
      <c r="X445" s="376"/>
      <c r="Y445" s="376"/>
      <c r="Z445" s="376"/>
      <c r="AA445" s="376"/>
      <c r="AB445" s="376"/>
      <c r="AC445" s="376"/>
      <c r="AD445" s="376"/>
      <c r="AE445" s="376"/>
      <c r="AF445" s="376"/>
      <c r="AG445" s="376"/>
      <c r="AH445" s="376"/>
      <c r="AI445" s="376"/>
      <c r="AJ445" s="376"/>
      <c r="AK445" s="376"/>
      <c r="AL445" s="376"/>
      <c r="AM445" s="376"/>
      <c r="AN445" s="376"/>
      <c r="AO445" s="376"/>
      <c r="AP445" s="376"/>
      <c r="AQ445" s="376"/>
      <c r="AR445" s="376"/>
    </row>
    <row r="446" spans="2:44" outlineLevel="1">
      <c r="B446" s="19" t="s">
        <v>88</v>
      </c>
      <c r="C446" s="5" t="s">
        <v>163</v>
      </c>
      <c r="D446" s="17" t="s">
        <v>219</v>
      </c>
      <c r="E446" s="109" t="str">
        <f>EDID!E43</f>
        <v>01</v>
      </c>
      <c r="F446" s="179"/>
      <c r="G446"/>
      <c r="H446"/>
      <c r="I446"/>
      <c r="J446"/>
      <c r="K446"/>
      <c r="L446"/>
      <c r="M446"/>
      <c r="N446"/>
      <c r="O446"/>
      <c r="P446"/>
      <c r="Q446"/>
      <c r="R446"/>
      <c r="S446"/>
      <c r="T446"/>
      <c r="U446"/>
      <c r="V446"/>
      <c r="W446"/>
      <c r="X446" s="376"/>
      <c r="Y446" s="376"/>
      <c r="Z446" s="376"/>
      <c r="AA446" s="376"/>
      <c r="AB446" s="376"/>
      <c r="AC446" s="376"/>
      <c r="AD446" s="376"/>
      <c r="AE446" s="376"/>
      <c r="AF446" s="376"/>
      <c r="AG446" s="376"/>
      <c r="AH446" s="376"/>
      <c r="AI446" s="376"/>
      <c r="AJ446" s="376"/>
      <c r="AK446" s="376"/>
      <c r="AL446" s="376"/>
      <c r="AM446" s="376"/>
      <c r="AN446" s="376"/>
      <c r="AO446" s="376"/>
      <c r="AP446" s="376"/>
      <c r="AQ446" s="376"/>
      <c r="AR446" s="376"/>
    </row>
    <row r="447" spans="2:44" outlineLevel="1">
      <c r="B447" s="19" t="s">
        <v>88</v>
      </c>
      <c r="C447" s="5" t="s">
        <v>163</v>
      </c>
      <c r="D447" s="17" t="s">
        <v>220</v>
      </c>
      <c r="E447" s="109" t="str">
        <f>EDID!E44</f>
        <v>01</v>
      </c>
      <c r="F447" s="179"/>
      <c r="G447"/>
      <c r="H447"/>
      <c r="I447"/>
      <c r="J447"/>
      <c r="K447"/>
      <c r="L447"/>
      <c r="M447"/>
      <c r="N447"/>
      <c r="O447"/>
      <c r="P447"/>
      <c r="Q447"/>
      <c r="R447"/>
      <c r="S447"/>
      <c r="T447"/>
      <c r="U447"/>
      <c r="V447"/>
      <c r="W447"/>
      <c r="X447" s="376"/>
      <c r="Y447" s="376"/>
      <c r="Z447" s="376"/>
      <c r="AA447" s="376"/>
      <c r="AB447" s="376"/>
      <c r="AC447" s="376"/>
      <c r="AD447" s="376"/>
      <c r="AE447" s="376"/>
      <c r="AF447" s="376"/>
      <c r="AG447" s="376"/>
      <c r="AH447" s="376"/>
      <c r="AI447" s="376"/>
      <c r="AJ447" s="376"/>
      <c r="AK447" s="376"/>
      <c r="AL447" s="376"/>
      <c r="AM447" s="376"/>
      <c r="AN447" s="376"/>
      <c r="AO447" s="376"/>
      <c r="AP447" s="376"/>
      <c r="AQ447" s="376"/>
      <c r="AR447" s="376"/>
    </row>
    <row r="448" spans="2:44" outlineLevel="1">
      <c r="B448" s="19" t="s">
        <v>88</v>
      </c>
      <c r="C448" s="5" t="s">
        <v>163</v>
      </c>
      <c r="D448" s="17" t="s">
        <v>221</v>
      </c>
      <c r="E448" s="109" t="str">
        <f>EDID!E45</f>
        <v>01</v>
      </c>
      <c r="F448" s="179"/>
      <c r="G448"/>
      <c r="H448"/>
      <c r="I448"/>
      <c r="J448"/>
      <c r="K448"/>
      <c r="L448"/>
      <c r="M448"/>
      <c r="N448"/>
      <c r="O448"/>
      <c r="P448"/>
      <c r="Q448"/>
      <c r="R448"/>
      <c r="S448"/>
      <c r="T448"/>
      <c r="U448"/>
      <c r="V448"/>
      <c r="W448"/>
      <c r="X448" s="376"/>
      <c r="Y448" s="376"/>
      <c r="Z448" s="376"/>
      <c r="AA448" s="376"/>
      <c r="AB448" s="376"/>
      <c r="AC448" s="376"/>
      <c r="AD448" s="376"/>
      <c r="AE448" s="376"/>
      <c r="AF448" s="376"/>
      <c r="AG448" s="376"/>
      <c r="AH448" s="376"/>
      <c r="AI448" s="376"/>
      <c r="AJ448" s="376"/>
      <c r="AK448" s="376"/>
      <c r="AL448" s="376"/>
      <c r="AM448" s="376"/>
      <c r="AN448" s="376"/>
      <c r="AO448" s="376"/>
      <c r="AP448" s="376"/>
      <c r="AQ448" s="376"/>
      <c r="AR448" s="376"/>
    </row>
    <row r="449" spans="2:44" outlineLevel="1">
      <c r="B449" s="19" t="s">
        <v>88</v>
      </c>
      <c r="C449" s="5" t="s">
        <v>163</v>
      </c>
      <c r="D449" s="17" t="s">
        <v>222</v>
      </c>
      <c r="E449" s="109" t="str">
        <f>EDID!E46</f>
        <v>01</v>
      </c>
      <c r="F449" s="179"/>
      <c r="G449"/>
      <c r="H449"/>
      <c r="I449"/>
      <c r="J449"/>
      <c r="K449"/>
      <c r="L449"/>
      <c r="M449"/>
      <c r="N449"/>
      <c r="O449"/>
      <c r="P449"/>
      <c r="Q449"/>
      <c r="R449"/>
      <c r="S449"/>
      <c r="T449"/>
      <c r="U449"/>
      <c r="V449"/>
      <c r="W449"/>
      <c r="X449" s="376"/>
      <c r="Y449" s="376"/>
      <c r="Z449" s="376"/>
      <c r="AA449" s="376"/>
      <c r="AB449" s="376"/>
      <c r="AC449" s="376"/>
      <c r="AD449" s="376"/>
      <c r="AE449" s="376"/>
      <c r="AF449" s="376"/>
      <c r="AG449" s="376"/>
      <c r="AH449" s="376"/>
      <c r="AI449" s="376"/>
      <c r="AJ449" s="376"/>
      <c r="AK449" s="376"/>
      <c r="AL449" s="376"/>
      <c r="AM449" s="376"/>
      <c r="AN449" s="376"/>
      <c r="AO449" s="376"/>
      <c r="AP449" s="376"/>
      <c r="AQ449" s="376"/>
      <c r="AR449" s="376"/>
    </row>
    <row r="450" spans="2:44" outlineLevel="1">
      <c r="B450" s="19" t="s">
        <v>88</v>
      </c>
      <c r="C450" s="5" t="s">
        <v>163</v>
      </c>
      <c r="D450" s="17" t="s">
        <v>223</v>
      </c>
      <c r="E450" s="109" t="str">
        <f>EDID!E47</f>
        <v>01</v>
      </c>
      <c r="F450" s="179"/>
      <c r="G450"/>
      <c r="H450"/>
      <c r="I450"/>
      <c r="J450"/>
      <c r="K450"/>
      <c r="L450"/>
      <c r="M450"/>
      <c r="N450"/>
      <c r="O450"/>
      <c r="P450"/>
      <c r="Q450"/>
      <c r="R450"/>
      <c r="S450"/>
      <c r="T450"/>
      <c r="U450"/>
      <c r="V450"/>
      <c r="W450"/>
      <c r="X450" s="376"/>
      <c r="Y450" s="376"/>
      <c r="Z450" s="376"/>
      <c r="AA450" s="376"/>
      <c r="AB450" s="376"/>
      <c r="AC450" s="376"/>
      <c r="AD450" s="376"/>
      <c r="AE450" s="376"/>
      <c r="AF450" s="376"/>
      <c r="AG450" s="376"/>
      <c r="AH450" s="376"/>
      <c r="AI450" s="376"/>
      <c r="AJ450" s="376"/>
      <c r="AK450" s="376"/>
      <c r="AL450" s="376"/>
      <c r="AM450" s="376"/>
      <c r="AN450" s="376"/>
      <c r="AO450" s="376"/>
      <c r="AP450" s="376"/>
      <c r="AQ450" s="376"/>
      <c r="AR450" s="376"/>
    </row>
    <row r="451" spans="2:44" outlineLevel="1">
      <c r="B451" s="19" t="s">
        <v>88</v>
      </c>
      <c r="C451" s="5" t="s">
        <v>163</v>
      </c>
      <c r="D451" s="17" t="s">
        <v>224</v>
      </c>
      <c r="E451" s="109" t="str">
        <f>EDID!E48</f>
        <v>01</v>
      </c>
      <c r="F451" s="179"/>
      <c r="G451"/>
      <c r="H451"/>
      <c r="I451"/>
      <c r="J451"/>
      <c r="K451"/>
      <c r="L451"/>
      <c r="M451"/>
      <c r="N451"/>
      <c r="O451"/>
      <c r="P451"/>
      <c r="Q451"/>
      <c r="R451"/>
      <c r="S451"/>
      <c r="T451"/>
      <c r="U451"/>
      <c r="V451"/>
      <c r="W451"/>
      <c r="X451" s="376"/>
      <c r="Y451" s="376"/>
      <c r="Z451" s="376"/>
      <c r="AA451" s="376"/>
      <c r="AB451" s="376"/>
      <c r="AC451" s="376"/>
      <c r="AD451" s="376"/>
      <c r="AE451" s="376"/>
      <c r="AF451" s="376"/>
      <c r="AG451" s="376"/>
      <c r="AH451" s="376"/>
      <c r="AI451" s="376"/>
      <c r="AJ451" s="376"/>
      <c r="AK451" s="376"/>
      <c r="AL451" s="376"/>
      <c r="AM451" s="376"/>
      <c r="AN451" s="376"/>
      <c r="AO451" s="376"/>
      <c r="AP451" s="376"/>
      <c r="AQ451" s="376"/>
      <c r="AR451" s="376"/>
    </row>
    <row r="452" spans="2:44" outlineLevel="1">
      <c r="B452" s="19" t="s">
        <v>88</v>
      </c>
      <c r="C452" s="5" t="s">
        <v>163</v>
      </c>
      <c r="D452" s="17" t="s">
        <v>225</v>
      </c>
      <c r="E452" s="109" t="str">
        <f>EDID!E49</f>
        <v>01</v>
      </c>
      <c r="F452" s="179"/>
      <c r="G452"/>
      <c r="H452"/>
      <c r="I452"/>
      <c r="J452"/>
      <c r="K452"/>
      <c r="L452"/>
      <c r="M452"/>
      <c r="N452"/>
      <c r="O452"/>
      <c r="P452"/>
      <c r="Q452"/>
      <c r="R452"/>
      <c r="S452"/>
      <c r="T452"/>
      <c r="U452"/>
      <c r="V452"/>
      <c r="W452"/>
      <c r="X452" s="376"/>
      <c r="Y452" s="376"/>
      <c r="Z452" s="376"/>
      <c r="AA452" s="376"/>
      <c r="AB452" s="376"/>
      <c r="AC452" s="376"/>
      <c r="AD452" s="376"/>
      <c r="AE452" s="376"/>
      <c r="AF452" s="376"/>
      <c r="AG452" s="376"/>
      <c r="AH452" s="376"/>
      <c r="AI452" s="376"/>
      <c r="AJ452" s="376"/>
      <c r="AK452" s="376"/>
      <c r="AL452" s="376"/>
      <c r="AM452" s="376"/>
      <c r="AN452" s="376"/>
      <c r="AO452" s="376"/>
      <c r="AP452" s="376"/>
      <c r="AQ452" s="376"/>
      <c r="AR452" s="376"/>
    </row>
    <row r="453" spans="2:44" outlineLevel="1">
      <c r="B453" s="19" t="s">
        <v>88</v>
      </c>
      <c r="C453" s="5" t="s">
        <v>163</v>
      </c>
      <c r="D453" s="17" t="s">
        <v>226</v>
      </c>
      <c r="E453" s="109" t="str">
        <f>EDID!E50</f>
        <v>01</v>
      </c>
      <c r="F453" s="179"/>
      <c r="G453"/>
      <c r="H453"/>
      <c r="I453"/>
      <c r="J453"/>
      <c r="K453"/>
      <c r="L453"/>
      <c r="M453"/>
      <c r="N453"/>
      <c r="O453"/>
      <c r="P453"/>
      <c r="Q453"/>
      <c r="R453"/>
      <c r="S453"/>
      <c r="T453"/>
      <c r="U453"/>
      <c r="V453"/>
      <c r="W453"/>
      <c r="X453" s="376"/>
      <c r="Y453" s="376"/>
      <c r="Z453" s="376"/>
      <c r="AA453" s="376"/>
      <c r="AB453" s="376"/>
      <c r="AC453" s="376"/>
      <c r="AD453" s="376"/>
      <c r="AE453" s="376"/>
      <c r="AF453" s="376"/>
      <c r="AG453" s="376"/>
      <c r="AH453" s="376"/>
      <c r="AI453" s="376"/>
      <c r="AJ453" s="376"/>
      <c r="AK453" s="376"/>
      <c r="AL453" s="376"/>
      <c r="AM453" s="376"/>
      <c r="AN453" s="376"/>
      <c r="AO453" s="376"/>
      <c r="AP453" s="376"/>
      <c r="AQ453" s="376"/>
      <c r="AR453" s="376"/>
    </row>
    <row r="454" spans="2:44" outlineLevel="1">
      <c r="B454" s="19" t="s">
        <v>88</v>
      </c>
      <c r="C454" s="5" t="s">
        <v>163</v>
      </c>
      <c r="D454" s="17" t="s">
        <v>227</v>
      </c>
      <c r="E454" s="109" t="str">
        <f>EDID!E51</f>
        <v>01</v>
      </c>
      <c r="F454" s="179"/>
      <c r="G454"/>
      <c r="H454"/>
      <c r="I454"/>
      <c r="J454"/>
      <c r="K454"/>
      <c r="L454"/>
      <c r="M454"/>
      <c r="N454"/>
      <c r="O454"/>
      <c r="P454"/>
      <c r="Q454"/>
      <c r="R454"/>
      <c r="S454"/>
      <c r="T454"/>
      <c r="U454"/>
      <c r="V454"/>
      <c r="W454"/>
      <c r="X454" s="376"/>
      <c r="Y454" s="376"/>
      <c r="Z454" s="376"/>
      <c r="AA454" s="376"/>
      <c r="AB454" s="376"/>
      <c r="AC454" s="376"/>
      <c r="AD454" s="376"/>
      <c r="AE454" s="376"/>
      <c r="AF454" s="376"/>
      <c r="AG454" s="376"/>
      <c r="AH454" s="376"/>
      <c r="AI454" s="376"/>
      <c r="AJ454" s="376"/>
      <c r="AK454" s="376"/>
      <c r="AL454" s="376"/>
      <c r="AM454" s="376"/>
      <c r="AN454" s="376"/>
      <c r="AO454" s="376"/>
      <c r="AP454" s="376"/>
      <c r="AQ454" s="376"/>
      <c r="AR454" s="376"/>
    </row>
    <row r="455" spans="2:44" outlineLevel="1">
      <c r="B455" s="19" t="s">
        <v>88</v>
      </c>
      <c r="C455" s="5" t="s">
        <v>163</v>
      </c>
      <c r="D455" s="17" t="s">
        <v>228</v>
      </c>
      <c r="E455" s="109" t="str">
        <f>EDID!E52</f>
        <v>01</v>
      </c>
      <c r="F455" s="179"/>
      <c r="G455"/>
      <c r="H455"/>
      <c r="I455"/>
      <c r="J455"/>
      <c r="K455"/>
      <c r="L455"/>
      <c r="M455"/>
      <c r="N455"/>
      <c r="O455"/>
      <c r="P455"/>
      <c r="Q455"/>
      <c r="R455"/>
      <c r="S455"/>
      <c r="T455"/>
      <c r="U455"/>
      <c r="V455"/>
      <c r="W455"/>
      <c r="X455" s="376"/>
      <c r="Y455" s="376"/>
      <c r="Z455" s="376"/>
      <c r="AA455" s="376"/>
      <c r="AB455" s="376"/>
      <c r="AC455" s="376"/>
      <c r="AD455" s="376"/>
      <c r="AE455" s="376"/>
      <c r="AF455" s="376"/>
      <c r="AG455" s="376"/>
      <c r="AH455" s="376"/>
      <c r="AI455" s="376"/>
      <c r="AJ455" s="376"/>
      <c r="AK455" s="376"/>
      <c r="AL455" s="376"/>
      <c r="AM455" s="376"/>
      <c r="AN455" s="376"/>
      <c r="AO455" s="376"/>
      <c r="AP455" s="376"/>
      <c r="AQ455" s="376"/>
      <c r="AR455" s="376"/>
    </row>
    <row r="456" spans="2:44" outlineLevel="1">
      <c r="B456" s="19" t="s">
        <v>88</v>
      </c>
      <c r="C456" s="5" t="s">
        <v>163</v>
      </c>
      <c r="D456" s="17" t="s">
        <v>229</v>
      </c>
      <c r="E456" s="109" t="str">
        <f>EDID!E53</f>
        <v>01</v>
      </c>
      <c r="F456" s="179"/>
      <c r="G456"/>
      <c r="H456"/>
      <c r="I456"/>
      <c r="J456"/>
      <c r="K456"/>
      <c r="L456"/>
      <c r="M456"/>
      <c r="N456"/>
      <c r="O456"/>
      <c r="P456"/>
      <c r="Q456"/>
      <c r="R456"/>
      <c r="S456"/>
      <c r="T456"/>
      <c r="U456"/>
      <c r="V456"/>
      <c r="W456"/>
      <c r="X456" s="376"/>
      <c r="Y456" s="376"/>
      <c r="Z456" s="376"/>
      <c r="AA456" s="376"/>
      <c r="AB456" s="376"/>
      <c r="AC456" s="376"/>
      <c r="AD456" s="376"/>
      <c r="AE456" s="376"/>
      <c r="AF456" s="376"/>
      <c r="AG456" s="376"/>
      <c r="AH456" s="376"/>
      <c r="AI456" s="376"/>
      <c r="AJ456" s="376"/>
      <c r="AK456" s="376"/>
      <c r="AL456" s="376"/>
      <c r="AM456" s="376"/>
      <c r="AN456" s="376"/>
      <c r="AO456" s="376"/>
      <c r="AP456" s="376"/>
      <c r="AQ456" s="376"/>
      <c r="AR456" s="376"/>
    </row>
    <row r="457" spans="2:44" outlineLevel="1">
      <c r="B457" s="19" t="s">
        <v>88</v>
      </c>
      <c r="C457" s="5" t="s">
        <v>163</v>
      </c>
      <c r="D457" s="17" t="s">
        <v>230</v>
      </c>
      <c r="E457" s="109" t="str">
        <f>EDID!E54</f>
        <v>01</v>
      </c>
      <c r="F457" s="179"/>
      <c r="G457"/>
      <c r="H457"/>
      <c r="I457"/>
      <c r="J457"/>
      <c r="K457"/>
      <c r="L457"/>
      <c r="M457"/>
      <c r="N457"/>
      <c r="O457"/>
      <c r="P457"/>
      <c r="Q457"/>
      <c r="R457"/>
      <c r="S457"/>
      <c r="T457"/>
      <c r="U457"/>
      <c r="V457"/>
      <c r="W457"/>
      <c r="X457" s="376"/>
      <c r="Y457" s="376"/>
      <c r="Z457" s="376"/>
      <c r="AA457" s="376"/>
      <c r="AB457" s="376"/>
      <c r="AC457" s="376"/>
      <c r="AD457" s="376"/>
      <c r="AE457" s="376"/>
      <c r="AF457" s="376"/>
      <c r="AG457" s="376"/>
      <c r="AH457" s="376"/>
      <c r="AI457" s="376"/>
      <c r="AJ457" s="376"/>
      <c r="AK457" s="376"/>
      <c r="AL457" s="376"/>
      <c r="AM457" s="376"/>
      <c r="AN457" s="376"/>
      <c r="AO457" s="376"/>
      <c r="AP457" s="376"/>
      <c r="AQ457" s="376"/>
      <c r="AR457" s="376"/>
    </row>
    <row r="458" spans="2:44" outlineLevel="1">
      <c r="B458" s="19" t="s">
        <v>88</v>
      </c>
      <c r="C458" s="5" t="s">
        <v>163</v>
      </c>
      <c r="D458" s="17" t="s">
        <v>231</v>
      </c>
      <c r="E458" s="109" t="str">
        <f>EDID!E55</f>
        <v>01</v>
      </c>
      <c r="F458" s="179"/>
      <c r="G458"/>
      <c r="H458"/>
      <c r="I458"/>
      <c r="J458"/>
      <c r="K458"/>
      <c r="L458"/>
      <c r="M458"/>
      <c r="N458"/>
      <c r="O458"/>
      <c r="P458"/>
      <c r="Q458"/>
      <c r="R458"/>
      <c r="S458"/>
      <c r="T458"/>
      <c r="U458"/>
      <c r="V458"/>
      <c r="W458"/>
      <c r="X458" s="376"/>
      <c r="Y458" s="376"/>
      <c r="Z458" s="376"/>
      <c r="AA458" s="376"/>
      <c r="AB458" s="376"/>
      <c r="AC458" s="376"/>
      <c r="AD458" s="376"/>
      <c r="AE458" s="376"/>
      <c r="AF458" s="376"/>
      <c r="AG458" s="376"/>
      <c r="AH458" s="376"/>
      <c r="AI458" s="376"/>
      <c r="AJ458" s="376"/>
      <c r="AK458" s="376"/>
      <c r="AL458" s="376"/>
      <c r="AM458" s="376"/>
      <c r="AN458" s="376"/>
      <c r="AO458" s="376"/>
      <c r="AP458" s="376"/>
      <c r="AQ458" s="376"/>
      <c r="AR458" s="376"/>
    </row>
    <row r="459" spans="2:44" outlineLevel="1">
      <c r="B459" s="19" t="s">
        <v>88</v>
      </c>
      <c r="C459" s="5" t="s">
        <v>163</v>
      </c>
      <c r="D459" s="17" t="s">
        <v>232</v>
      </c>
      <c r="E459" s="109" t="str">
        <f>EDID!E56</f>
        <v>01</v>
      </c>
      <c r="F459" s="179"/>
      <c r="G459"/>
      <c r="H459"/>
      <c r="I459"/>
      <c r="J459"/>
      <c r="K459"/>
      <c r="L459"/>
      <c r="M459"/>
      <c r="N459"/>
      <c r="O459"/>
      <c r="P459"/>
      <c r="Q459"/>
      <c r="R459"/>
      <c r="S459"/>
      <c r="T459"/>
      <c r="U459"/>
      <c r="V459"/>
      <c r="W459"/>
      <c r="X459" s="376"/>
      <c r="Y459" s="376"/>
      <c r="Z459" s="376"/>
      <c r="AA459" s="376"/>
      <c r="AB459" s="376"/>
      <c r="AC459" s="376"/>
      <c r="AD459" s="376"/>
      <c r="AE459" s="376"/>
      <c r="AF459" s="376"/>
      <c r="AG459" s="376"/>
      <c r="AH459" s="376"/>
      <c r="AI459" s="376"/>
      <c r="AJ459" s="376"/>
      <c r="AK459" s="376"/>
      <c r="AL459" s="376"/>
      <c r="AM459" s="376"/>
      <c r="AN459" s="376"/>
      <c r="AO459" s="376"/>
      <c r="AP459" s="376"/>
      <c r="AQ459" s="376"/>
      <c r="AR459" s="376"/>
    </row>
    <row r="460" spans="2:44" outlineLevel="1">
      <c r="B460" s="19" t="s">
        <v>88</v>
      </c>
      <c r="C460" s="5" t="s">
        <v>163</v>
      </c>
      <c r="D460" s="17" t="s">
        <v>233</v>
      </c>
      <c r="E460" s="109" t="str">
        <f>EDID!E57</f>
        <v>01</v>
      </c>
      <c r="F460" s="179"/>
      <c r="G460"/>
      <c r="H460"/>
      <c r="I460"/>
      <c r="J460"/>
      <c r="K460"/>
      <c r="L460"/>
      <c r="M460"/>
      <c r="N460"/>
      <c r="O460"/>
      <c r="P460"/>
      <c r="Q460"/>
      <c r="R460"/>
      <c r="S460"/>
      <c r="T460"/>
      <c r="U460"/>
      <c r="V460"/>
      <c r="W460"/>
      <c r="X460" s="376"/>
      <c r="Y460" s="376"/>
      <c r="Z460" s="376"/>
      <c r="AA460" s="376"/>
      <c r="AB460" s="376"/>
      <c r="AC460" s="376"/>
      <c r="AD460" s="376"/>
      <c r="AE460" s="376"/>
      <c r="AF460" s="376"/>
      <c r="AG460" s="376"/>
      <c r="AH460" s="376"/>
      <c r="AI460" s="376"/>
      <c r="AJ460" s="376"/>
      <c r="AK460" s="376"/>
      <c r="AL460" s="376"/>
      <c r="AM460" s="376"/>
      <c r="AN460" s="376"/>
      <c r="AO460" s="376"/>
      <c r="AP460" s="376"/>
      <c r="AQ460" s="376"/>
      <c r="AR460" s="376"/>
    </row>
    <row r="461" spans="2:44" outlineLevel="1">
      <c r="B461" s="19" t="s">
        <v>88</v>
      </c>
      <c r="C461" s="5" t="s">
        <v>163</v>
      </c>
      <c r="D461" s="17" t="s">
        <v>234</v>
      </c>
      <c r="E461" s="109" t="str">
        <f>EDID!E58</f>
        <v>EC</v>
      </c>
      <c r="F461" s="179"/>
      <c r="G461"/>
      <c r="H461"/>
      <c r="I461"/>
      <c r="J461"/>
      <c r="K461"/>
      <c r="L461"/>
      <c r="M461"/>
      <c r="N461"/>
      <c r="O461"/>
      <c r="P461"/>
      <c r="Q461"/>
      <c r="R461"/>
      <c r="S461"/>
      <c r="T461"/>
      <c r="U461"/>
      <c r="V461"/>
      <c r="W461"/>
      <c r="X461" s="376"/>
      <c r="Y461" s="376"/>
      <c r="Z461" s="376"/>
      <c r="AA461" s="376"/>
      <c r="AB461" s="376"/>
      <c r="AC461" s="376"/>
      <c r="AD461" s="376"/>
      <c r="AE461" s="376"/>
      <c r="AF461" s="376"/>
      <c r="AG461" s="376"/>
      <c r="AH461" s="376"/>
      <c r="AI461" s="376"/>
      <c r="AJ461" s="376"/>
      <c r="AK461" s="376"/>
      <c r="AL461" s="376"/>
      <c r="AM461" s="376"/>
      <c r="AN461" s="376"/>
      <c r="AO461" s="376"/>
      <c r="AP461" s="376"/>
      <c r="AQ461" s="376"/>
      <c r="AR461" s="376"/>
    </row>
    <row r="462" spans="2:44" outlineLevel="1">
      <c r="B462" s="19" t="s">
        <v>88</v>
      </c>
      <c r="C462" s="5" t="s">
        <v>163</v>
      </c>
      <c r="D462" s="17" t="s">
        <v>235</v>
      </c>
      <c r="E462" s="109" t="str">
        <f>EDID!E59</f>
        <v>68</v>
      </c>
      <c r="F462" s="179"/>
      <c r="G462"/>
      <c r="H462"/>
      <c r="I462"/>
      <c r="J462"/>
      <c r="K462"/>
      <c r="L462"/>
      <c r="M462"/>
      <c r="N462"/>
      <c r="O462"/>
      <c r="P462"/>
      <c r="Q462"/>
      <c r="R462"/>
      <c r="S462"/>
      <c r="T462"/>
      <c r="U462"/>
      <c r="V462"/>
      <c r="W462"/>
      <c r="X462" s="376"/>
      <c r="Y462" s="376"/>
      <c r="Z462" s="376"/>
      <c r="AA462" s="376"/>
      <c r="AB462" s="376"/>
      <c r="AC462" s="376"/>
      <c r="AD462" s="376"/>
      <c r="AE462" s="376"/>
      <c r="AF462" s="376"/>
      <c r="AG462" s="376"/>
      <c r="AH462" s="376"/>
      <c r="AI462" s="376"/>
      <c r="AJ462" s="376"/>
      <c r="AK462" s="376"/>
      <c r="AL462" s="376"/>
      <c r="AM462" s="376"/>
      <c r="AN462" s="376"/>
      <c r="AO462" s="376"/>
      <c r="AP462" s="376"/>
      <c r="AQ462" s="376"/>
      <c r="AR462" s="376"/>
    </row>
    <row r="463" spans="2:44" outlineLevel="1">
      <c r="B463" s="19" t="s">
        <v>88</v>
      </c>
      <c r="C463" s="5" t="s">
        <v>163</v>
      </c>
      <c r="D463" s="17" t="s">
        <v>236</v>
      </c>
      <c r="E463" s="109" t="str">
        <f>EDID!E60</f>
        <v>00</v>
      </c>
      <c r="F463" s="179"/>
      <c r="G463"/>
      <c r="H463"/>
      <c r="I463"/>
      <c r="J463"/>
      <c r="K463"/>
      <c r="L463"/>
      <c r="M463"/>
      <c r="N463"/>
      <c r="O463"/>
      <c r="P463"/>
      <c r="Q463"/>
      <c r="R463"/>
      <c r="S463"/>
      <c r="T463"/>
      <c r="U463"/>
      <c r="V463"/>
      <c r="W463"/>
      <c r="X463" s="376"/>
      <c r="Y463" s="376"/>
      <c r="Z463" s="376"/>
      <c r="AA463" s="376"/>
      <c r="AB463" s="376"/>
      <c r="AC463" s="376"/>
      <c r="AD463" s="376"/>
      <c r="AE463" s="376"/>
      <c r="AF463" s="376"/>
      <c r="AG463" s="376"/>
      <c r="AH463" s="376"/>
      <c r="AI463" s="376"/>
      <c r="AJ463" s="376"/>
      <c r="AK463" s="376"/>
      <c r="AL463" s="376"/>
      <c r="AM463" s="376"/>
      <c r="AN463" s="376"/>
      <c r="AO463" s="376"/>
      <c r="AP463" s="376"/>
      <c r="AQ463" s="376"/>
      <c r="AR463" s="376"/>
    </row>
    <row r="464" spans="2:44" outlineLevel="1">
      <c r="B464" s="19" t="s">
        <v>88</v>
      </c>
      <c r="C464" s="5" t="s">
        <v>163</v>
      </c>
      <c r="D464" s="17" t="s">
        <v>237</v>
      </c>
      <c r="E464" s="109" t="str">
        <f>EDID!E61</f>
        <v>A0</v>
      </c>
      <c r="F464" s="179"/>
      <c r="G464"/>
      <c r="H464"/>
      <c r="I464"/>
      <c r="J464"/>
      <c r="K464"/>
      <c r="L464"/>
      <c r="M464"/>
      <c r="N464"/>
      <c r="O464"/>
      <c r="P464"/>
      <c r="Q464"/>
      <c r="R464"/>
      <c r="S464"/>
      <c r="T464"/>
      <c r="U464"/>
      <c r="V464"/>
      <c r="W464"/>
      <c r="X464" s="376"/>
      <c r="Y464" s="376"/>
      <c r="Z464" s="376"/>
      <c r="AA464" s="376"/>
      <c r="AB464" s="376"/>
      <c r="AC464" s="376"/>
      <c r="AD464" s="376"/>
      <c r="AE464" s="376"/>
      <c r="AF464" s="376"/>
      <c r="AG464" s="376"/>
      <c r="AH464" s="376"/>
      <c r="AI464" s="376"/>
      <c r="AJ464" s="376"/>
      <c r="AK464" s="376"/>
      <c r="AL464" s="376"/>
      <c r="AM464" s="376"/>
      <c r="AN464" s="376"/>
      <c r="AO464" s="376"/>
      <c r="AP464" s="376"/>
      <c r="AQ464" s="376"/>
      <c r="AR464" s="376"/>
    </row>
    <row r="465" spans="2:44" outlineLevel="1">
      <c r="B465" s="19" t="s">
        <v>88</v>
      </c>
      <c r="C465" s="5" t="s">
        <v>163</v>
      </c>
      <c r="D465" s="17" t="s">
        <v>238</v>
      </c>
      <c r="E465" s="109" t="str">
        <f>EDID!E62</f>
        <v>A0</v>
      </c>
      <c r="F465" s="179"/>
      <c r="G465"/>
      <c r="H465"/>
      <c r="I465"/>
      <c r="J465"/>
      <c r="K465"/>
      <c r="L465"/>
      <c r="M465"/>
      <c r="N465"/>
      <c r="O465"/>
      <c r="P465"/>
      <c r="Q465"/>
      <c r="R465"/>
      <c r="S465"/>
      <c r="T465"/>
      <c r="U465"/>
      <c r="V465"/>
      <c r="W465"/>
      <c r="X465" s="376"/>
      <c r="Y465" s="376"/>
      <c r="Z465" s="376"/>
      <c r="AA465" s="376"/>
      <c r="AB465" s="376"/>
      <c r="AC465" s="376"/>
      <c r="AD465" s="376"/>
      <c r="AE465" s="376"/>
      <c r="AF465" s="376"/>
      <c r="AG465" s="376"/>
      <c r="AH465" s="376"/>
      <c r="AI465" s="376"/>
      <c r="AJ465" s="376"/>
      <c r="AK465" s="376"/>
      <c r="AL465" s="376"/>
      <c r="AM465" s="376"/>
      <c r="AN465" s="376"/>
      <c r="AO465" s="376"/>
      <c r="AP465" s="376"/>
      <c r="AQ465" s="376"/>
      <c r="AR465" s="376"/>
    </row>
    <row r="466" spans="2:44" outlineLevel="1">
      <c r="B466" s="19" t="s">
        <v>88</v>
      </c>
      <c r="C466" s="5" t="s">
        <v>163</v>
      </c>
      <c r="D466" s="17" t="s">
        <v>239</v>
      </c>
      <c r="E466" s="109" t="str">
        <f>EDID!E63</f>
        <v>40</v>
      </c>
      <c r="F466" s="179"/>
      <c r="G466"/>
      <c r="H466"/>
      <c r="I466"/>
      <c r="J466"/>
      <c r="K466"/>
      <c r="L466"/>
      <c r="M466"/>
      <c r="N466"/>
      <c r="O466"/>
      <c r="P466"/>
      <c r="Q466"/>
      <c r="R466"/>
      <c r="S466"/>
      <c r="T466"/>
      <c r="U466"/>
      <c r="V466"/>
      <c r="W466"/>
      <c r="X466" s="376"/>
      <c r="Y466" s="376"/>
      <c r="Z466" s="376"/>
      <c r="AA466" s="376"/>
      <c r="AB466" s="376"/>
      <c r="AC466" s="376"/>
      <c r="AD466" s="376"/>
      <c r="AE466" s="376"/>
      <c r="AF466" s="376"/>
      <c r="AG466" s="376"/>
      <c r="AH466" s="376"/>
      <c r="AI466" s="376"/>
      <c r="AJ466" s="376"/>
      <c r="AK466" s="376"/>
      <c r="AL466" s="376"/>
      <c r="AM466" s="376"/>
      <c r="AN466" s="376"/>
      <c r="AO466" s="376"/>
      <c r="AP466" s="376"/>
      <c r="AQ466" s="376"/>
      <c r="AR466" s="376"/>
    </row>
    <row r="467" spans="2:44" outlineLevel="1">
      <c r="B467" s="19" t="s">
        <v>88</v>
      </c>
      <c r="C467" s="5" t="s">
        <v>163</v>
      </c>
      <c r="D467" s="17" t="s">
        <v>240</v>
      </c>
      <c r="E467" s="109" t="str">
        <f>EDID!E64</f>
        <v>2E</v>
      </c>
      <c r="F467" s="179"/>
      <c r="G467"/>
      <c r="H467"/>
      <c r="I467"/>
      <c r="J467"/>
      <c r="K467"/>
      <c r="L467"/>
      <c r="M467"/>
      <c r="N467"/>
      <c r="O467"/>
      <c r="P467"/>
      <c r="Q467"/>
      <c r="R467"/>
      <c r="S467"/>
      <c r="T467"/>
      <c r="U467"/>
      <c r="V467"/>
      <c r="W467"/>
      <c r="X467" s="376"/>
      <c r="Y467" s="376"/>
      <c r="Z467" s="376"/>
      <c r="AA467" s="376"/>
      <c r="AB467" s="376"/>
      <c r="AC467" s="376"/>
      <c r="AD467" s="376"/>
      <c r="AE467" s="376"/>
      <c r="AF467" s="376"/>
      <c r="AG467" s="376"/>
      <c r="AH467" s="376"/>
      <c r="AI467" s="376"/>
      <c r="AJ467" s="376"/>
      <c r="AK467" s="376"/>
      <c r="AL467" s="376"/>
      <c r="AM467" s="376"/>
      <c r="AN467" s="376"/>
      <c r="AO467" s="376"/>
      <c r="AP467" s="376"/>
      <c r="AQ467" s="376"/>
      <c r="AR467" s="376"/>
    </row>
    <row r="468" spans="2:44" outlineLevel="1">
      <c r="B468" s="19" t="s">
        <v>88</v>
      </c>
      <c r="C468" s="5" t="s">
        <v>163</v>
      </c>
      <c r="D468" s="17" t="s">
        <v>241</v>
      </c>
      <c r="E468" s="109" t="str">
        <f>EDID!E65</f>
        <v>60</v>
      </c>
      <c r="F468" s="179"/>
      <c r="G468"/>
      <c r="H468"/>
      <c r="I468"/>
      <c r="J468"/>
      <c r="K468"/>
      <c r="L468"/>
      <c r="M468"/>
      <c r="N468"/>
      <c r="O468"/>
      <c r="P468"/>
      <c r="Q468"/>
      <c r="R468"/>
      <c r="S468"/>
      <c r="T468"/>
      <c r="U468"/>
      <c r="V468"/>
      <c r="W468"/>
      <c r="X468" s="376"/>
      <c r="Y468" s="376"/>
      <c r="Z468" s="376"/>
      <c r="AA468" s="376"/>
      <c r="AB468" s="376"/>
      <c r="AC468" s="376"/>
      <c r="AD468" s="376"/>
      <c r="AE468" s="376"/>
      <c r="AF468" s="376"/>
      <c r="AG468" s="376"/>
      <c r="AH468" s="376"/>
      <c r="AI468" s="376"/>
      <c r="AJ468" s="376"/>
      <c r="AK468" s="376"/>
      <c r="AL468" s="376"/>
      <c r="AM468" s="376"/>
      <c r="AN468" s="376"/>
      <c r="AO468" s="376"/>
      <c r="AP468" s="376"/>
      <c r="AQ468" s="376"/>
      <c r="AR468" s="376"/>
    </row>
    <row r="469" spans="2:44" outlineLevel="1">
      <c r="B469" s="19" t="s">
        <v>88</v>
      </c>
      <c r="C469" s="5" t="s">
        <v>163</v>
      </c>
      <c r="D469" s="17" t="s">
        <v>242</v>
      </c>
      <c r="E469" s="109" t="str">
        <f>EDID!E66</f>
        <v>30</v>
      </c>
      <c r="F469" s="179"/>
      <c r="G469"/>
      <c r="H469"/>
      <c r="I469"/>
      <c r="J469"/>
      <c r="K469"/>
      <c r="L469"/>
      <c r="M469"/>
      <c r="N469"/>
      <c r="O469"/>
      <c r="P469"/>
      <c r="Q469"/>
      <c r="R469"/>
      <c r="S469"/>
      <c r="T469"/>
      <c r="U469"/>
      <c r="V469"/>
      <c r="W469"/>
      <c r="X469" s="376"/>
      <c r="Y469" s="376"/>
      <c r="Z469" s="376"/>
      <c r="AA469" s="376"/>
      <c r="AB469" s="376"/>
      <c r="AC469" s="376"/>
      <c r="AD469" s="376"/>
      <c r="AE469" s="376"/>
      <c r="AF469" s="376"/>
      <c r="AG469" s="376"/>
      <c r="AH469" s="376"/>
      <c r="AI469" s="376"/>
      <c r="AJ469" s="376"/>
      <c r="AK469" s="376"/>
      <c r="AL469" s="376"/>
      <c r="AM469" s="376"/>
      <c r="AN469" s="376"/>
      <c r="AO469" s="376"/>
      <c r="AP469" s="376"/>
      <c r="AQ469" s="376"/>
      <c r="AR469" s="376"/>
    </row>
    <row r="470" spans="2:44" outlineLevel="1">
      <c r="B470" s="19" t="s">
        <v>88</v>
      </c>
      <c r="C470" s="5" t="s">
        <v>163</v>
      </c>
      <c r="D470" s="17" t="s">
        <v>243</v>
      </c>
      <c r="E470" s="109" t="str">
        <f>EDID!E67</f>
        <v>20</v>
      </c>
      <c r="F470" s="179"/>
      <c r="G470"/>
      <c r="H470"/>
      <c r="I470"/>
      <c r="J470"/>
      <c r="K470"/>
      <c r="L470"/>
      <c r="M470"/>
      <c r="N470"/>
      <c r="O470"/>
      <c r="P470"/>
      <c r="Q470"/>
      <c r="R470"/>
      <c r="S470"/>
      <c r="T470"/>
      <c r="U470"/>
      <c r="V470"/>
      <c r="W470"/>
      <c r="X470" s="376"/>
      <c r="Y470" s="376"/>
      <c r="Z470" s="376"/>
      <c r="AA470" s="376"/>
      <c r="AB470" s="376"/>
      <c r="AC470" s="376"/>
      <c r="AD470" s="376"/>
      <c r="AE470" s="376"/>
      <c r="AF470" s="376"/>
      <c r="AG470" s="376"/>
      <c r="AH470" s="376"/>
      <c r="AI470" s="376"/>
      <c r="AJ470" s="376"/>
      <c r="AK470" s="376"/>
      <c r="AL470" s="376"/>
      <c r="AM470" s="376"/>
      <c r="AN470" s="376"/>
      <c r="AO470" s="376"/>
      <c r="AP470" s="376"/>
      <c r="AQ470" s="376"/>
      <c r="AR470" s="376"/>
    </row>
    <row r="471" spans="2:44" outlineLevel="1">
      <c r="B471" s="19" t="s">
        <v>88</v>
      </c>
      <c r="C471" s="5" t="s">
        <v>163</v>
      </c>
      <c r="D471" s="17" t="s">
        <v>244</v>
      </c>
      <c r="E471" s="109" t="str">
        <f>EDID!E68</f>
        <v>36</v>
      </c>
      <c r="F471" s="179"/>
      <c r="G471"/>
      <c r="H471"/>
      <c r="I471"/>
      <c r="J471"/>
      <c r="K471"/>
      <c r="L471"/>
      <c r="M471"/>
      <c r="N471"/>
      <c r="O471"/>
      <c r="P471"/>
      <c r="Q471"/>
      <c r="R471"/>
      <c r="S471"/>
      <c r="T471"/>
      <c r="U471"/>
      <c r="V471"/>
      <c r="W471"/>
      <c r="X471" s="376"/>
      <c r="Y471" s="376"/>
      <c r="Z471" s="376"/>
      <c r="AA471" s="376"/>
      <c r="AB471" s="376"/>
      <c r="AC471" s="376"/>
      <c r="AD471" s="376"/>
      <c r="AE471" s="376"/>
      <c r="AF471" s="376"/>
      <c r="AG471" s="376"/>
      <c r="AH471" s="376"/>
      <c r="AI471" s="376"/>
      <c r="AJ471" s="376"/>
      <c r="AK471" s="376"/>
      <c r="AL471" s="376"/>
      <c r="AM471" s="376"/>
      <c r="AN471" s="376"/>
      <c r="AO471" s="376"/>
      <c r="AP471" s="376"/>
      <c r="AQ471" s="376"/>
      <c r="AR471" s="376"/>
    </row>
    <row r="472" spans="2:44" outlineLevel="1">
      <c r="B472" s="19" t="s">
        <v>88</v>
      </c>
      <c r="C472" s="5" t="s">
        <v>163</v>
      </c>
      <c r="D472" s="17" t="s">
        <v>245</v>
      </c>
      <c r="E472" s="109" t="str">
        <f>EDID!E69</f>
        <v>00</v>
      </c>
      <c r="F472" s="179"/>
      <c r="G472"/>
      <c r="H472"/>
      <c r="I472"/>
      <c r="J472"/>
      <c r="K472"/>
      <c r="L472"/>
      <c r="M472"/>
      <c r="N472"/>
      <c r="O472"/>
      <c r="P472"/>
      <c r="Q472"/>
      <c r="R472"/>
      <c r="S472"/>
      <c r="T472"/>
      <c r="U472"/>
      <c r="V472"/>
      <c r="W472"/>
      <c r="X472" s="376"/>
      <c r="Y472" s="376"/>
      <c r="Z472" s="376"/>
      <c r="AA472" s="376"/>
      <c r="AB472" s="376"/>
      <c r="AC472" s="376"/>
      <c r="AD472" s="376"/>
      <c r="AE472" s="376"/>
      <c r="AF472" s="376"/>
      <c r="AG472" s="376"/>
      <c r="AH472" s="376"/>
      <c r="AI472" s="376"/>
      <c r="AJ472" s="376"/>
      <c r="AK472" s="376"/>
      <c r="AL472" s="376"/>
      <c r="AM472" s="376"/>
      <c r="AN472" s="376"/>
      <c r="AO472" s="376"/>
      <c r="AP472" s="376"/>
      <c r="AQ472" s="376"/>
      <c r="AR472" s="376"/>
    </row>
    <row r="473" spans="2:44" outlineLevel="1">
      <c r="B473" s="19" t="s">
        <v>88</v>
      </c>
      <c r="C473" s="5" t="s">
        <v>163</v>
      </c>
      <c r="D473" s="17" t="s">
        <v>246</v>
      </c>
      <c r="E473" s="109" t="str">
        <f>EDID!E70</f>
        <v>00</v>
      </c>
      <c r="F473" s="179"/>
      <c r="G473"/>
      <c r="H473"/>
      <c r="I473"/>
      <c r="J473"/>
      <c r="K473"/>
      <c r="L473"/>
      <c r="M473"/>
      <c r="N473"/>
      <c r="O473"/>
      <c r="P473"/>
      <c r="Q473"/>
      <c r="R473"/>
      <c r="S473"/>
      <c r="T473"/>
      <c r="U473"/>
      <c r="V473"/>
      <c r="W473"/>
      <c r="X473" s="376"/>
      <c r="Y473" s="376"/>
      <c r="Z473" s="376"/>
      <c r="AA473" s="376"/>
      <c r="AB473" s="376"/>
      <c r="AC473" s="376"/>
      <c r="AD473" s="376"/>
      <c r="AE473" s="376"/>
      <c r="AF473" s="376"/>
      <c r="AG473" s="376"/>
      <c r="AH473" s="376"/>
      <c r="AI473" s="376"/>
      <c r="AJ473" s="376"/>
      <c r="AK473" s="376"/>
      <c r="AL473" s="376"/>
      <c r="AM473" s="376"/>
      <c r="AN473" s="376"/>
      <c r="AO473" s="376"/>
      <c r="AP473" s="376"/>
      <c r="AQ473" s="376"/>
      <c r="AR473" s="376"/>
    </row>
    <row r="474" spans="2:44" outlineLevel="1">
      <c r="B474" s="19" t="s">
        <v>88</v>
      </c>
      <c r="C474" s="5" t="s">
        <v>163</v>
      </c>
      <c r="D474" s="17" t="s">
        <v>247</v>
      </c>
      <c r="E474" s="109" t="str">
        <f>EDID!E71</f>
        <v>40</v>
      </c>
      <c r="F474" s="179"/>
      <c r="G474"/>
      <c r="H474"/>
      <c r="I474"/>
      <c r="J474"/>
      <c r="K474"/>
      <c r="L474"/>
      <c r="M474"/>
      <c r="N474"/>
      <c r="O474"/>
      <c r="P474"/>
      <c r="Q474"/>
      <c r="R474"/>
      <c r="S474"/>
      <c r="T474"/>
      <c r="U474"/>
      <c r="V474"/>
      <c r="W474"/>
      <c r="X474" s="376"/>
      <c r="Y474" s="376"/>
      <c r="Z474" s="376"/>
      <c r="AA474" s="376"/>
      <c r="AB474" s="376"/>
      <c r="AC474" s="376"/>
      <c r="AD474" s="376"/>
      <c r="AE474" s="376"/>
      <c r="AF474" s="376"/>
      <c r="AG474" s="376"/>
      <c r="AH474" s="376"/>
      <c r="AI474" s="376"/>
      <c r="AJ474" s="376"/>
      <c r="AK474" s="376"/>
      <c r="AL474" s="376"/>
      <c r="AM474" s="376"/>
      <c r="AN474" s="376"/>
      <c r="AO474" s="376"/>
      <c r="AP474" s="376"/>
      <c r="AQ474" s="376"/>
      <c r="AR474" s="376"/>
    </row>
    <row r="475" spans="2:44" outlineLevel="1">
      <c r="B475" s="19" t="s">
        <v>88</v>
      </c>
      <c r="C475" s="5" t="s">
        <v>163</v>
      </c>
      <c r="D475" s="17" t="s">
        <v>248</v>
      </c>
      <c r="E475" s="109" t="str">
        <f>EDID!E72</f>
        <v>A6</v>
      </c>
      <c r="F475" s="179"/>
      <c r="G475"/>
      <c r="H475"/>
      <c r="I475"/>
      <c r="J475"/>
      <c r="K475"/>
      <c r="L475"/>
      <c r="M475"/>
      <c r="N475"/>
      <c r="O475"/>
      <c r="P475"/>
      <c r="Q475"/>
      <c r="R475"/>
      <c r="S475"/>
      <c r="T475"/>
      <c r="U475"/>
      <c r="V475"/>
      <c r="W475"/>
      <c r="X475" s="376"/>
      <c r="Y475" s="376"/>
      <c r="Z475" s="376"/>
      <c r="AA475" s="376"/>
      <c r="AB475" s="376"/>
      <c r="AC475" s="376"/>
      <c r="AD475" s="376"/>
      <c r="AE475" s="376"/>
      <c r="AF475" s="376"/>
      <c r="AG475" s="376"/>
      <c r="AH475" s="376"/>
      <c r="AI475" s="376"/>
      <c r="AJ475" s="376"/>
      <c r="AK475" s="376"/>
      <c r="AL475" s="376"/>
      <c r="AM475" s="376"/>
      <c r="AN475" s="376"/>
      <c r="AO475" s="376"/>
      <c r="AP475" s="376"/>
      <c r="AQ475" s="376"/>
      <c r="AR475" s="376"/>
    </row>
    <row r="476" spans="2:44" outlineLevel="1">
      <c r="B476" s="19" t="s">
        <v>88</v>
      </c>
      <c r="C476" s="5" t="s">
        <v>163</v>
      </c>
      <c r="D476" s="17" t="s">
        <v>249</v>
      </c>
      <c r="E476" s="109" t="str">
        <f>EDID!E73</f>
        <v>00</v>
      </c>
      <c r="F476" s="179"/>
      <c r="G476"/>
      <c r="H476"/>
      <c r="I476"/>
      <c r="J476"/>
      <c r="K476"/>
      <c r="L476"/>
      <c r="M476"/>
      <c r="N476"/>
      <c r="O476"/>
      <c r="P476"/>
      <c r="Q476"/>
      <c r="R476"/>
      <c r="S476"/>
      <c r="T476"/>
      <c r="U476"/>
      <c r="V476"/>
      <c r="W476"/>
      <c r="X476" s="376"/>
      <c r="Y476" s="376"/>
      <c r="Z476" s="376"/>
      <c r="AA476" s="376"/>
      <c r="AB476" s="376"/>
      <c r="AC476" s="376"/>
      <c r="AD476" s="376"/>
      <c r="AE476" s="376"/>
      <c r="AF476" s="376"/>
      <c r="AG476" s="376"/>
      <c r="AH476" s="376"/>
      <c r="AI476" s="376"/>
      <c r="AJ476" s="376"/>
      <c r="AK476" s="376"/>
      <c r="AL476" s="376"/>
      <c r="AM476" s="376"/>
      <c r="AN476" s="376"/>
      <c r="AO476" s="376"/>
      <c r="AP476" s="376"/>
      <c r="AQ476" s="376"/>
      <c r="AR476" s="376"/>
    </row>
    <row r="477" spans="2:44" outlineLevel="1">
      <c r="B477" s="19" t="s">
        <v>88</v>
      </c>
      <c r="C477" s="5" t="s">
        <v>163</v>
      </c>
      <c r="D477" s="17" t="s">
        <v>250</v>
      </c>
      <c r="E477" s="109" t="str">
        <f>EDID!E74</f>
        <v>00</v>
      </c>
      <c r="F477" s="179"/>
      <c r="G477"/>
      <c r="H477"/>
      <c r="I477"/>
      <c r="J477"/>
      <c r="K477"/>
      <c r="L477"/>
      <c r="M477"/>
      <c r="N477"/>
      <c r="O477"/>
      <c r="P477"/>
      <c r="Q477"/>
      <c r="R477"/>
      <c r="S477"/>
      <c r="T477"/>
      <c r="U477"/>
      <c r="V477"/>
      <c r="W477"/>
      <c r="X477" s="376"/>
      <c r="Y477" s="376"/>
      <c r="Z477" s="376"/>
      <c r="AA477" s="376"/>
      <c r="AB477" s="376"/>
      <c r="AC477" s="376"/>
      <c r="AD477" s="376"/>
      <c r="AE477" s="376"/>
      <c r="AF477" s="376"/>
      <c r="AG477" s="376"/>
      <c r="AH477" s="376"/>
      <c r="AI477" s="376"/>
      <c r="AJ477" s="376"/>
      <c r="AK477" s="376"/>
      <c r="AL477" s="376"/>
      <c r="AM477" s="376"/>
      <c r="AN477" s="376"/>
      <c r="AO477" s="376"/>
      <c r="AP477" s="376"/>
      <c r="AQ477" s="376"/>
      <c r="AR477" s="376"/>
    </row>
    <row r="478" spans="2:44" outlineLevel="1">
      <c r="B478" s="19" t="s">
        <v>88</v>
      </c>
      <c r="C478" s="5" t="s">
        <v>163</v>
      </c>
      <c r="D478" s="17" t="s">
        <v>251</v>
      </c>
      <c r="E478" s="109" t="str">
        <f>EDID!E75</f>
        <v>18</v>
      </c>
      <c r="F478" s="179"/>
      <c r="G478"/>
      <c r="H478"/>
      <c r="I478"/>
      <c r="J478"/>
      <c r="K478"/>
      <c r="L478"/>
      <c r="M478"/>
      <c r="N478"/>
      <c r="O478"/>
      <c r="P478"/>
      <c r="Q478"/>
      <c r="R478"/>
      <c r="S478"/>
      <c r="T478"/>
      <c r="U478"/>
      <c r="V478"/>
      <c r="W478"/>
      <c r="X478" s="376"/>
      <c r="Y478" s="376"/>
      <c r="Z478" s="376"/>
      <c r="AA478" s="376"/>
      <c r="AB478" s="376"/>
      <c r="AC478" s="376"/>
      <c r="AD478" s="376"/>
      <c r="AE478" s="376"/>
      <c r="AF478" s="376"/>
      <c r="AG478" s="376"/>
      <c r="AH478" s="376"/>
      <c r="AI478" s="376"/>
      <c r="AJ478" s="376"/>
      <c r="AK478" s="376"/>
      <c r="AL478" s="376"/>
      <c r="AM478" s="376"/>
      <c r="AN478" s="376"/>
      <c r="AO478" s="376"/>
      <c r="AP478" s="376"/>
      <c r="AQ478" s="376"/>
      <c r="AR478" s="376"/>
    </row>
    <row r="479" spans="2:44" ht="15" customHeight="1" outlineLevel="1">
      <c r="B479" s="19" t="s">
        <v>88</v>
      </c>
      <c r="C479" s="5" t="s">
        <v>163</v>
      </c>
      <c r="D479" s="17" t="s">
        <v>252</v>
      </c>
      <c r="E479" s="109" t="str">
        <f>EDID!E76</f>
        <v>EC</v>
      </c>
      <c r="F479" s="179"/>
      <c r="G479"/>
      <c r="H479"/>
      <c r="I479"/>
      <c r="J479"/>
      <c r="K479"/>
      <c r="L479"/>
      <c r="M479"/>
      <c r="N479"/>
      <c r="O479"/>
      <c r="P479"/>
      <c r="Q479"/>
      <c r="R479"/>
      <c r="S479"/>
      <c r="T479"/>
      <c r="U479"/>
      <c r="V479"/>
      <c r="W479"/>
      <c r="X479" s="376"/>
      <c r="Y479" s="376"/>
      <c r="Z479" s="376"/>
      <c r="AA479" s="376"/>
      <c r="AB479" s="376"/>
      <c r="AC479" s="376"/>
      <c r="AD479" s="376"/>
      <c r="AE479" s="376"/>
      <c r="AF479" s="376"/>
      <c r="AG479" s="376"/>
      <c r="AH479" s="376"/>
      <c r="AI479" s="376"/>
      <c r="AJ479" s="376"/>
      <c r="AK479" s="376"/>
      <c r="AL479" s="376"/>
      <c r="AM479" s="376"/>
      <c r="AN479" s="376"/>
      <c r="AO479" s="376"/>
      <c r="AP479" s="376"/>
      <c r="AQ479" s="376"/>
      <c r="AR479" s="376"/>
    </row>
    <row r="480" spans="2:44" outlineLevel="1">
      <c r="B480" s="19" t="s">
        <v>88</v>
      </c>
      <c r="C480" s="5" t="s">
        <v>163</v>
      </c>
      <c r="D480" s="17" t="s">
        <v>253</v>
      </c>
      <c r="E480" s="109" t="str">
        <f>EDID!E77</f>
        <v>68</v>
      </c>
      <c r="F480" s="8"/>
      <c r="G480"/>
      <c r="H480"/>
      <c r="I480"/>
      <c r="J480"/>
      <c r="K480"/>
      <c r="L480"/>
      <c r="M480"/>
      <c r="N480"/>
      <c r="O480"/>
      <c r="P480"/>
      <c r="Q480"/>
      <c r="R480"/>
      <c r="S480"/>
      <c r="T480"/>
      <c r="U480"/>
      <c r="V480"/>
      <c r="W480"/>
      <c r="X480" s="376"/>
      <c r="Y480" s="376"/>
      <c r="Z480" s="376"/>
      <c r="AA480" s="376"/>
      <c r="AB480" s="376"/>
      <c r="AC480" s="376"/>
      <c r="AD480" s="376"/>
      <c r="AE480" s="376"/>
      <c r="AF480" s="376"/>
      <c r="AG480" s="376"/>
      <c r="AH480" s="376"/>
      <c r="AI480" s="376"/>
      <c r="AJ480" s="376"/>
      <c r="AK480" s="376"/>
      <c r="AL480" s="376"/>
      <c r="AM480" s="376"/>
      <c r="AN480" s="376"/>
      <c r="AO480" s="376"/>
      <c r="AP480" s="376"/>
      <c r="AQ480" s="376"/>
      <c r="AR480" s="376"/>
    </row>
    <row r="481" spans="2:44" outlineLevel="1">
      <c r="B481" s="19" t="s">
        <v>88</v>
      </c>
      <c r="C481" s="5" t="s">
        <v>163</v>
      </c>
      <c r="D481" s="17" t="s">
        <v>254</v>
      </c>
      <c r="E481" s="109" t="str">
        <f>EDID!E78</f>
        <v>00</v>
      </c>
      <c r="F481" s="179"/>
      <c r="G481"/>
      <c r="H481"/>
      <c r="I481"/>
      <c r="J481"/>
      <c r="K481"/>
      <c r="L481"/>
      <c r="M481"/>
      <c r="N481"/>
      <c r="O481"/>
      <c r="P481"/>
      <c r="Q481"/>
      <c r="R481"/>
      <c r="S481"/>
      <c r="T481"/>
      <c r="U481"/>
      <c r="V481"/>
      <c r="W481"/>
      <c r="X481" s="376"/>
      <c r="Y481" s="376"/>
      <c r="Z481" s="376"/>
      <c r="AA481" s="376"/>
      <c r="AB481" s="376"/>
      <c r="AC481" s="376"/>
      <c r="AD481" s="376"/>
      <c r="AE481" s="376"/>
      <c r="AF481" s="376"/>
      <c r="AG481" s="376"/>
      <c r="AH481" s="376"/>
      <c r="AI481" s="376"/>
      <c r="AJ481" s="376"/>
      <c r="AK481" s="376"/>
      <c r="AL481" s="376"/>
      <c r="AM481" s="376"/>
      <c r="AN481" s="376"/>
      <c r="AO481" s="376"/>
      <c r="AP481" s="376"/>
      <c r="AQ481" s="376"/>
      <c r="AR481" s="376"/>
    </row>
    <row r="482" spans="2:44" outlineLevel="1">
      <c r="B482" s="19" t="s">
        <v>88</v>
      </c>
      <c r="C482" s="5" t="s">
        <v>163</v>
      </c>
      <c r="D482" s="17" t="s">
        <v>255</v>
      </c>
      <c r="E482" s="109" t="str">
        <f>EDID!E79</f>
        <v>A0</v>
      </c>
      <c r="F482" s="179"/>
      <c r="G482"/>
      <c r="H482"/>
      <c r="I482"/>
      <c r="J482"/>
      <c r="K482"/>
      <c r="L482"/>
      <c r="M482"/>
      <c r="N482"/>
      <c r="O482"/>
      <c r="P482"/>
      <c r="Q482"/>
      <c r="R482"/>
      <c r="S482"/>
      <c r="T482"/>
      <c r="U482"/>
      <c r="V482"/>
      <c r="W482"/>
      <c r="X482" s="376"/>
      <c r="Y482" s="376"/>
      <c r="Z482" s="376"/>
      <c r="AA482" s="376"/>
      <c r="AB482" s="376"/>
      <c r="AC482" s="376"/>
      <c r="AD482" s="376"/>
      <c r="AE482" s="376"/>
      <c r="AF482" s="376"/>
      <c r="AG482" s="376"/>
      <c r="AH482" s="376"/>
      <c r="AI482" s="376"/>
      <c r="AJ482" s="376"/>
      <c r="AK482" s="376"/>
      <c r="AL482" s="376"/>
      <c r="AM482" s="376"/>
      <c r="AN482" s="376"/>
      <c r="AO482" s="376"/>
      <c r="AP482" s="376"/>
      <c r="AQ482" s="376"/>
      <c r="AR482" s="376"/>
    </row>
    <row r="483" spans="2:44" outlineLevel="1">
      <c r="B483" s="19" t="s">
        <v>88</v>
      </c>
      <c r="C483" s="5" t="s">
        <v>163</v>
      </c>
      <c r="D483" s="17" t="s">
        <v>256</v>
      </c>
      <c r="E483" s="109" t="str">
        <f>EDID!E80</f>
        <v>A0</v>
      </c>
      <c r="F483" s="179"/>
      <c r="G483"/>
      <c r="H483"/>
      <c r="I483"/>
      <c r="J483"/>
      <c r="K483"/>
      <c r="L483"/>
      <c r="M483"/>
      <c r="N483"/>
      <c r="O483"/>
      <c r="P483"/>
      <c r="Q483"/>
      <c r="R483"/>
      <c r="S483"/>
      <c r="T483"/>
      <c r="U483"/>
      <c r="V483"/>
      <c r="W483"/>
      <c r="X483" s="376"/>
      <c r="Y483" s="376"/>
      <c r="Z483" s="376"/>
      <c r="AA483" s="376"/>
      <c r="AB483" s="376"/>
      <c r="AC483" s="376"/>
      <c r="AD483" s="376"/>
      <c r="AE483" s="376"/>
      <c r="AF483" s="376"/>
      <c r="AG483" s="376"/>
      <c r="AH483" s="376"/>
      <c r="AI483" s="376"/>
      <c r="AJ483" s="376"/>
      <c r="AK483" s="376"/>
      <c r="AL483" s="376"/>
      <c r="AM483" s="376"/>
      <c r="AN483" s="376"/>
      <c r="AO483" s="376"/>
      <c r="AP483" s="376"/>
      <c r="AQ483" s="376"/>
      <c r="AR483" s="376"/>
    </row>
    <row r="484" spans="2:44" outlineLevel="1">
      <c r="B484" s="19" t="s">
        <v>88</v>
      </c>
      <c r="C484" s="5" t="s">
        <v>163</v>
      </c>
      <c r="D484" s="17" t="s">
        <v>257</v>
      </c>
      <c r="E484" s="109" t="str">
        <f>EDID!E81</f>
        <v>40</v>
      </c>
      <c r="F484" s="179"/>
      <c r="G484"/>
      <c r="H484"/>
      <c r="I484"/>
      <c r="J484"/>
      <c r="K484"/>
      <c r="L484"/>
      <c r="M484"/>
      <c r="N484"/>
      <c r="O484"/>
      <c r="P484"/>
      <c r="Q484"/>
      <c r="R484"/>
      <c r="S484"/>
      <c r="T484"/>
      <c r="U484"/>
      <c r="V484"/>
      <c r="W484"/>
      <c r="X484" s="376"/>
      <c r="Y484" s="376"/>
      <c r="Z484" s="376"/>
      <c r="AA484" s="376"/>
      <c r="AB484" s="376"/>
      <c r="AC484" s="376"/>
      <c r="AD484" s="376"/>
      <c r="AE484" s="376"/>
      <c r="AF484" s="376"/>
      <c r="AG484" s="376"/>
      <c r="AH484" s="376"/>
      <c r="AI484" s="376"/>
      <c r="AJ484" s="376"/>
      <c r="AK484" s="376"/>
      <c r="AL484" s="376"/>
      <c r="AM484" s="376"/>
      <c r="AN484" s="376"/>
      <c r="AO484" s="376"/>
      <c r="AP484" s="376"/>
      <c r="AQ484" s="376"/>
      <c r="AR484" s="376"/>
    </row>
    <row r="485" spans="2:44" outlineLevel="1">
      <c r="B485" s="19" t="s">
        <v>88</v>
      </c>
      <c r="C485" s="5" t="s">
        <v>163</v>
      </c>
      <c r="D485" s="17" t="s">
        <v>258</v>
      </c>
      <c r="E485" s="109" t="str">
        <f>EDID!E82</f>
        <v>2E</v>
      </c>
      <c r="F485" s="179"/>
      <c r="G485"/>
      <c r="H485"/>
      <c r="I485"/>
      <c r="J485"/>
      <c r="K485"/>
      <c r="L485"/>
      <c r="M485"/>
      <c r="N485"/>
      <c r="O485"/>
      <c r="P485"/>
      <c r="Q485"/>
      <c r="R485"/>
      <c r="S485"/>
      <c r="T485"/>
      <c r="U485"/>
      <c r="V485"/>
      <c r="W485"/>
      <c r="X485" s="376"/>
      <c r="Y485" s="376"/>
      <c r="Z485" s="376"/>
      <c r="AA485" s="376"/>
      <c r="AB485" s="376"/>
      <c r="AC485" s="376"/>
      <c r="AD485" s="376"/>
      <c r="AE485" s="376"/>
      <c r="AF485" s="376"/>
      <c r="AG485" s="376"/>
      <c r="AH485" s="376"/>
      <c r="AI485" s="376"/>
      <c r="AJ485" s="376"/>
      <c r="AK485" s="376"/>
      <c r="AL485" s="376"/>
      <c r="AM485" s="376"/>
      <c r="AN485" s="376"/>
      <c r="AO485" s="376"/>
      <c r="AP485" s="376"/>
      <c r="AQ485" s="376"/>
      <c r="AR485" s="376"/>
    </row>
    <row r="486" spans="2:44" outlineLevel="1">
      <c r="B486" s="19" t="s">
        <v>88</v>
      </c>
      <c r="C486" s="5" t="s">
        <v>163</v>
      </c>
      <c r="D486" s="17" t="s">
        <v>259</v>
      </c>
      <c r="E486" s="109" t="str">
        <f>EDID!E83</f>
        <v>60</v>
      </c>
      <c r="F486" s="179"/>
      <c r="G486"/>
      <c r="H486"/>
      <c r="I486"/>
      <c r="J486"/>
      <c r="K486"/>
      <c r="L486"/>
      <c r="M486"/>
      <c r="N486"/>
      <c r="O486"/>
      <c r="P486"/>
      <c r="Q486"/>
      <c r="R486"/>
      <c r="S486"/>
      <c r="T486"/>
      <c r="U486"/>
      <c r="V486"/>
      <c r="W486"/>
      <c r="X486" s="376"/>
      <c r="Y486" s="376"/>
      <c r="Z486" s="376"/>
      <c r="AA486" s="376"/>
      <c r="AB486" s="376"/>
      <c r="AC486" s="376"/>
      <c r="AD486" s="376"/>
      <c r="AE486" s="376"/>
      <c r="AF486" s="376"/>
      <c r="AG486" s="376"/>
      <c r="AH486" s="376"/>
      <c r="AI486" s="376"/>
      <c r="AJ486" s="376"/>
      <c r="AK486" s="376"/>
      <c r="AL486" s="376"/>
      <c r="AM486" s="376"/>
      <c r="AN486" s="376"/>
      <c r="AO486" s="376"/>
      <c r="AP486" s="376"/>
      <c r="AQ486" s="376"/>
      <c r="AR486" s="376"/>
    </row>
    <row r="487" spans="2:44" outlineLevel="1">
      <c r="B487" s="19" t="s">
        <v>88</v>
      </c>
      <c r="C487" s="5" t="s">
        <v>163</v>
      </c>
      <c r="D487" s="17" t="s">
        <v>260</v>
      </c>
      <c r="E487" s="109" t="str">
        <f>EDID!E84</f>
        <v>30</v>
      </c>
      <c r="F487" s="179"/>
      <c r="G487"/>
      <c r="H487"/>
      <c r="I487"/>
      <c r="J487"/>
      <c r="K487"/>
      <c r="L487"/>
      <c r="M487"/>
      <c r="N487"/>
      <c r="O487"/>
      <c r="P487"/>
      <c r="Q487"/>
      <c r="R487"/>
      <c r="S487"/>
      <c r="T487"/>
      <c r="U487"/>
      <c r="V487"/>
      <c r="W487"/>
      <c r="X487" s="376"/>
      <c r="Y487" s="376"/>
      <c r="Z487" s="376"/>
      <c r="AA487" s="376"/>
      <c r="AB487" s="376"/>
      <c r="AC487" s="376"/>
      <c r="AD487" s="376"/>
      <c r="AE487" s="376"/>
      <c r="AF487" s="376"/>
      <c r="AG487" s="376"/>
      <c r="AH487" s="376"/>
      <c r="AI487" s="376"/>
      <c r="AJ487" s="376"/>
      <c r="AK487" s="376"/>
      <c r="AL487" s="376"/>
      <c r="AM487" s="376"/>
      <c r="AN487" s="376"/>
      <c r="AO487" s="376"/>
      <c r="AP487" s="376"/>
      <c r="AQ487" s="376"/>
      <c r="AR487" s="376"/>
    </row>
    <row r="488" spans="2:44" outlineLevel="1">
      <c r="B488" s="19" t="s">
        <v>88</v>
      </c>
      <c r="C488" s="5" t="s">
        <v>163</v>
      </c>
      <c r="D488" s="17" t="s">
        <v>261</v>
      </c>
      <c r="E488" s="109" t="str">
        <f>EDID!E85</f>
        <v>20</v>
      </c>
      <c r="F488" s="179"/>
      <c r="G488"/>
      <c r="H488"/>
      <c r="I488"/>
      <c r="J488"/>
      <c r="K488"/>
      <c r="L488"/>
      <c r="M488"/>
      <c r="N488"/>
      <c r="O488"/>
      <c r="P488"/>
      <c r="Q488"/>
      <c r="R488"/>
      <c r="S488"/>
      <c r="T488"/>
      <c r="U488"/>
      <c r="V488"/>
      <c r="W488"/>
      <c r="X488" s="376"/>
      <c r="Y488" s="376"/>
      <c r="Z488" s="376"/>
      <c r="AA488" s="376"/>
      <c r="AB488" s="376"/>
      <c r="AC488" s="376"/>
      <c r="AD488" s="376"/>
      <c r="AE488" s="376"/>
      <c r="AF488" s="376"/>
      <c r="AG488" s="376"/>
      <c r="AH488" s="376"/>
      <c r="AI488" s="376"/>
      <c r="AJ488" s="376"/>
      <c r="AK488" s="376"/>
      <c r="AL488" s="376"/>
      <c r="AM488" s="376"/>
      <c r="AN488" s="376"/>
      <c r="AO488" s="376"/>
      <c r="AP488" s="376"/>
      <c r="AQ488" s="376"/>
      <c r="AR488" s="376"/>
    </row>
    <row r="489" spans="2:44" outlineLevel="1">
      <c r="B489" s="19" t="s">
        <v>88</v>
      </c>
      <c r="C489" s="5" t="s">
        <v>163</v>
      </c>
      <c r="D489" s="17" t="s">
        <v>262</v>
      </c>
      <c r="E489" s="109" t="str">
        <f>EDID!E86</f>
        <v>36</v>
      </c>
      <c r="F489" s="179"/>
      <c r="G489"/>
      <c r="H489"/>
      <c r="I489"/>
      <c r="J489"/>
      <c r="K489"/>
      <c r="L489"/>
      <c r="M489"/>
      <c r="N489"/>
      <c r="O489"/>
      <c r="P489"/>
      <c r="Q489"/>
      <c r="R489"/>
      <c r="S489"/>
      <c r="T489"/>
      <c r="U489"/>
      <c r="V489"/>
      <c r="W489"/>
      <c r="X489" s="376"/>
      <c r="Y489" s="376"/>
      <c r="Z489" s="376"/>
      <c r="AA489" s="376"/>
      <c r="AB489" s="376"/>
      <c r="AC489" s="376"/>
      <c r="AD489" s="376"/>
      <c r="AE489" s="376"/>
      <c r="AF489" s="376"/>
      <c r="AG489" s="376"/>
      <c r="AH489" s="376"/>
      <c r="AI489" s="376"/>
      <c r="AJ489" s="376"/>
      <c r="AK489" s="376"/>
      <c r="AL489" s="376"/>
      <c r="AM489" s="376"/>
      <c r="AN489" s="376"/>
      <c r="AO489" s="376"/>
      <c r="AP489" s="376"/>
      <c r="AQ489" s="376"/>
      <c r="AR489" s="376"/>
    </row>
    <row r="490" spans="2:44" outlineLevel="1">
      <c r="B490" s="19" t="s">
        <v>88</v>
      </c>
      <c r="C490" s="5" t="s">
        <v>163</v>
      </c>
      <c r="D490" s="17" t="s">
        <v>263</v>
      </c>
      <c r="E490" s="109" t="str">
        <f>EDID!E87</f>
        <v>00</v>
      </c>
      <c r="F490" s="179"/>
      <c r="G490"/>
      <c r="H490"/>
      <c r="I490"/>
      <c r="J490"/>
      <c r="K490"/>
      <c r="L490"/>
      <c r="M490"/>
      <c r="N490"/>
      <c r="O490"/>
      <c r="P490"/>
      <c r="Q490"/>
      <c r="R490"/>
      <c r="S490"/>
      <c r="T490"/>
      <c r="U490"/>
      <c r="V490"/>
      <c r="W490"/>
      <c r="X490" s="376"/>
      <c r="Y490" s="376"/>
      <c r="Z490" s="376"/>
      <c r="AA490" s="376"/>
      <c r="AB490" s="376"/>
      <c r="AC490" s="376"/>
      <c r="AD490" s="376"/>
      <c r="AE490" s="376"/>
      <c r="AF490" s="376"/>
      <c r="AG490" s="376"/>
      <c r="AH490" s="376"/>
      <c r="AI490" s="376"/>
      <c r="AJ490" s="376"/>
      <c r="AK490" s="376"/>
      <c r="AL490" s="376"/>
      <c r="AM490" s="376"/>
      <c r="AN490" s="376"/>
      <c r="AO490" s="376"/>
      <c r="AP490" s="376"/>
      <c r="AQ490" s="376"/>
      <c r="AR490" s="376"/>
    </row>
    <row r="491" spans="2:44" outlineLevel="1">
      <c r="B491" s="19" t="s">
        <v>88</v>
      </c>
      <c r="C491" s="5" t="s">
        <v>163</v>
      </c>
      <c r="D491" s="17" t="s">
        <v>264</v>
      </c>
      <c r="E491" s="109" t="str">
        <f>EDID!E88</f>
        <v>00</v>
      </c>
      <c r="F491" s="179"/>
      <c r="G491"/>
      <c r="H491"/>
      <c r="I491"/>
      <c r="J491"/>
      <c r="K491"/>
      <c r="L491"/>
      <c r="M491"/>
      <c r="N491"/>
      <c r="O491"/>
      <c r="P491"/>
      <c r="Q491"/>
      <c r="R491"/>
      <c r="S491"/>
      <c r="T491"/>
      <c r="U491"/>
      <c r="V491"/>
      <c r="W491"/>
      <c r="X491" s="376"/>
      <c r="Y491" s="376"/>
      <c r="Z491" s="376"/>
      <c r="AA491" s="376"/>
      <c r="AB491" s="376"/>
      <c r="AC491" s="376"/>
      <c r="AD491" s="376"/>
      <c r="AE491" s="376"/>
      <c r="AF491" s="376"/>
      <c r="AG491" s="376"/>
      <c r="AH491" s="376"/>
      <c r="AI491" s="376"/>
      <c r="AJ491" s="376"/>
      <c r="AK491" s="376"/>
      <c r="AL491" s="376"/>
      <c r="AM491" s="376"/>
      <c r="AN491" s="376"/>
      <c r="AO491" s="376"/>
      <c r="AP491" s="376"/>
      <c r="AQ491" s="376"/>
      <c r="AR491" s="376"/>
    </row>
    <row r="492" spans="2:44" outlineLevel="1">
      <c r="B492" s="19" t="s">
        <v>88</v>
      </c>
      <c r="C492" s="5" t="s">
        <v>163</v>
      </c>
      <c r="D492" s="17" t="s">
        <v>265</v>
      </c>
      <c r="E492" s="109" t="str">
        <f>EDID!E89</f>
        <v>40</v>
      </c>
      <c r="F492" s="179"/>
      <c r="G492"/>
      <c r="H492"/>
      <c r="I492"/>
      <c r="J492"/>
      <c r="K492"/>
      <c r="L492"/>
      <c r="M492"/>
      <c r="N492"/>
      <c r="O492"/>
      <c r="P492"/>
      <c r="Q492"/>
      <c r="R492"/>
      <c r="S492"/>
      <c r="T492"/>
      <c r="U492"/>
      <c r="V492"/>
      <c r="W492"/>
      <c r="X492" s="376"/>
      <c r="Y492" s="376"/>
      <c r="Z492" s="376"/>
      <c r="AA492" s="376"/>
      <c r="AB492" s="376"/>
      <c r="AC492" s="376"/>
      <c r="AD492" s="376"/>
      <c r="AE492" s="376"/>
      <c r="AF492" s="376"/>
      <c r="AG492" s="376"/>
      <c r="AH492" s="376"/>
      <c r="AI492" s="376"/>
      <c r="AJ492" s="376"/>
      <c r="AK492" s="376"/>
      <c r="AL492" s="376"/>
      <c r="AM492" s="376"/>
      <c r="AN492" s="376"/>
      <c r="AO492" s="376"/>
      <c r="AP492" s="376"/>
      <c r="AQ492" s="376"/>
      <c r="AR492" s="376"/>
    </row>
    <row r="493" spans="2:44" outlineLevel="1">
      <c r="B493" s="19" t="s">
        <v>88</v>
      </c>
      <c r="C493" s="5" t="s">
        <v>163</v>
      </c>
      <c r="D493" s="17" t="s">
        <v>266</v>
      </c>
      <c r="E493" s="109" t="str">
        <f>EDID!E90</f>
        <v>A6</v>
      </c>
      <c r="F493" s="179"/>
      <c r="G493"/>
      <c r="H493"/>
      <c r="I493"/>
      <c r="J493"/>
      <c r="K493"/>
      <c r="L493"/>
      <c r="M493"/>
      <c r="N493"/>
      <c r="O493"/>
      <c r="P493"/>
      <c r="Q493"/>
      <c r="R493"/>
      <c r="S493"/>
      <c r="T493"/>
      <c r="U493"/>
      <c r="V493"/>
      <c r="W493"/>
      <c r="X493" s="376"/>
      <c r="Y493" s="376"/>
      <c r="Z493" s="376"/>
      <c r="AA493" s="376"/>
      <c r="AB493" s="376"/>
      <c r="AC493" s="376"/>
      <c r="AD493" s="376"/>
      <c r="AE493" s="376"/>
      <c r="AF493" s="376"/>
      <c r="AG493" s="376"/>
      <c r="AH493" s="376"/>
      <c r="AI493" s="376"/>
      <c r="AJ493" s="376"/>
      <c r="AK493" s="376"/>
      <c r="AL493" s="376"/>
      <c r="AM493" s="376"/>
      <c r="AN493" s="376"/>
      <c r="AO493" s="376"/>
      <c r="AP493" s="376"/>
      <c r="AQ493" s="376"/>
      <c r="AR493" s="376"/>
    </row>
    <row r="494" spans="2:44" outlineLevel="1">
      <c r="B494" s="19" t="s">
        <v>88</v>
      </c>
      <c r="C494" s="5" t="s">
        <v>163</v>
      </c>
      <c r="D494" s="17" t="s">
        <v>267</v>
      </c>
      <c r="E494" s="109" t="str">
        <f>EDID!E91</f>
        <v>00</v>
      </c>
      <c r="F494" s="179"/>
      <c r="G494"/>
      <c r="H494"/>
      <c r="I494"/>
      <c r="J494"/>
      <c r="K494"/>
      <c r="L494"/>
      <c r="M494"/>
      <c r="N494"/>
      <c r="O494"/>
      <c r="P494"/>
      <c r="Q494"/>
      <c r="R494"/>
      <c r="S494"/>
      <c r="T494"/>
      <c r="U494"/>
      <c r="V494"/>
      <c r="W494"/>
      <c r="X494" s="376"/>
      <c r="Y494" s="376"/>
      <c r="Z494" s="376"/>
      <c r="AA494" s="376"/>
      <c r="AB494" s="376"/>
      <c r="AC494" s="376"/>
      <c r="AD494" s="376"/>
      <c r="AE494" s="376"/>
      <c r="AF494" s="376"/>
      <c r="AG494" s="376"/>
      <c r="AH494" s="376"/>
      <c r="AI494" s="376"/>
      <c r="AJ494" s="376"/>
      <c r="AK494" s="376"/>
      <c r="AL494" s="376"/>
      <c r="AM494" s="376"/>
      <c r="AN494" s="376"/>
      <c r="AO494" s="376"/>
      <c r="AP494" s="376"/>
      <c r="AQ494" s="376"/>
      <c r="AR494" s="376"/>
    </row>
    <row r="495" spans="2:44" outlineLevel="1">
      <c r="B495" s="19" t="s">
        <v>88</v>
      </c>
      <c r="C495" s="5" t="s">
        <v>163</v>
      </c>
      <c r="D495" s="17" t="s">
        <v>268</v>
      </c>
      <c r="E495" s="109" t="str">
        <f>EDID!E92</f>
        <v>00</v>
      </c>
      <c r="F495" s="179"/>
      <c r="G495"/>
      <c r="H495"/>
      <c r="I495"/>
      <c r="J495"/>
      <c r="K495"/>
      <c r="L495"/>
      <c r="M495"/>
      <c r="N495"/>
      <c r="O495"/>
      <c r="P495"/>
      <c r="Q495"/>
      <c r="R495"/>
      <c r="S495"/>
      <c r="T495"/>
      <c r="U495"/>
      <c r="V495"/>
      <c r="W495"/>
      <c r="X495" s="376"/>
      <c r="Y495" s="376"/>
      <c r="Z495" s="376"/>
      <c r="AA495" s="376"/>
      <c r="AB495" s="376"/>
      <c r="AC495" s="376"/>
      <c r="AD495" s="376"/>
      <c r="AE495" s="376"/>
      <c r="AF495" s="376"/>
      <c r="AG495" s="376"/>
      <c r="AH495" s="376"/>
      <c r="AI495" s="376"/>
      <c r="AJ495" s="376"/>
      <c r="AK495" s="376"/>
      <c r="AL495" s="376"/>
      <c r="AM495" s="376"/>
      <c r="AN495" s="376"/>
      <c r="AO495" s="376"/>
      <c r="AP495" s="376"/>
      <c r="AQ495" s="376"/>
      <c r="AR495" s="376"/>
    </row>
    <row r="496" spans="2:44" outlineLevel="1">
      <c r="B496" s="19" t="s">
        <v>88</v>
      </c>
      <c r="C496" s="5" t="s">
        <v>163</v>
      </c>
      <c r="D496" s="17" t="s">
        <v>269</v>
      </c>
      <c r="E496" s="109" t="str">
        <f>EDID!E93</f>
        <v>18</v>
      </c>
      <c r="F496" s="179"/>
      <c r="G496"/>
      <c r="H496"/>
      <c r="I496"/>
      <c r="J496"/>
      <c r="K496"/>
      <c r="L496"/>
      <c r="M496"/>
      <c r="N496"/>
      <c r="O496"/>
      <c r="P496"/>
      <c r="Q496"/>
      <c r="R496"/>
      <c r="S496"/>
      <c r="T496"/>
      <c r="U496"/>
      <c r="V496"/>
      <c r="W496"/>
      <c r="X496" s="376"/>
      <c r="Y496" s="376"/>
      <c r="Z496" s="376"/>
      <c r="AA496" s="376"/>
      <c r="AB496" s="376"/>
      <c r="AC496" s="376"/>
      <c r="AD496" s="376"/>
      <c r="AE496" s="376"/>
      <c r="AF496" s="376"/>
      <c r="AG496" s="376"/>
      <c r="AH496" s="376"/>
      <c r="AI496" s="376"/>
      <c r="AJ496" s="376"/>
      <c r="AK496" s="376"/>
      <c r="AL496" s="376"/>
      <c r="AM496" s="376"/>
      <c r="AN496" s="376"/>
      <c r="AO496" s="376"/>
      <c r="AP496" s="376"/>
      <c r="AQ496" s="376"/>
      <c r="AR496" s="376"/>
    </row>
    <row r="497" spans="2:44" outlineLevel="1">
      <c r="B497" s="19" t="s">
        <v>88</v>
      </c>
      <c r="C497" s="5" t="s">
        <v>163</v>
      </c>
      <c r="D497" s="17" t="s">
        <v>270</v>
      </c>
      <c r="E497" s="109" t="str">
        <f>EDID!E94</f>
        <v>00</v>
      </c>
      <c r="F497" s="179"/>
      <c r="G497"/>
      <c r="H497"/>
      <c r="I497"/>
      <c r="J497"/>
      <c r="K497"/>
      <c r="L497"/>
      <c r="M497"/>
      <c r="N497"/>
      <c r="O497"/>
      <c r="P497"/>
      <c r="Q497"/>
      <c r="R497"/>
      <c r="S497"/>
      <c r="T497"/>
      <c r="U497"/>
      <c r="V497"/>
      <c r="W497"/>
      <c r="X497" s="376"/>
      <c r="Y497" s="376"/>
      <c r="Z497" s="376"/>
      <c r="AA497" s="376"/>
      <c r="AB497" s="376"/>
      <c r="AC497" s="376"/>
      <c r="AD497" s="376"/>
      <c r="AE497" s="376"/>
      <c r="AF497" s="376"/>
      <c r="AG497" s="376"/>
      <c r="AH497" s="376"/>
      <c r="AI497" s="376"/>
      <c r="AJ497" s="376"/>
      <c r="AK497" s="376"/>
      <c r="AL497" s="376"/>
      <c r="AM497" s="376"/>
      <c r="AN497" s="376"/>
      <c r="AO497" s="376"/>
      <c r="AP497" s="376"/>
      <c r="AQ497" s="376"/>
      <c r="AR497" s="376"/>
    </row>
    <row r="498" spans="2:44" outlineLevel="1">
      <c r="B498" s="19" t="s">
        <v>88</v>
      </c>
      <c r="C498" s="5" t="s">
        <v>163</v>
      </c>
      <c r="D498" s="17" t="s">
        <v>271</v>
      </c>
      <c r="E498" s="109" t="str">
        <f>EDID!E95</f>
        <v>00</v>
      </c>
      <c r="F498" s="179"/>
      <c r="G498"/>
      <c r="H498"/>
      <c r="I498"/>
      <c r="J498"/>
      <c r="K498"/>
      <c r="L498"/>
      <c r="M498"/>
      <c r="N498"/>
      <c r="O498"/>
      <c r="P498"/>
      <c r="Q498"/>
      <c r="R498"/>
      <c r="S498"/>
      <c r="T498"/>
      <c r="U498"/>
      <c r="V498"/>
      <c r="W498"/>
      <c r="X498" s="376"/>
      <c r="Y498" s="376"/>
      <c r="Z498" s="376"/>
      <c r="AA498" s="376"/>
      <c r="AB498" s="376"/>
      <c r="AC498" s="376"/>
      <c r="AD498" s="376"/>
      <c r="AE498" s="376"/>
      <c r="AF498" s="376"/>
      <c r="AG498" s="376"/>
      <c r="AH498" s="376"/>
      <c r="AI498" s="376"/>
      <c r="AJ498" s="376"/>
      <c r="AK498" s="376"/>
      <c r="AL498" s="376"/>
      <c r="AM498" s="376"/>
      <c r="AN498" s="376"/>
      <c r="AO498" s="376"/>
      <c r="AP498" s="376"/>
      <c r="AQ498" s="376"/>
      <c r="AR498" s="376"/>
    </row>
    <row r="499" spans="2:44" outlineLevel="1">
      <c r="B499" s="19" t="s">
        <v>88</v>
      </c>
      <c r="C499" s="5" t="s">
        <v>163</v>
      </c>
      <c r="D499" s="17" t="s">
        <v>272</v>
      </c>
      <c r="E499" s="109" t="str">
        <f>EDID!E96</f>
        <v>00</v>
      </c>
      <c r="F499" s="179"/>
      <c r="G499"/>
      <c r="H499"/>
      <c r="I499"/>
      <c r="J499"/>
      <c r="K499"/>
      <c r="L499"/>
      <c r="M499"/>
      <c r="N499"/>
      <c r="O499"/>
      <c r="P499"/>
      <c r="Q499"/>
      <c r="R499"/>
      <c r="S499"/>
      <c r="T499"/>
      <c r="U499"/>
      <c r="V499"/>
      <c r="W499"/>
      <c r="X499" s="376"/>
      <c r="Y499" s="376"/>
      <c r="Z499" s="376"/>
      <c r="AA499" s="376"/>
      <c r="AB499" s="376"/>
      <c r="AC499" s="376"/>
      <c r="AD499" s="376"/>
      <c r="AE499" s="376"/>
      <c r="AF499" s="376"/>
      <c r="AG499" s="376"/>
      <c r="AH499" s="376"/>
      <c r="AI499" s="376"/>
      <c r="AJ499" s="376"/>
      <c r="AK499" s="376"/>
      <c r="AL499" s="376"/>
      <c r="AM499" s="376"/>
      <c r="AN499" s="376"/>
      <c r="AO499" s="376"/>
      <c r="AP499" s="376"/>
      <c r="AQ499" s="376"/>
      <c r="AR499" s="376"/>
    </row>
    <row r="500" spans="2:44" outlineLevel="1">
      <c r="B500" s="19" t="s">
        <v>88</v>
      </c>
      <c r="C500" s="5" t="s">
        <v>163</v>
      </c>
      <c r="D500" s="17" t="s">
        <v>273</v>
      </c>
      <c r="E500" s="109" t="str">
        <f>EDID!E97</f>
        <v>FC</v>
      </c>
      <c r="F500" s="179"/>
      <c r="G500"/>
      <c r="H500"/>
      <c r="I500"/>
      <c r="J500"/>
      <c r="K500"/>
      <c r="L500"/>
      <c r="M500"/>
      <c r="N500"/>
      <c r="O500"/>
      <c r="P500"/>
      <c r="Q500"/>
      <c r="R500"/>
      <c r="S500"/>
      <c r="T500"/>
      <c r="U500"/>
      <c r="V500"/>
      <c r="W500"/>
      <c r="X500" s="376"/>
      <c r="Y500" s="376"/>
      <c r="Z500" s="376"/>
      <c r="AA500" s="376"/>
      <c r="AB500" s="376"/>
      <c r="AC500" s="376"/>
      <c r="AD500" s="376"/>
      <c r="AE500" s="376"/>
      <c r="AF500" s="376"/>
      <c r="AG500" s="376"/>
      <c r="AH500" s="376"/>
      <c r="AI500" s="376"/>
      <c r="AJ500" s="376"/>
      <c r="AK500" s="376"/>
      <c r="AL500" s="376"/>
      <c r="AM500" s="376"/>
      <c r="AN500" s="376"/>
      <c r="AO500" s="376"/>
      <c r="AP500" s="376"/>
      <c r="AQ500" s="376"/>
      <c r="AR500" s="376"/>
    </row>
    <row r="501" spans="2:44" outlineLevel="1">
      <c r="B501" s="19" t="s">
        <v>88</v>
      </c>
      <c r="C501" s="5" t="s">
        <v>163</v>
      </c>
      <c r="D501" s="17" t="s">
        <v>274</v>
      </c>
      <c r="E501" s="109" t="str">
        <f>EDID!E98</f>
        <v>00</v>
      </c>
      <c r="F501" s="179"/>
      <c r="G501"/>
      <c r="H501"/>
      <c r="I501"/>
      <c r="J501"/>
      <c r="K501"/>
      <c r="L501"/>
      <c r="M501"/>
      <c r="N501"/>
      <c r="O501"/>
      <c r="P501"/>
      <c r="Q501"/>
      <c r="R501"/>
      <c r="S501"/>
      <c r="T501"/>
      <c r="U501"/>
      <c r="V501"/>
      <c r="W501"/>
      <c r="X501" s="376"/>
      <c r="Y501" s="376"/>
      <c r="Z501" s="376"/>
      <c r="AA501" s="376"/>
      <c r="AB501" s="376"/>
      <c r="AC501" s="376"/>
      <c r="AD501" s="376"/>
      <c r="AE501" s="376"/>
      <c r="AF501" s="376"/>
      <c r="AG501" s="376"/>
      <c r="AH501" s="376"/>
      <c r="AI501" s="376"/>
      <c r="AJ501" s="376"/>
      <c r="AK501" s="376"/>
      <c r="AL501" s="376"/>
      <c r="AM501" s="376"/>
      <c r="AN501" s="376"/>
      <c r="AO501" s="376"/>
      <c r="AP501" s="376"/>
      <c r="AQ501" s="376"/>
      <c r="AR501" s="376"/>
    </row>
    <row r="502" spans="2:44" outlineLevel="1">
      <c r="B502" s="19" t="s">
        <v>88</v>
      </c>
      <c r="C502" s="5" t="s">
        <v>163</v>
      </c>
      <c r="D502" s="17" t="s">
        <v>275</v>
      </c>
      <c r="E502" s="109" t="str">
        <f>EDID!E99</f>
        <v>54</v>
      </c>
      <c r="F502" s="179"/>
      <c r="G502"/>
      <c r="H502"/>
      <c r="I502"/>
      <c r="J502"/>
      <c r="K502"/>
      <c r="L502"/>
      <c r="M502"/>
      <c r="N502"/>
      <c r="O502"/>
      <c r="P502"/>
      <c r="Q502"/>
      <c r="R502"/>
      <c r="S502"/>
      <c r="T502"/>
      <c r="U502"/>
      <c r="V502"/>
      <c r="W502"/>
      <c r="X502" s="376"/>
      <c r="Y502" s="376"/>
      <c r="Z502" s="376"/>
      <c r="AA502" s="376"/>
      <c r="AB502" s="376"/>
      <c r="AC502" s="376"/>
      <c r="AD502" s="376"/>
      <c r="AE502" s="376"/>
      <c r="AF502" s="376"/>
      <c r="AG502" s="376"/>
      <c r="AH502" s="376"/>
      <c r="AI502" s="376"/>
      <c r="AJ502" s="376"/>
      <c r="AK502" s="376"/>
      <c r="AL502" s="376"/>
      <c r="AM502" s="376"/>
      <c r="AN502" s="376"/>
      <c r="AO502" s="376"/>
      <c r="AP502" s="376"/>
      <c r="AQ502" s="376"/>
      <c r="AR502" s="376"/>
    </row>
    <row r="503" spans="2:44" outlineLevel="1">
      <c r="B503" s="19" t="s">
        <v>88</v>
      </c>
      <c r="C503" s="5" t="s">
        <v>163</v>
      </c>
      <c r="D503" s="17" t="s">
        <v>276</v>
      </c>
      <c r="E503" s="109" t="str">
        <f>EDID!E100</f>
        <v>6F</v>
      </c>
      <c r="F503" s="179"/>
      <c r="G503"/>
      <c r="H503"/>
      <c r="I503"/>
      <c r="J503"/>
      <c r="K503"/>
      <c r="L503"/>
      <c r="M503"/>
      <c r="N503"/>
      <c r="O503"/>
      <c r="P503"/>
      <c r="Q503"/>
      <c r="R503"/>
      <c r="S503"/>
      <c r="T503"/>
      <c r="U503"/>
      <c r="V503"/>
      <c r="W503"/>
      <c r="X503" s="376"/>
      <c r="Y503" s="376"/>
      <c r="Z503" s="376"/>
      <c r="AA503" s="376"/>
      <c r="AB503" s="376"/>
      <c r="AC503" s="376"/>
      <c r="AD503" s="376"/>
      <c r="AE503" s="376"/>
      <c r="AF503" s="376"/>
      <c r="AG503" s="376"/>
      <c r="AH503" s="376"/>
      <c r="AI503" s="376"/>
      <c r="AJ503" s="376"/>
      <c r="AK503" s="376"/>
      <c r="AL503" s="376"/>
      <c r="AM503" s="376"/>
      <c r="AN503" s="376"/>
      <c r="AO503" s="376"/>
      <c r="AP503" s="376"/>
      <c r="AQ503" s="376"/>
      <c r="AR503" s="376"/>
    </row>
    <row r="504" spans="2:44" outlineLevel="1">
      <c r="B504" s="19" t="s">
        <v>88</v>
      </c>
      <c r="C504" s="5" t="s">
        <v>163</v>
      </c>
      <c r="D504" s="17" t="s">
        <v>277</v>
      </c>
      <c r="E504" s="109" t="str">
        <f>EDID!E101</f>
        <v>73</v>
      </c>
      <c r="F504" s="179"/>
      <c r="G504"/>
      <c r="H504"/>
      <c r="I504"/>
      <c r="J504"/>
      <c r="K504"/>
      <c r="L504"/>
      <c r="M504"/>
      <c r="N504"/>
      <c r="O504"/>
      <c r="P504"/>
      <c r="Q504"/>
      <c r="R504"/>
      <c r="S504"/>
      <c r="T504"/>
      <c r="U504"/>
      <c r="V504"/>
      <c r="W504"/>
      <c r="X504" s="376"/>
      <c r="Y504" s="376"/>
      <c r="Z504" s="376"/>
      <c r="AA504" s="376"/>
      <c r="AB504" s="376"/>
      <c r="AC504" s="376"/>
      <c r="AD504" s="376"/>
      <c r="AE504" s="376"/>
      <c r="AF504" s="376"/>
      <c r="AG504" s="376"/>
      <c r="AH504" s="376"/>
      <c r="AI504" s="376"/>
      <c r="AJ504" s="376"/>
      <c r="AK504" s="376"/>
      <c r="AL504" s="376"/>
      <c r="AM504" s="376"/>
      <c r="AN504" s="376"/>
      <c r="AO504" s="376"/>
      <c r="AP504" s="376"/>
      <c r="AQ504" s="376"/>
      <c r="AR504" s="376"/>
    </row>
    <row r="505" spans="2:44" outlineLevel="1">
      <c r="B505" s="19" t="s">
        <v>88</v>
      </c>
      <c r="C505" s="5" t="s">
        <v>163</v>
      </c>
      <c r="D505" s="17" t="s">
        <v>278</v>
      </c>
      <c r="E505" s="109" t="str">
        <f>EDID!E102</f>
        <v>68</v>
      </c>
      <c r="F505" s="179"/>
      <c r="G505"/>
      <c r="H505"/>
      <c r="I505"/>
      <c r="J505"/>
      <c r="K505"/>
      <c r="L505"/>
      <c r="M505"/>
      <c r="N505"/>
      <c r="O505"/>
      <c r="P505"/>
      <c r="Q505"/>
      <c r="R505"/>
      <c r="S505"/>
      <c r="T505"/>
      <c r="U505"/>
      <c r="V505"/>
      <c r="W505"/>
      <c r="X505" s="376"/>
      <c r="Y505" s="376"/>
      <c r="Z505" s="376"/>
      <c r="AA505" s="376"/>
      <c r="AB505" s="376"/>
      <c r="AC505" s="376"/>
      <c r="AD505" s="376"/>
      <c r="AE505" s="376"/>
      <c r="AF505" s="376"/>
      <c r="AG505" s="376"/>
      <c r="AH505" s="376"/>
      <c r="AI505" s="376"/>
      <c r="AJ505" s="376"/>
      <c r="AK505" s="376"/>
      <c r="AL505" s="376"/>
      <c r="AM505" s="376"/>
      <c r="AN505" s="376"/>
      <c r="AO505" s="376"/>
      <c r="AP505" s="376"/>
      <c r="AQ505" s="376"/>
      <c r="AR505" s="376"/>
    </row>
    <row r="506" spans="2:44" outlineLevel="1">
      <c r="B506" s="19" t="s">
        <v>88</v>
      </c>
      <c r="C506" s="5" t="s">
        <v>163</v>
      </c>
      <c r="D506" s="17" t="s">
        <v>279</v>
      </c>
      <c r="E506" s="109" t="str">
        <f>EDID!E103</f>
        <v>69</v>
      </c>
      <c r="F506" s="179"/>
      <c r="G506"/>
      <c r="H506"/>
      <c r="I506"/>
      <c r="J506"/>
      <c r="K506"/>
      <c r="L506"/>
      <c r="M506"/>
      <c r="N506"/>
      <c r="O506"/>
      <c r="P506"/>
      <c r="Q506"/>
      <c r="R506"/>
      <c r="S506"/>
      <c r="T506"/>
      <c r="U506"/>
      <c r="V506"/>
      <c r="W506"/>
      <c r="X506" s="376"/>
      <c r="Y506" s="376"/>
      <c r="Z506" s="376"/>
      <c r="AA506" s="376"/>
      <c r="AB506" s="376"/>
      <c r="AC506" s="376"/>
      <c r="AD506" s="376"/>
      <c r="AE506" s="376"/>
      <c r="AF506" s="376"/>
      <c r="AG506" s="376"/>
      <c r="AH506" s="376"/>
      <c r="AI506" s="376"/>
      <c r="AJ506" s="376"/>
      <c r="AK506" s="376"/>
      <c r="AL506" s="376"/>
      <c r="AM506" s="376"/>
      <c r="AN506" s="376"/>
      <c r="AO506" s="376"/>
      <c r="AP506" s="376"/>
      <c r="AQ506" s="376"/>
      <c r="AR506" s="376"/>
    </row>
    <row r="507" spans="2:44" outlineLevel="1">
      <c r="B507" s="19" t="s">
        <v>88</v>
      </c>
      <c r="C507" s="5" t="s">
        <v>163</v>
      </c>
      <c r="D507" s="17" t="s">
        <v>280</v>
      </c>
      <c r="E507" s="109" t="str">
        <f>EDID!E104</f>
        <v>62</v>
      </c>
      <c r="F507" s="179"/>
      <c r="G507"/>
      <c r="H507"/>
      <c r="I507"/>
      <c r="J507"/>
      <c r="K507"/>
      <c r="L507"/>
      <c r="M507"/>
      <c r="N507"/>
      <c r="O507"/>
      <c r="P507"/>
      <c r="Q507"/>
      <c r="R507"/>
      <c r="S507"/>
      <c r="T507"/>
      <c r="U507"/>
      <c r="V507"/>
      <c r="W507"/>
      <c r="X507" s="376"/>
      <c r="Y507" s="376"/>
      <c r="Z507" s="376"/>
      <c r="AA507" s="376"/>
      <c r="AB507" s="376"/>
      <c r="AC507" s="376"/>
      <c r="AD507" s="376"/>
      <c r="AE507" s="376"/>
      <c r="AF507" s="376"/>
      <c r="AG507" s="376"/>
      <c r="AH507" s="376"/>
      <c r="AI507" s="376"/>
      <c r="AJ507" s="376"/>
      <c r="AK507" s="376"/>
      <c r="AL507" s="376"/>
      <c r="AM507" s="376"/>
      <c r="AN507" s="376"/>
      <c r="AO507" s="376"/>
      <c r="AP507" s="376"/>
      <c r="AQ507" s="376"/>
      <c r="AR507" s="376"/>
    </row>
    <row r="508" spans="2:44" outlineLevel="1">
      <c r="B508" s="19" t="s">
        <v>88</v>
      </c>
      <c r="C508" s="5" t="s">
        <v>163</v>
      </c>
      <c r="D508" s="17" t="s">
        <v>281</v>
      </c>
      <c r="E508" s="109" t="str">
        <f>EDID!E105</f>
        <v>61</v>
      </c>
      <c r="F508" s="179"/>
      <c r="G508"/>
      <c r="H508"/>
      <c r="I508"/>
      <c r="J508"/>
      <c r="K508"/>
      <c r="L508"/>
      <c r="M508"/>
      <c r="N508"/>
      <c r="O508"/>
      <c r="P508"/>
      <c r="Q508"/>
      <c r="R508"/>
      <c r="S508"/>
      <c r="T508"/>
      <c r="U508"/>
      <c r="V508"/>
      <c r="W508"/>
      <c r="X508" s="376"/>
      <c r="Y508" s="376"/>
      <c r="Z508" s="376"/>
      <c r="AA508" s="376"/>
      <c r="AB508" s="376"/>
      <c r="AC508" s="376"/>
      <c r="AD508" s="376"/>
      <c r="AE508" s="376"/>
      <c r="AF508" s="376"/>
      <c r="AG508" s="376"/>
      <c r="AH508" s="376"/>
      <c r="AI508" s="376"/>
      <c r="AJ508" s="376"/>
      <c r="AK508" s="376"/>
      <c r="AL508" s="376"/>
      <c r="AM508" s="376"/>
      <c r="AN508" s="376"/>
      <c r="AO508" s="376"/>
      <c r="AP508" s="376"/>
      <c r="AQ508" s="376"/>
      <c r="AR508" s="376"/>
    </row>
    <row r="509" spans="2:44" outlineLevel="1">
      <c r="B509" s="19" t="s">
        <v>88</v>
      </c>
      <c r="C509" s="5" t="s">
        <v>163</v>
      </c>
      <c r="D509" s="17" t="s">
        <v>282</v>
      </c>
      <c r="E509" s="109" t="str">
        <f>EDID!E106</f>
        <v>2D</v>
      </c>
      <c r="F509" s="179"/>
      <c r="G509"/>
      <c r="H509"/>
      <c r="I509"/>
      <c r="J509"/>
      <c r="K509"/>
      <c r="L509"/>
      <c r="M509"/>
      <c r="N509"/>
      <c r="O509"/>
      <c r="P509"/>
      <c r="Q509"/>
      <c r="R509"/>
      <c r="S509"/>
      <c r="T509"/>
      <c r="U509"/>
      <c r="V509"/>
      <c r="W509"/>
      <c r="X509" s="376"/>
      <c r="Y509" s="376"/>
      <c r="Z509" s="376"/>
      <c r="AA509" s="376"/>
      <c r="AB509" s="376"/>
      <c r="AC509" s="376"/>
      <c r="AD509" s="376"/>
      <c r="AE509" s="376"/>
      <c r="AF509" s="376"/>
      <c r="AG509" s="376"/>
      <c r="AH509" s="376"/>
      <c r="AI509" s="376"/>
      <c r="AJ509" s="376"/>
      <c r="AK509" s="376"/>
      <c r="AL509" s="376"/>
      <c r="AM509" s="376"/>
      <c r="AN509" s="376"/>
      <c r="AO509" s="376"/>
      <c r="AP509" s="376"/>
      <c r="AQ509" s="376"/>
      <c r="AR509" s="376"/>
    </row>
    <row r="510" spans="2:44" outlineLevel="1">
      <c r="B510" s="19" t="s">
        <v>88</v>
      </c>
      <c r="C510" s="5" t="s">
        <v>163</v>
      </c>
      <c r="D510" s="17" t="s">
        <v>283</v>
      </c>
      <c r="E510" s="109" t="str">
        <f>EDID!E107</f>
        <v>55</v>
      </c>
      <c r="F510" s="179"/>
      <c r="G510"/>
      <c r="H510"/>
      <c r="I510"/>
      <c r="J510"/>
      <c r="K510"/>
      <c r="L510"/>
      <c r="M510"/>
      <c r="N510"/>
      <c r="O510"/>
      <c r="P510"/>
      <c r="Q510"/>
      <c r="R510"/>
      <c r="S510"/>
      <c r="T510"/>
      <c r="U510"/>
      <c r="V510"/>
      <c r="W510"/>
      <c r="X510" s="376"/>
      <c r="Y510" s="376"/>
      <c r="Z510" s="376"/>
      <c r="AA510" s="376"/>
      <c r="AB510" s="376"/>
      <c r="AC510" s="376"/>
      <c r="AD510" s="376"/>
      <c r="AE510" s="376"/>
      <c r="AF510" s="376"/>
      <c r="AG510" s="376"/>
      <c r="AH510" s="376"/>
      <c r="AI510" s="376"/>
      <c r="AJ510" s="376"/>
      <c r="AK510" s="376"/>
      <c r="AL510" s="376"/>
      <c r="AM510" s="376"/>
      <c r="AN510" s="376"/>
      <c r="AO510" s="376"/>
      <c r="AP510" s="376"/>
      <c r="AQ510" s="376"/>
      <c r="AR510" s="376"/>
    </row>
    <row r="511" spans="2:44" outlineLevel="1">
      <c r="B511" s="19" t="s">
        <v>88</v>
      </c>
      <c r="C511" s="5" t="s">
        <v>163</v>
      </c>
      <c r="D511" s="17" t="s">
        <v>284</v>
      </c>
      <c r="E511" s="109" t="str">
        <f>EDID!E108</f>
        <v>48</v>
      </c>
      <c r="F511" s="179"/>
      <c r="G511"/>
      <c r="H511"/>
      <c r="I511"/>
      <c r="J511"/>
      <c r="K511"/>
      <c r="L511"/>
      <c r="M511"/>
      <c r="N511"/>
      <c r="O511"/>
      <c r="P511"/>
      <c r="Q511"/>
      <c r="R511"/>
      <c r="S511"/>
      <c r="T511"/>
      <c r="U511"/>
      <c r="V511"/>
      <c r="W511"/>
      <c r="X511" s="376"/>
      <c r="Y511" s="376"/>
      <c r="Z511" s="376"/>
      <c r="AA511" s="376"/>
      <c r="AB511" s="376"/>
      <c r="AC511" s="376"/>
      <c r="AD511" s="376"/>
      <c r="AE511" s="376"/>
      <c r="AF511" s="376"/>
      <c r="AG511" s="376"/>
      <c r="AH511" s="376"/>
      <c r="AI511" s="376"/>
      <c r="AJ511" s="376"/>
      <c r="AK511" s="376"/>
      <c r="AL511" s="376"/>
      <c r="AM511" s="376"/>
      <c r="AN511" s="376"/>
      <c r="AO511" s="376"/>
      <c r="AP511" s="376"/>
      <c r="AQ511" s="376"/>
      <c r="AR511" s="376"/>
    </row>
    <row r="512" spans="2:44" outlineLevel="1">
      <c r="B512" s="19" t="s">
        <v>88</v>
      </c>
      <c r="C512" s="5" t="s">
        <v>163</v>
      </c>
      <c r="D512" s="17" t="s">
        <v>285</v>
      </c>
      <c r="E512" s="109" t="str">
        <f>EDID!E109</f>
        <v>32</v>
      </c>
      <c r="F512" s="179"/>
      <c r="G512"/>
      <c r="H512"/>
      <c r="I512"/>
      <c r="J512"/>
      <c r="K512"/>
      <c r="L512"/>
      <c r="M512"/>
      <c r="N512"/>
      <c r="O512"/>
      <c r="P512"/>
      <c r="Q512"/>
      <c r="R512"/>
      <c r="S512"/>
      <c r="T512"/>
      <c r="U512"/>
      <c r="V512"/>
      <c r="W512"/>
      <c r="X512" s="376"/>
      <c r="Y512" s="376"/>
      <c r="Z512" s="376"/>
      <c r="AA512" s="376"/>
      <c r="AB512" s="376"/>
      <c r="AC512" s="376"/>
      <c r="AD512" s="376"/>
      <c r="AE512" s="376"/>
      <c r="AF512" s="376"/>
      <c r="AG512" s="376"/>
      <c r="AH512" s="376"/>
      <c r="AI512" s="376"/>
      <c r="AJ512" s="376"/>
      <c r="AK512" s="376"/>
      <c r="AL512" s="376"/>
      <c r="AM512" s="376"/>
      <c r="AN512" s="376"/>
      <c r="AO512" s="376"/>
      <c r="AP512" s="376"/>
      <c r="AQ512" s="376"/>
      <c r="AR512" s="376"/>
    </row>
    <row r="513" spans="2:44" outlineLevel="1">
      <c r="B513" s="19" t="s">
        <v>88</v>
      </c>
      <c r="C513" s="5" t="s">
        <v>163</v>
      </c>
      <c r="D513" s="17" t="s">
        <v>286</v>
      </c>
      <c r="E513" s="109" t="str">
        <f>EDID!E110</f>
        <v>44</v>
      </c>
      <c r="F513" s="179"/>
      <c r="G513"/>
      <c r="H513"/>
      <c r="I513"/>
      <c r="J513"/>
      <c r="K513"/>
      <c r="L513"/>
      <c r="M513"/>
      <c r="N513"/>
      <c r="O513"/>
      <c r="P513"/>
      <c r="Q513"/>
      <c r="R513"/>
      <c r="S513"/>
      <c r="T513"/>
      <c r="U513"/>
      <c r="V513"/>
      <c r="W513"/>
      <c r="X513" s="376"/>
      <c r="Y513" s="376"/>
      <c r="Z513" s="376"/>
      <c r="AA513" s="376"/>
      <c r="AB513" s="376"/>
      <c r="AC513" s="376"/>
      <c r="AD513" s="376"/>
      <c r="AE513" s="376"/>
      <c r="AF513" s="376"/>
      <c r="AG513" s="376"/>
      <c r="AH513" s="376"/>
      <c r="AI513" s="376"/>
      <c r="AJ513" s="376"/>
      <c r="AK513" s="376"/>
      <c r="AL513" s="376"/>
      <c r="AM513" s="376"/>
      <c r="AN513" s="376"/>
      <c r="AO513" s="376"/>
      <c r="AP513" s="376"/>
      <c r="AQ513" s="376"/>
      <c r="AR513" s="376"/>
    </row>
    <row r="514" spans="2:44" outlineLevel="1">
      <c r="B514" s="19" t="s">
        <v>88</v>
      </c>
      <c r="C514" s="5" t="s">
        <v>163</v>
      </c>
      <c r="D514" s="17" t="s">
        <v>287</v>
      </c>
      <c r="E514" s="109" t="str">
        <f>EDID!E111</f>
        <v>0A</v>
      </c>
      <c r="F514" s="8"/>
      <c r="G514"/>
      <c r="H514"/>
      <c r="I514"/>
      <c r="J514"/>
      <c r="K514"/>
      <c r="L514"/>
      <c r="M514"/>
      <c r="N514"/>
      <c r="O514"/>
      <c r="P514"/>
      <c r="Q514"/>
      <c r="R514"/>
      <c r="S514"/>
      <c r="T514"/>
      <c r="U514"/>
      <c r="V514"/>
      <c r="W514"/>
      <c r="X514" s="376"/>
      <c r="Y514" s="376"/>
      <c r="Z514" s="376"/>
      <c r="AA514" s="376"/>
      <c r="AB514" s="376"/>
      <c r="AC514" s="376"/>
      <c r="AD514" s="376"/>
      <c r="AE514" s="376"/>
      <c r="AF514" s="376"/>
      <c r="AG514" s="376"/>
      <c r="AH514" s="376"/>
      <c r="AI514" s="376"/>
      <c r="AJ514" s="376"/>
      <c r="AK514" s="376"/>
      <c r="AL514" s="376"/>
      <c r="AM514" s="376"/>
      <c r="AN514" s="376"/>
      <c r="AO514" s="376"/>
      <c r="AP514" s="376"/>
      <c r="AQ514" s="376"/>
      <c r="AR514" s="376"/>
    </row>
    <row r="515" spans="2:44" outlineLevel="1">
      <c r="B515" s="19" t="s">
        <v>88</v>
      </c>
      <c r="C515" s="5" t="s">
        <v>163</v>
      </c>
      <c r="D515" s="17" t="s">
        <v>288</v>
      </c>
      <c r="E515" s="109" t="str">
        <f>EDID!E112</f>
        <v>00</v>
      </c>
      <c r="F515" s="9"/>
      <c r="G515"/>
      <c r="H515"/>
      <c r="I515"/>
      <c r="J515"/>
      <c r="K515"/>
      <c r="L515"/>
      <c r="M515"/>
      <c r="N515"/>
      <c r="O515"/>
      <c r="P515"/>
      <c r="Q515"/>
      <c r="R515"/>
      <c r="S515"/>
      <c r="T515"/>
      <c r="U515"/>
      <c r="V515"/>
      <c r="W515"/>
      <c r="X515" s="376"/>
      <c r="Y515" s="376"/>
      <c r="Z515" s="376"/>
      <c r="AA515" s="376"/>
      <c r="AB515" s="376"/>
      <c r="AC515" s="376"/>
      <c r="AD515" s="376"/>
      <c r="AE515" s="376"/>
      <c r="AF515" s="376"/>
      <c r="AG515" s="376"/>
      <c r="AH515" s="376"/>
      <c r="AI515" s="376"/>
      <c r="AJ515" s="376"/>
      <c r="AK515" s="376"/>
      <c r="AL515" s="376"/>
      <c r="AM515" s="376"/>
      <c r="AN515" s="376"/>
      <c r="AO515" s="376"/>
      <c r="AP515" s="376"/>
      <c r="AQ515" s="376"/>
      <c r="AR515" s="376"/>
    </row>
    <row r="516" spans="2:44" outlineLevel="1">
      <c r="B516" s="19" t="s">
        <v>88</v>
      </c>
      <c r="C516" s="5" t="s">
        <v>163</v>
      </c>
      <c r="D516" s="17" t="s">
        <v>289</v>
      </c>
      <c r="E516" s="109" t="str">
        <f>EDID!E113</f>
        <v>00</v>
      </c>
      <c r="F516" s="9"/>
      <c r="G516"/>
      <c r="H516"/>
      <c r="I516"/>
      <c r="J516"/>
      <c r="K516"/>
      <c r="L516"/>
      <c r="M516"/>
      <c r="N516"/>
      <c r="O516"/>
      <c r="P516"/>
      <c r="Q516"/>
      <c r="R516"/>
      <c r="S516"/>
      <c r="T516"/>
      <c r="U516"/>
      <c r="V516"/>
      <c r="W516"/>
      <c r="X516" s="376"/>
      <c r="Y516" s="376"/>
      <c r="Z516" s="376"/>
      <c r="AA516" s="376"/>
      <c r="AB516" s="376"/>
      <c r="AC516" s="376"/>
      <c r="AD516" s="376"/>
      <c r="AE516" s="376"/>
      <c r="AF516" s="376"/>
      <c r="AG516" s="376"/>
      <c r="AH516" s="376"/>
      <c r="AI516" s="376"/>
      <c r="AJ516" s="376"/>
      <c r="AK516" s="376"/>
      <c r="AL516" s="376"/>
      <c r="AM516" s="376"/>
      <c r="AN516" s="376"/>
      <c r="AO516" s="376"/>
      <c r="AP516" s="376"/>
      <c r="AQ516" s="376"/>
      <c r="AR516" s="376"/>
    </row>
    <row r="517" spans="2:44" outlineLevel="1">
      <c r="B517" s="19" t="s">
        <v>88</v>
      </c>
      <c r="C517" s="5" t="s">
        <v>163</v>
      </c>
      <c r="D517" s="17" t="s">
        <v>290</v>
      </c>
      <c r="E517" s="109" t="str">
        <f>EDID!E114</f>
        <v>00</v>
      </c>
      <c r="F517" s="9"/>
      <c r="G517"/>
      <c r="H517"/>
      <c r="I517"/>
      <c r="J517"/>
      <c r="K517"/>
      <c r="L517"/>
      <c r="M517"/>
      <c r="N517"/>
      <c r="O517"/>
      <c r="P517"/>
      <c r="Q517"/>
      <c r="R517"/>
      <c r="S517"/>
      <c r="T517"/>
      <c r="U517"/>
      <c r="V517"/>
      <c r="W517"/>
      <c r="X517" s="376"/>
      <c r="Y517" s="376"/>
      <c r="Z517" s="376"/>
      <c r="AA517" s="376"/>
      <c r="AB517" s="376"/>
      <c r="AC517" s="376"/>
      <c r="AD517" s="376"/>
      <c r="AE517" s="376"/>
      <c r="AF517" s="376"/>
      <c r="AG517" s="376"/>
      <c r="AH517" s="376"/>
      <c r="AI517" s="376"/>
      <c r="AJ517" s="376"/>
      <c r="AK517" s="376"/>
      <c r="AL517" s="376"/>
      <c r="AM517" s="376"/>
      <c r="AN517" s="376"/>
      <c r="AO517" s="376"/>
      <c r="AP517" s="376"/>
      <c r="AQ517" s="376"/>
      <c r="AR517" s="376"/>
    </row>
    <row r="518" spans="2:44" outlineLevel="1">
      <c r="B518" s="19" t="s">
        <v>88</v>
      </c>
      <c r="C518" s="5" t="s">
        <v>163</v>
      </c>
      <c r="D518" s="17" t="s">
        <v>291</v>
      </c>
      <c r="E518" s="109" t="str">
        <f>EDID!E115</f>
        <v>FD</v>
      </c>
      <c r="F518" s="9"/>
      <c r="G518"/>
      <c r="H518"/>
      <c r="I518"/>
      <c r="J518"/>
      <c r="K518"/>
      <c r="L518"/>
      <c r="M518"/>
      <c r="N518"/>
      <c r="O518"/>
      <c r="P518"/>
      <c r="Q518"/>
      <c r="R518"/>
      <c r="S518"/>
      <c r="T518"/>
      <c r="U518"/>
      <c r="V518"/>
      <c r="W518"/>
      <c r="X518" s="376"/>
      <c r="Y518" s="376"/>
      <c r="Z518" s="376"/>
      <c r="AA518" s="376"/>
      <c r="AB518" s="376"/>
      <c r="AC518" s="376"/>
      <c r="AD518" s="376"/>
      <c r="AE518" s="376"/>
      <c r="AF518" s="376"/>
      <c r="AG518" s="376"/>
      <c r="AH518" s="376"/>
      <c r="AI518" s="376"/>
      <c r="AJ518" s="376"/>
      <c r="AK518" s="376"/>
      <c r="AL518" s="376"/>
      <c r="AM518" s="376"/>
      <c r="AN518" s="376"/>
      <c r="AO518" s="376"/>
      <c r="AP518" s="376"/>
      <c r="AQ518" s="376"/>
      <c r="AR518" s="376"/>
    </row>
    <row r="519" spans="2:44" outlineLevel="1">
      <c r="B519" s="19" t="s">
        <v>88</v>
      </c>
      <c r="C519" s="5" t="s">
        <v>163</v>
      </c>
      <c r="D519" s="17" t="s">
        <v>292</v>
      </c>
      <c r="E519" s="109" t="str">
        <f>EDID!E116</f>
        <v>00</v>
      </c>
      <c r="F519" s="9"/>
      <c r="G519"/>
      <c r="H519"/>
      <c r="I519"/>
      <c r="J519"/>
      <c r="K519"/>
      <c r="L519"/>
      <c r="M519"/>
      <c r="N519"/>
      <c r="O519"/>
      <c r="P519"/>
      <c r="Q519"/>
      <c r="R519"/>
      <c r="S519"/>
      <c r="T519"/>
      <c r="U519"/>
      <c r="V519"/>
      <c r="W519"/>
      <c r="X519" s="376"/>
      <c r="Y519" s="376"/>
      <c r="Z519" s="376"/>
      <c r="AA519" s="376"/>
      <c r="AB519" s="376"/>
      <c r="AC519" s="376"/>
      <c r="AD519" s="376"/>
      <c r="AE519" s="376"/>
      <c r="AF519" s="376"/>
      <c r="AG519" s="376"/>
      <c r="AH519" s="376"/>
      <c r="AI519" s="376"/>
      <c r="AJ519" s="376"/>
      <c r="AK519" s="376"/>
      <c r="AL519" s="376"/>
      <c r="AM519" s="376"/>
      <c r="AN519" s="376"/>
      <c r="AO519" s="376"/>
      <c r="AP519" s="376"/>
      <c r="AQ519" s="376"/>
      <c r="AR519" s="376"/>
    </row>
    <row r="520" spans="2:44" outlineLevel="1">
      <c r="B520" s="19" t="s">
        <v>88</v>
      </c>
      <c r="C520" s="5" t="s">
        <v>163</v>
      </c>
      <c r="D520" s="17" t="s">
        <v>293</v>
      </c>
      <c r="E520" s="109" t="str">
        <f>EDID!E117</f>
        <v>17</v>
      </c>
      <c r="F520" s="9"/>
      <c r="G520"/>
      <c r="H520"/>
      <c r="I520"/>
      <c r="J520"/>
      <c r="K520"/>
      <c r="L520"/>
      <c r="M520"/>
      <c r="N520"/>
      <c r="O520"/>
      <c r="P520"/>
      <c r="Q520"/>
      <c r="R520"/>
      <c r="S520"/>
      <c r="T520"/>
      <c r="U520"/>
      <c r="V520"/>
      <c r="W520"/>
      <c r="X520" s="376"/>
      <c r="Y520" s="376"/>
      <c r="Z520" s="376"/>
      <c r="AA520" s="376"/>
      <c r="AB520" s="376"/>
      <c r="AC520" s="376"/>
      <c r="AD520" s="376"/>
      <c r="AE520" s="376"/>
      <c r="AF520" s="376"/>
      <c r="AG520" s="376"/>
      <c r="AH520" s="376"/>
      <c r="AI520" s="376"/>
      <c r="AJ520" s="376"/>
      <c r="AK520" s="376"/>
      <c r="AL520" s="376"/>
      <c r="AM520" s="376"/>
      <c r="AN520" s="376"/>
      <c r="AO520" s="376"/>
      <c r="AP520" s="376"/>
      <c r="AQ520" s="376"/>
      <c r="AR520" s="376"/>
    </row>
    <row r="521" spans="2:44" outlineLevel="1">
      <c r="B521" s="19" t="s">
        <v>88</v>
      </c>
      <c r="C521" s="5" t="s">
        <v>163</v>
      </c>
      <c r="D521" s="17" t="s">
        <v>294</v>
      </c>
      <c r="E521" s="109" t="str">
        <f>EDID!E118</f>
        <v>3D</v>
      </c>
      <c r="F521" s="9"/>
      <c r="G521"/>
      <c r="H521"/>
      <c r="I521"/>
      <c r="J521"/>
      <c r="K521"/>
      <c r="L521"/>
      <c r="M521"/>
      <c r="N521"/>
      <c r="O521"/>
      <c r="P521"/>
      <c r="Q521"/>
      <c r="R521"/>
      <c r="S521"/>
      <c r="T521"/>
      <c r="U521"/>
      <c r="V521"/>
      <c r="W521"/>
      <c r="X521" s="376"/>
      <c r="Y521" s="376"/>
      <c r="Z521" s="376"/>
      <c r="AA521" s="376"/>
      <c r="AB521" s="376"/>
      <c r="AC521" s="376"/>
      <c r="AD521" s="376"/>
      <c r="AE521" s="376"/>
      <c r="AF521" s="376"/>
      <c r="AG521" s="376"/>
      <c r="AH521" s="376"/>
      <c r="AI521" s="376"/>
      <c r="AJ521" s="376"/>
      <c r="AK521" s="376"/>
      <c r="AL521" s="376"/>
      <c r="AM521" s="376"/>
      <c r="AN521" s="376"/>
      <c r="AO521" s="376"/>
      <c r="AP521" s="376"/>
      <c r="AQ521" s="376"/>
      <c r="AR521" s="376"/>
    </row>
    <row r="522" spans="2:44" outlineLevel="1">
      <c r="B522" s="19" t="s">
        <v>88</v>
      </c>
      <c r="C522" s="5" t="s">
        <v>163</v>
      </c>
      <c r="D522" s="17" t="s">
        <v>295</v>
      </c>
      <c r="E522" s="109" t="str">
        <f>EDID!E119</f>
        <v>0F</v>
      </c>
      <c r="F522" s="9"/>
      <c r="G522"/>
      <c r="H522"/>
      <c r="I522"/>
      <c r="J522"/>
      <c r="K522"/>
      <c r="L522"/>
      <c r="M522"/>
      <c r="N522"/>
      <c r="O522"/>
      <c r="P522"/>
      <c r="Q522"/>
      <c r="R522"/>
      <c r="S522"/>
      <c r="T522"/>
      <c r="U522"/>
      <c r="V522"/>
      <c r="W522"/>
      <c r="X522" s="376"/>
      <c r="Y522" s="376"/>
      <c r="Z522" s="376"/>
      <c r="AA522" s="376"/>
      <c r="AB522" s="376"/>
      <c r="AC522" s="376"/>
      <c r="AD522" s="376"/>
      <c r="AE522" s="376"/>
      <c r="AF522" s="376"/>
      <c r="AG522" s="376"/>
      <c r="AH522" s="376"/>
      <c r="AI522" s="376"/>
      <c r="AJ522" s="376"/>
      <c r="AK522" s="376"/>
      <c r="AL522" s="376"/>
      <c r="AM522" s="376"/>
      <c r="AN522" s="376"/>
      <c r="AO522" s="376"/>
      <c r="AP522" s="376"/>
      <c r="AQ522" s="376"/>
      <c r="AR522" s="376"/>
    </row>
    <row r="523" spans="2:44" outlineLevel="1">
      <c r="B523" s="19" t="s">
        <v>88</v>
      </c>
      <c r="C523" s="5" t="s">
        <v>163</v>
      </c>
      <c r="D523" s="17" t="s">
        <v>296</v>
      </c>
      <c r="E523" s="109" t="str">
        <f>EDID!E120</f>
        <v>8C</v>
      </c>
      <c r="F523" s="9"/>
      <c r="G523"/>
      <c r="H523"/>
      <c r="I523"/>
      <c r="J523"/>
      <c r="K523"/>
      <c r="L523"/>
      <c r="M523"/>
      <c r="N523"/>
      <c r="O523"/>
      <c r="P523"/>
      <c r="Q523"/>
      <c r="R523"/>
      <c r="S523"/>
      <c r="T523"/>
      <c r="U523"/>
      <c r="V523"/>
      <c r="W523"/>
      <c r="X523" s="376"/>
      <c r="Y523" s="376"/>
      <c r="Z523" s="376"/>
      <c r="AA523" s="376"/>
      <c r="AB523" s="376"/>
      <c r="AC523" s="376"/>
      <c r="AD523" s="376"/>
      <c r="AE523" s="376"/>
      <c r="AF523" s="376"/>
      <c r="AG523" s="376"/>
      <c r="AH523" s="376"/>
      <c r="AI523" s="376"/>
      <c r="AJ523" s="376"/>
      <c r="AK523" s="376"/>
      <c r="AL523" s="376"/>
      <c r="AM523" s="376"/>
      <c r="AN523" s="376"/>
      <c r="AO523" s="376"/>
      <c r="AP523" s="376"/>
      <c r="AQ523" s="376"/>
      <c r="AR523" s="376"/>
    </row>
    <row r="524" spans="2:44" outlineLevel="1">
      <c r="B524" s="19" t="s">
        <v>88</v>
      </c>
      <c r="C524" s="5" t="s">
        <v>163</v>
      </c>
      <c r="D524" s="17" t="s">
        <v>297</v>
      </c>
      <c r="E524" s="109" t="str">
        <f>EDID!E121</f>
        <v>17</v>
      </c>
      <c r="F524" s="9"/>
      <c r="G524"/>
      <c r="H524"/>
      <c r="I524"/>
      <c r="J524"/>
      <c r="K524"/>
      <c r="L524"/>
      <c r="M524"/>
      <c r="N524"/>
      <c r="O524"/>
      <c r="P524"/>
      <c r="Q524"/>
      <c r="R524"/>
      <c r="S524"/>
      <c r="T524"/>
      <c r="U524"/>
      <c r="V524"/>
      <c r="W524"/>
      <c r="X524" s="376"/>
      <c r="Y524" s="376"/>
      <c r="Z524" s="376"/>
      <c r="AA524" s="376"/>
      <c r="AB524" s="376"/>
      <c r="AC524" s="376"/>
      <c r="AD524" s="376"/>
      <c r="AE524" s="376"/>
      <c r="AF524" s="376"/>
      <c r="AG524" s="376"/>
      <c r="AH524" s="376"/>
      <c r="AI524" s="376"/>
      <c r="AJ524" s="376"/>
      <c r="AK524" s="376"/>
      <c r="AL524" s="376"/>
      <c r="AM524" s="376"/>
      <c r="AN524" s="376"/>
      <c r="AO524" s="376"/>
      <c r="AP524" s="376"/>
      <c r="AQ524" s="376"/>
      <c r="AR524" s="376"/>
    </row>
    <row r="525" spans="2:44" outlineLevel="1">
      <c r="B525" s="19" t="s">
        <v>88</v>
      </c>
      <c r="C525" s="5" t="s">
        <v>163</v>
      </c>
      <c r="D525" s="17" t="s">
        <v>298</v>
      </c>
      <c r="E525" s="109" t="str">
        <f>EDID!E122</f>
        <v>00</v>
      </c>
      <c r="F525" s="9"/>
      <c r="G525"/>
      <c r="H525"/>
      <c r="I525"/>
      <c r="J525"/>
      <c r="K525"/>
      <c r="L525"/>
      <c r="M525"/>
      <c r="N525"/>
      <c r="O525"/>
      <c r="P525"/>
      <c r="Q525"/>
      <c r="R525"/>
      <c r="S525"/>
      <c r="T525"/>
      <c r="U525"/>
      <c r="V525"/>
      <c r="W525"/>
      <c r="X525" s="376"/>
      <c r="Y525" s="376"/>
      <c r="Z525" s="376"/>
      <c r="AA525" s="376"/>
      <c r="AB525" s="376"/>
      <c r="AC525" s="376"/>
      <c r="AD525" s="376"/>
      <c r="AE525" s="376"/>
      <c r="AF525" s="376"/>
      <c r="AG525" s="376"/>
      <c r="AH525" s="376"/>
      <c r="AI525" s="376"/>
      <c r="AJ525" s="376"/>
      <c r="AK525" s="376"/>
      <c r="AL525" s="376"/>
      <c r="AM525" s="376"/>
      <c r="AN525" s="376"/>
      <c r="AO525" s="376"/>
      <c r="AP525" s="376"/>
      <c r="AQ525" s="376"/>
      <c r="AR525" s="376"/>
    </row>
    <row r="526" spans="2:44" outlineLevel="1">
      <c r="B526" s="19" t="s">
        <v>88</v>
      </c>
      <c r="C526" s="5" t="s">
        <v>163</v>
      </c>
      <c r="D526" s="17" t="s">
        <v>299</v>
      </c>
      <c r="E526" s="109" t="str">
        <f>EDID!E123</f>
        <v>0A</v>
      </c>
      <c r="F526" s="9"/>
      <c r="G526"/>
      <c r="H526"/>
      <c r="I526"/>
      <c r="J526"/>
      <c r="K526"/>
      <c r="L526"/>
      <c r="M526"/>
      <c r="N526"/>
      <c r="O526"/>
      <c r="P526"/>
      <c r="Q526"/>
      <c r="R526"/>
      <c r="S526"/>
      <c r="T526"/>
      <c r="U526"/>
      <c r="V526"/>
      <c r="W526"/>
      <c r="X526" s="376"/>
      <c r="Y526" s="376"/>
      <c r="Z526" s="376"/>
      <c r="AA526" s="376"/>
      <c r="AB526" s="376"/>
      <c r="AC526" s="376"/>
      <c r="AD526" s="376"/>
      <c r="AE526" s="376"/>
      <c r="AF526" s="376"/>
      <c r="AG526" s="376"/>
      <c r="AH526" s="376"/>
      <c r="AI526" s="376"/>
      <c r="AJ526" s="376"/>
      <c r="AK526" s="376"/>
      <c r="AL526" s="376"/>
      <c r="AM526" s="376"/>
      <c r="AN526" s="376"/>
      <c r="AO526" s="376"/>
      <c r="AP526" s="376"/>
      <c r="AQ526" s="376"/>
      <c r="AR526" s="376"/>
    </row>
    <row r="527" spans="2:44" outlineLevel="1">
      <c r="B527" s="19" t="s">
        <v>88</v>
      </c>
      <c r="C527" s="5" t="s">
        <v>163</v>
      </c>
      <c r="D527" s="17" t="s">
        <v>300</v>
      </c>
      <c r="E527" s="109" t="str">
        <f>EDID!E124</f>
        <v>20</v>
      </c>
      <c r="F527" s="9"/>
      <c r="G527"/>
      <c r="H527"/>
      <c r="I527"/>
      <c r="J527"/>
      <c r="K527"/>
      <c r="L527"/>
      <c r="M527"/>
      <c r="N527"/>
      <c r="O527"/>
      <c r="P527"/>
      <c r="Q527"/>
      <c r="R527"/>
      <c r="S527"/>
      <c r="T527"/>
      <c r="U527"/>
      <c r="V527"/>
      <c r="W527"/>
      <c r="X527" s="376"/>
      <c r="Y527" s="376"/>
      <c r="Z527" s="376"/>
      <c r="AA527" s="376"/>
      <c r="AB527" s="376"/>
      <c r="AC527" s="376"/>
      <c r="AD527" s="376"/>
      <c r="AE527" s="376"/>
      <c r="AF527" s="376"/>
      <c r="AG527" s="376"/>
      <c r="AH527" s="376"/>
      <c r="AI527" s="376"/>
      <c r="AJ527" s="376"/>
      <c r="AK527" s="376"/>
      <c r="AL527" s="376"/>
      <c r="AM527" s="376"/>
      <c r="AN527" s="376"/>
      <c r="AO527" s="376"/>
      <c r="AP527" s="376"/>
      <c r="AQ527" s="376"/>
      <c r="AR527" s="376"/>
    </row>
    <row r="528" spans="2:44" outlineLevel="1">
      <c r="B528" s="19" t="s">
        <v>88</v>
      </c>
      <c r="C528" s="5" t="s">
        <v>163</v>
      </c>
      <c r="D528" s="17" t="s">
        <v>301</v>
      </c>
      <c r="E528" s="109" t="str">
        <f>EDID!E125</f>
        <v>20</v>
      </c>
      <c r="F528" s="9"/>
      <c r="G528"/>
      <c r="H528"/>
      <c r="I528"/>
      <c r="J528"/>
      <c r="K528"/>
      <c r="L528"/>
      <c r="M528"/>
      <c r="N528"/>
      <c r="O528"/>
      <c r="P528"/>
      <c r="Q528"/>
      <c r="R528"/>
      <c r="S528"/>
      <c r="T528"/>
      <c r="U528"/>
      <c r="V528"/>
      <c r="W528"/>
      <c r="X528" s="376"/>
      <c r="Y528" s="376"/>
      <c r="Z528" s="376"/>
      <c r="AA528" s="376"/>
      <c r="AB528" s="376"/>
      <c r="AC528" s="376"/>
      <c r="AD528" s="376"/>
      <c r="AE528" s="376"/>
      <c r="AF528" s="376"/>
      <c r="AG528" s="376"/>
      <c r="AH528" s="376"/>
      <c r="AI528" s="376"/>
      <c r="AJ528" s="376"/>
      <c r="AK528" s="376"/>
      <c r="AL528" s="376"/>
      <c r="AM528" s="376"/>
      <c r="AN528" s="376"/>
      <c r="AO528" s="376"/>
      <c r="AP528" s="376"/>
      <c r="AQ528" s="376"/>
      <c r="AR528" s="376"/>
    </row>
    <row r="529" spans="2:44" outlineLevel="1">
      <c r="B529" s="19" t="s">
        <v>88</v>
      </c>
      <c r="C529" s="5" t="s">
        <v>163</v>
      </c>
      <c r="D529" s="17" t="s">
        <v>302</v>
      </c>
      <c r="E529" s="109" t="str">
        <f>EDID!E126</f>
        <v>20</v>
      </c>
      <c r="F529" s="9"/>
      <c r="G529"/>
      <c r="H529"/>
      <c r="I529"/>
      <c r="J529"/>
      <c r="K529"/>
      <c r="L529"/>
      <c r="M529"/>
      <c r="N529"/>
      <c r="O529"/>
      <c r="P529"/>
      <c r="Q529"/>
      <c r="R529"/>
      <c r="S529"/>
      <c r="T529"/>
      <c r="U529"/>
      <c r="V529"/>
      <c r="W529"/>
      <c r="X529" s="376"/>
      <c r="Y529" s="376"/>
      <c r="Z529" s="376"/>
      <c r="AA529" s="376"/>
      <c r="AB529" s="376"/>
      <c r="AC529" s="376"/>
      <c r="AD529" s="376"/>
      <c r="AE529" s="376"/>
      <c r="AF529" s="376"/>
      <c r="AG529" s="376"/>
      <c r="AH529" s="376"/>
      <c r="AI529" s="376"/>
      <c r="AJ529" s="376"/>
      <c r="AK529" s="376"/>
      <c r="AL529" s="376"/>
      <c r="AM529" s="376"/>
      <c r="AN529" s="376"/>
      <c r="AO529" s="376"/>
      <c r="AP529" s="376"/>
      <c r="AQ529" s="376"/>
      <c r="AR529" s="376"/>
    </row>
    <row r="530" spans="2:44" outlineLevel="1">
      <c r="B530" s="19" t="s">
        <v>88</v>
      </c>
      <c r="C530" s="5" t="s">
        <v>163</v>
      </c>
      <c r="D530" s="17" t="s">
        <v>303</v>
      </c>
      <c r="E530" s="109" t="str">
        <f>EDID!E127</f>
        <v>20</v>
      </c>
      <c r="F530" s="9"/>
      <c r="G530"/>
      <c r="H530"/>
      <c r="I530"/>
      <c r="J530"/>
      <c r="K530"/>
      <c r="L530"/>
      <c r="M530"/>
      <c r="N530"/>
      <c r="O530"/>
      <c r="P530"/>
      <c r="Q530"/>
      <c r="R530"/>
      <c r="S530"/>
      <c r="T530"/>
      <c r="U530"/>
      <c r="V530"/>
      <c r="W530"/>
      <c r="X530" s="376"/>
      <c r="Y530" s="376"/>
      <c r="Z530" s="376"/>
      <c r="AA530" s="376"/>
      <c r="AB530" s="376"/>
      <c r="AC530" s="376"/>
      <c r="AD530" s="376"/>
      <c r="AE530" s="376"/>
      <c r="AF530" s="376"/>
      <c r="AG530" s="376"/>
      <c r="AH530" s="376"/>
      <c r="AI530" s="376"/>
      <c r="AJ530" s="376"/>
      <c r="AK530" s="376"/>
      <c r="AL530" s="376"/>
      <c r="AM530" s="376"/>
      <c r="AN530" s="376"/>
      <c r="AO530" s="376"/>
      <c r="AP530" s="376"/>
      <c r="AQ530" s="376"/>
      <c r="AR530" s="376"/>
    </row>
    <row r="531" spans="2:44" outlineLevel="1">
      <c r="B531" s="19" t="s">
        <v>88</v>
      </c>
      <c r="C531" s="5" t="s">
        <v>163</v>
      </c>
      <c r="D531" s="17" t="s">
        <v>304</v>
      </c>
      <c r="E531" s="109" t="str">
        <f>EDID!E128</f>
        <v>20</v>
      </c>
      <c r="F531" s="9"/>
      <c r="G531"/>
      <c r="H531"/>
      <c r="I531"/>
      <c r="J531"/>
      <c r="K531"/>
      <c r="L531"/>
      <c r="M531"/>
      <c r="N531"/>
      <c r="O531"/>
      <c r="P531"/>
      <c r="Q531"/>
      <c r="R531"/>
      <c r="S531"/>
      <c r="T531"/>
      <c r="U531"/>
      <c r="V531"/>
      <c r="W531"/>
      <c r="X531" s="376"/>
      <c r="Y531" s="376"/>
      <c r="Z531" s="376"/>
      <c r="AA531" s="376"/>
      <c r="AB531" s="376"/>
      <c r="AC531" s="376"/>
      <c r="AD531" s="376"/>
      <c r="AE531" s="376"/>
      <c r="AF531" s="376"/>
      <c r="AG531" s="376"/>
      <c r="AH531" s="376"/>
      <c r="AI531" s="376"/>
      <c r="AJ531" s="376"/>
      <c r="AK531" s="376"/>
      <c r="AL531" s="376"/>
      <c r="AM531" s="376"/>
      <c r="AN531" s="376"/>
      <c r="AO531" s="376"/>
      <c r="AP531" s="376"/>
      <c r="AQ531" s="376"/>
      <c r="AR531" s="376"/>
    </row>
    <row r="532" spans="2:44" outlineLevel="1">
      <c r="B532" s="19" t="s">
        <v>88</v>
      </c>
      <c r="C532" s="5" t="s">
        <v>163</v>
      </c>
      <c r="D532" s="17" t="s">
        <v>305</v>
      </c>
      <c r="E532" s="109" t="str">
        <f>EDID!E129</f>
        <v>20</v>
      </c>
      <c r="F532" s="9"/>
      <c r="G532"/>
      <c r="H532"/>
      <c r="I532"/>
      <c r="J532"/>
      <c r="K532"/>
      <c r="L532"/>
      <c r="M532"/>
      <c r="N532"/>
      <c r="O532"/>
      <c r="P532"/>
      <c r="Q532"/>
      <c r="R532"/>
      <c r="S532"/>
      <c r="T532"/>
      <c r="U532"/>
      <c r="V532"/>
      <c r="W532"/>
      <c r="X532" s="376"/>
      <c r="Y532" s="376"/>
      <c r="Z532" s="376"/>
      <c r="AA532" s="376"/>
      <c r="AB532" s="376"/>
      <c r="AC532" s="376"/>
      <c r="AD532" s="376"/>
      <c r="AE532" s="376"/>
      <c r="AF532" s="376"/>
      <c r="AG532" s="376"/>
      <c r="AH532" s="376"/>
      <c r="AI532" s="376"/>
      <c r="AJ532" s="376"/>
      <c r="AK532" s="376"/>
      <c r="AL532" s="376"/>
      <c r="AM532" s="376"/>
      <c r="AN532" s="376"/>
      <c r="AO532" s="376"/>
      <c r="AP532" s="376"/>
      <c r="AQ532" s="376"/>
      <c r="AR532" s="376"/>
    </row>
    <row r="533" spans="2:44" outlineLevel="1">
      <c r="B533" s="19" t="s">
        <v>88</v>
      </c>
      <c r="C533" s="5" t="s">
        <v>163</v>
      </c>
      <c r="D533" s="17" t="s">
        <v>306</v>
      </c>
      <c r="E533" s="109" t="str">
        <f>EDID!E130</f>
        <v>01</v>
      </c>
      <c r="F533" s="179"/>
      <c r="G533"/>
      <c r="H533"/>
      <c r="I533"/>
      <c r="J533"/>
      <c r="K533"/>
      <c r="L533"/>
      <c r="M533"/>
      <c r="N533"/>
      <c r="O533"/>
      <c r="P533"/>
      <c r="Q533"/>
      <c r="R533"/>
      <c r="S533"/>
      <c r="T533"/>
      <c r="U533"/>
      <c r="V533"/>
      <c r="W533"/>
      <c r="X533" s="376"/>
      <c r="Y533" s="376"/>
      <c r="Z533" s="376"/>
      <c r="AA533" s="376"/>
      <c r="AB533" s="376"/>
      <c r="AC533" s="376"/>
      <c r="AD533" s="376"/>
      <c r="AE533" s="376"/>
      <c r="AF533" s="376"/>
      <c r="AG533" s="376"/>
      <c r="AH533" s="376"/>
      <c r="AI533" s="376"/>
      <c r="AJ533" s="376"/>
      <c r="AK533" s="376"/>
      <c r="AL533" s="376"/>
      <c r="AM533" s="376"/>
      <c r="AN533" s="376"/>
      <c r="AO533" s="376"/>
      <c r="AP533" s="376"/>
      <c r="AQ533" s="376"/>
      <c r="AR533" s="376"/>
    </row>
    <row r="534" spans="2:44" outlineLevel="1">
      <c r="B534" s="19" t="s">
        <v>88</v>
      </c>
      <c r="C534" s="5" t="s">
        <v>163</v>
      </c>
      <c r="D534" s="17" t="s">
        <v>307</v>
      </c>
      <c r="E534" s="109" t="str">
        <f>EDID!E131</f>
        <v>40</v>
      </c>
      <c r="F534" s="179"/>
      <c r="G534"/>
      <c r="H534"/>
      <c r="I534"/>
      <c r="J534"/>
      <c r="K534"/>
      <c r="L534"/>
      <c r="M534"/>
      <c r="N534"/>
      <c r="O534"/>
      <c r="P534"/>
      <c r="Q534"/>
      <c r="R534"/>
      <c r="S534"/>
      <c r="T534"/>
      <c r="U534"/>
      <c r="V534"/>
      <c r="W534"/>
      <c r="X534" s="376"/>
      <c r="Y534" s="376"/>
      <c r="Z534" s="376"/>
      <c r="AA534" s="376"/>
      <c r="AB534" s="376"/>
      <c r="AC534" s="376"/>
      <c r="AD534" s="376"/>
      <c r="AE534" s="376"/>
      <c r="AF534" s="376"/>
      <c r="AG534" s="376"/>
      <c r="AH534" s="376"/>
      <c r="AI534" s="376"/>
      <c r="AJ534" s="376"/>
      <c r="AK534" s="376"/>
      <c r="AL534" s="376"/>
      <c r="AM534" s="376"/>
      <c r="AN534" s="376"/>
      <c r="AO534" s="376"/>
      <c r="AP534" s="376"/>
      <c r="AQ534" s="376"/>
      <c r="AR534" s="376"/>
    </row>
    <row r="535" spans="2:44" outlineLevel="1">
      <c r="B535" s="19" t="s">
        <v>88</v>
      </c>
      <c r="C535" s="5" t="s">
        <v>163</v>
      </c>
      <c r="D535" s="17" t="s">
        <v>308</v>
      </c>
      <c r="E535" s="109" t="str">
        <f>EDID!E132</f>
        <v>02</v>
      </c>
      <c r="F535" s="179"/>
      <c r="G535"/>
      <c r="H535"/>
      <c r="I535"/>
      <c r="J535"/>
      <c r="K535"/>
      <c r="L535"/>
      <c r="M535"/>
      <c r="N535"/>
      <c r="O535"/>
      <c r="P535"/>
      <c r="Q535"/>
      <c r="R535"/>
      <c r="S535"/>
      <c r="T535"/>
      <c r="U535"/>
      <c r="V535"/>
      <c r="W535"/>
      <c r="X535" s="376"/>
      <c r="Y535" s="376"/>
      <c r="Z535" s="376"/>
      <c r="AA535" s="376"/>
      <c r="AB535" s="376"/>
      <c r="AC535" s="376"/>
      <c r="AD535" s="376"/>
      <c r="AE535" s="376"/>
      <c r="AF535" s="376"/>
      <c r="AG535" s="376"/>
      <c r="AH535" s="376"/>
      <c r="AI535" s="376"/>
      <c r="AJ535" s="376"/>
      <c r="AK535" s="376"/>
      <c r="AL535" s="376"/>
      <c r="AM535" s="376"/>
      <c r="AN535" s="376"/>
      <c r="AO535" s="376"/>
      <c r="AP535" s="376"/>
      <c r="AQ535" s="376"/>
      <c r="AR535" s="376"/>
    </row>
    <row r="536" spans="2:44" outlineLevel="1">
      <c r="B536" s="19" t="s">
        <v>88</v>
      </c>
      <c r="C536" s="5" t="s">
        <v>163</v>
      </c>
      <c r="D536" s="17" t="s">
        <v>309</v>
      </c>
      <c r="E536" s="109" t="str">
        <f>EDID!E133</f>
        <v>03</v>
      </c>
      <c r="F536" s="179"/>
      <c r="G536"/>
      <c r="H536"/>
      <c r="I536"/>
      <c r="J536"/>
      <c r="K536"/>
      <c r="L536"/>
      <c r="M536"/>
      <c r="N536"/>
      <c r="O536"/>
      <c r="P536"/>
      <c r="Q536"/>
      <c r="R536"/>
      <c r="S536"/>
      <c r="T536"/>
      <c r="U536"/>
      <c r="V536"/>
      <c r="W536"/>
      <c r="X536" s="376"/>
      <c r="Y536" s="376"/>
      <c r="Z536" s="376"/>
      <c r="AA536" s="376"/>
      <c r="AB536" s="376"/>
      <c r="AC536" s="376"/>
      <c r="AD536" s="376"/>
      <c r="AE536" s="376"/>
      <c r="AF536" s="376"/>
      <c r="AG536" s="376"/>
      <c r="AH536" s="376"/>
      <c r="AI536" s="376"/>
      <c r="AJ536" s="376"/>
      <c r="AK536" s="376"/>
      <c r="AL536" s="376"/>
      <c r="AM536" s="376"/>
      <c r="AN536" s="376"/>
      <c r="AO536" s="376"/>
      <c r="AP536" s="376"/>
      <c r="AQ536" s="376"/>
      <c r="AR536" s="376"/>
    </row>
    <row r="537" spans="2:44" outlineLevel="1">
      <c r="B537" s="19" t="s">
        <v>88</v>
      </c>
      <c r="C537" s="5" t="s">
        <v>163</v>
      </c>
      <c r="D537" s="17" t="s">
        <v>310</v>
      </c>
      <c r="E537" s="109" t="str">
        <f>EDID!E134</f>
        <v>17</v>
      </c>
      <c r="F537" s="179"/>
      <c r="G537"/>
      <c r="H537"/>
      <c r="I537"/>
      <c r="J537"/>
      <c r="K537"/>
      <c r="L537"/>
      <c r="M537"/>
      <c r="N537"/>
      <c r="O537"/>
      <c r="P537"/>
      <c r="Q537"/>
      <c r="R537"/>
      <c r="S537"/>
      <c r="T537"/>
      <c r="U537"/>
      <c r="V537"/>
      <c r="W537"/>
      <c r="X537" s="376"/>
      <c r="Y537" s="376"/>
      <c r="Z537" s="376"/>
      <c r="AA537" s="376"/>
      <c r="AB537" s="376"/>
      <c r="AC537" s="376"/>
      <c r="AD537" s="376"/>
      <c r="AE537" s="376"/>
      <c r="AF537" s="376"/>
      <c r="AG537" s="376"/>
      <c r="AH537" s="376"/>
      <c r="AI537" s="376"/>
      <c r="AJ537" s="376"/>
      <c r="AK537" s="376"/>
      <c r="AL537" s="376"/>
      <c r="AM537" s="376"/>
      <c r="AN537" s="376"/>
      <c r="AO537" s="376"/>
      <c r="AP537" s="376"/>
      <c r="AQ537" s="376"/>
      <c r="AR537" s="376"/>
    </row>
    <row r="538" spans="2:44" outlineLevel="1">
      <c r="B538" s="19" t="s">
        <v>88</v>
      </c>
      <c r="C538" s="5" t="s">
        <v>163</v>
      </c>
      <c r="D538" s="17" t="s">
        <v>311</v>
      </c>
      <c r="E538" s="109" t="str">
        <f>EDID!E135</f>
        <v>74</v>
      </c>
      <c r="F538" s="179"/>
      <c r="G538"/>
      <c r="H538"/>
      <c r="I538"/>
      <c r="J538"/>
      <c r="K538"/>
      <c r="L538"/>
      <c r="M538"/>
      <c r="N538"/>
      <c r="O538"/>
      <c r="P538"/>
      <c r="Q538"/>
      <c r="R538"/>
      <c r="S538"/>
      <c r="T538"/>
      <c r="U538"/>
      <c r="V538"/>
      <c r="W538"/>
      <c r="X538" s="376"/>
      <c r="Y538" s="376"/>
      <c r="Z538" s="376"/>
      <c r="AA538" s="376"/>
      <c r="AB538" s="376"/>
      <c r="AC538" s="376"/>
      <c r="AD538" s="376"/>
      <c r="AE538" s="376"/>
      <c r="AF538" s="376"/>
      <c r="AG538" s="376"/>
      <c r="AH538" s="376"/>
      <c r="AI538" s="376"/>
      <c r="AJ538" s="376"/>
      <c r="AK538" s="376"/>
      <c r="AL538" s="376"/>
      <c r="AM538" s="376"/>
      <c r="AN538" s="376"/>
      <c r="AO538" s="376"/>
      <c r="AP538" s="376"/>
      <c r="AQ538" s="376"/>
      <c r="AR538" s="376"/>
    </row>
    <row r="539" spans="2:44" ht="15" customHeight="1" outlineLevel="1">
      <c r="B539" s="19" t="s">
        <v>88</v>
      </c>
      <c r="C539" s="5" t="s">
        <v>163</v>
      </c>
      <c r="D539" s="17" t="s">
        <v>312</v>
      </c>
      <c r="E539" s="109" t="str">
        <f>EDID!E136</f>
        <v>47</v>
      </c>
      <c r="F539" s="179"/>
      <c r="G539"/>
      <c r="H539"/>
      <c r="I539"/>
      <c r="J539"/>
      <c r="K539"/>
      <c r="L539"/>
      <c r="M539"/>
      <c r="N539"/>
      <c r="O539"/>
      <c r="P539"/>
      <c r="Q539"/>
      <c r="R539"/>
      <c r="S539"/>
      <c r="T539"/>
      <c r="U539"/>
      <c r="V539"/>
      <c r="W539"/>
      <c r="X539" s="376"/>
      <c r="Y539" s="376"/>
      <c r="Z539" s="376"/>
      <c r="AA539" s="376"/>
      <c r="AB539" s="376"/>
      <c r="AC539" s="376"/>
      <c r="AD539" s="376"/>
      <c r="AE539" s="376"/>
      <c r="AF539" s="376"/>
      <c r="AG539" s="376"/>
      <c r="AH539" s="376"/>
      <c r="AI539" s="376"/>
      <c r="AJ539" s="376"/>
      <c r="AK539" s="376"/>
      <c r="AL539" s="376"/>
      <c r="AM539" s="376"/>
      <c r="AN539" s="376"/>
      <c r="AO539" s="376"/>
      <c r="AP539" s="376"/>
      <c r="AQ539" s="376"/>
      <c r="AR539" s="376"/>
    </row>
    <row r="540" spans="2:44" outlineLevel="1">
      <c r="B540" s="19" t="s">
        <v>88</v>
      </c>
      <c r="C540" s="5" t="s">
        <v>163</v>
      </c>
      <c r="D540" s="17" t="s">
        <v>313</v>
      </c>
      <c r="E540" s="109" t="str">
        <f>EDID!E137</f>
        <v>4C</v>
      </c>
      <c r="F540" s="179"/>
      <c r="G540"/>
      <c r="H540"/>
      <c r="I540"/>
      <c r="J540"/>
      <c r="K540"/>
      <c r="L540"/>
      <c r="M540"/>
      <c r="N540"/>
      <c r="O540"/>
      <c r="P540"/>
      <c r="Q540"/>
      <c r="R540"/>
      <c r="S540"/>
      <c r="T540"/>
      <c r="U540"/>
      <c r="V540"/>
      <c r="W540"/>
      <c r="X540" s="376"/>
      <c r="Y540" s="376"/>
      <c r="Z540" s="376"/>
      <c r="AA540" s="376"/>
      <c r="AB540" s="376"/>
      <c r="AC540" s="376"/>
      <c r="AD540" s="376"/>
      <c r="AE540" s="376"/>
      <c r="AF540" s="376"/>
      <c r="AG540" s="376"/>
      <c r="AH540" s="376"/>
      <c r="AI540" s="376"/>
      <c r="AJ540" s="376"/>
      <c r="AK540" s="376"/>
      <c r="AL540" s="376"/>
      <c r="AM540" s="376"/>
      <c r="AN540" s="376"/>
      <c r="AO540" s="376"/>
      <c r="AP540" s="376"/>
      <c r="AQ540" s="376"/>
      <c r="AR540" s="376"/>
    </row>
    <row r="541" spans="2:44" outlineLevel="1">
      <c r="B541" s="19" t="s">
        <v>88</v>
      </c>
      <c r="C541" s="5" t="s">
        <v>163</v>
      </c>
      <c r="D541" s="17" t="s">
        <v>314</v>
      </c>
      <c r="E541" s="109" t="str">
        <f>EDID!E138</f>
        <v>4C</v>
      </c>
      <c r="F541" s="179"/>
      <c r="G541"/>
      <c r="H541"/>
      <c r="I541"/>
      <c r="J541"/>
      <c r="K541"/>
      <c r="L541"/>
      <c r="M541"/>
      <c r="N541"/>
      <c r="O541"/>
      <c r="P541"/>
      <c r="Q541"/>
      <c r="R541"/>
      <c r="S541"/>
      <c r="T541"/>
      <c r="U541"/>
      <c r="V541"/>
      <c r="W541"/>
      <c r="X541" s="376"/>
      <c r="Y541" s="376"/>
      <c r="Z541" s="376"/>
      <c r="AA541" s="376"/>
      <c r="AB541" s="376"/>
      <c r="AC541" s="376"/>
      <c r="AD541" s="376"/>
      <c r="AE541" s="376"/>
      <c r="AF541" s="376"/>
      <c r="AG541" s="376"/>
      <c r="AH541" s="376"/>
      <c r="AI541" s="376"/>
      <c r="AJ541" s="376"/>
      <c r="AK541" s="376"/>
      <c r="AL541" s="376"/>
      <c r="AM541" s="376"/>
      <c r="AN541" s="376"/>
      <c r="AO541" s="376"/>
      <c r="AP541" s="376"/>
      <c r="AQ541" s="376"/>
      <c r="AR541" s="376"/>
    </row>
    <row r="542" spans="2:44" outlineLevel="1">
      <c r="B542" s="19" t="s">
        <v>88</v>
      </c>
      <c r="C542" s="5" t="s">
        <v>163</v>
      </c>
      <c r="D542" s="17" t="s">
        <v>315</v>
      </c>
      <c r="E542" s="109" t="str">
        <f>EDID!E139</f>
        <v>4C</v>
      </c>
      <c r="F542" s="179"/>
      <c r="G542"/>
      <c r="H542"/>
      <c r="I542"/>
      <c r="J542"/>
      <c r="K542"/>
      <c r="L542"/>
      <c r="M542"/>
      <c r="N542"/>
      <c r="O542"/>
      <c r="P542"/>
      <c r="Q542"/>
      <c r="R542"/>
      <c r="S542"/>
      <c r="T542"/>
      <c r="U542"/>
      <c r="V542"/>
      <c r="W542"/>
      <c r="X542" s="376"/>
      <c r="Y542" s="376"/>
      <c r="Z542" s="376"/>
      <c r="AA542" s="376"/>
      <c r="AB542" s="376"/>
      <c r="AC542" s="376"/>
      <c r="AD542" s="376"/>
      <c r="AE542" s="376"/>
      <c r="AF542" s="376"/>
      <c r="AG542" s="376"/>
      <c r="AH542" s="376"/>
      <c r="AI542" s="376"/>
      <c r="AJ542" s="376"/>
      <c r="AK542" s="376"/>
      <c r="AL542" s="376"/>
      <c r="AM542" s="376"/>
      <c r="AN542" s="376"/>
      <c r="AO542" s="376"/>
      <c r="AP542" s="376"/>
      <c r="AQ542" s="376"/>
      <c r="AR542" s="376"/>
    </row>
    <row r="543" spans="2:44" outlineLevel="1">
      <c r="B543" s="19" t="s">
        <v>88</v>
      </c>
      <c r="C543" s="5" t="s">
        <v>163</v>
      </c>
      <c r="D543" s="17" t="s">
        <v>316</v>
      </c>
      <c r="E543" s="109" t="str">
        <f>EDID!E140</f>
        <v>4C</v>
      </c>
      <c r="F543" s="179"/>
      <c r="G543"/>
      <c r="H543"/>
      <c r="I543"/>
      <c r="J543"/>
      <c r="K543"/>
      <c r="L543"/>
      <c r="M543"/>
      <c r="N543"/>
      <c r="O543"/>
      <c r="P543"/>
      <c r="Q543"/>
      <c r="R543"/>
      <c r="S543"/>
      <c r="T543"/>
      <c r="U543"/>
      <c r="V543"/>
      <c r="W543"/>
      <c r="X543" s="376"/>
      <c r="Y543" s="376"/>
      <c r="Z543" s="376"/>
      <c r="AA543" s="376"/>
      <c r="AB543" s="376"/>
      <c r="AC543" s="376"/>
      <c r="AD543" s="376"/>
      <c r="AE543" s="376"/>
      <c r="AF543" s="376"/>
      <c r="AG543" s="376"/>
      <c r="AH543" s="376"/>
      <c r="AI543" s="376"/>
      <c r="AJ543" s="376"/>
      <c r="AK543" s="376"/>
      <c r="AL543" s="376"/>
      <c r="AM543" s="376"/>
      <c r="AN543" s="376"/>
      <c r="AO543" s="376"/>
      <c r="AP543" s="376"/>
      <c r="AQ543" s="376"/>
      <c r="AR543" s="376"/>
    </row>
    <row r="544" spans="2:44" outlineLevel="1">
      <c r="B544" s="19" t="s">
        <v>88</v>
      </c>
      <c r="C544" s="5" t="s">
        <v>163</v>
      </c>
      <c r="D544" s="17" t="s">
        <v>317</v>
      </c>
      <c r="E544" s="109" t="str">
        <f>EDID!E141</f>
        <v>4C</v>
      </c>
      <c r="F544" s="179"/>
      <c r="G544"/>
      <c r="H544"/>
      <c r="I544"/>
      <c r="J544"/>
      <c r="K544"/>
      <c r="L544"/>
      <c r="M544"/>
      <c r="N544"/>
      <c r="O544"/>
      <c r="P544"/>
      <c r="Q544"/>
      <c r="R544"/>
      <c r="S544"/>
      <c r="T544"/>
      <c r="U544"/>
      <c r="V544"/>
      <c r="W544"/>
      <c r="X544" s="376"/>
      <c r="Y544" s="376"/>
      <c r="Z544" s="376"/>
      <c r="AA544" s="376"/>
      <c r="AB544" s="376"/>
      <c r="AC544" s="376"/>
      <c r="AD544" s="376"/>
      <c r="AE544" s="376"/>
      <c r="AF544" s="376"/>
      <c r="AG544" s="376"/>
      <c r="AH544" s="376"/>
      <c r="AI544" s="376"/>
      <c r="AJ544" s="376"/>
      <c r="AK544" s="376"/>
      <c r="AL544" s="376"/>
      <c r="AM544" s="376"/>
      <c r="AN544" s="376"/>
      <c r="AO544" s="376"/>
      <c r="AP544" s="376"/>
      <c r="AQ544" s="376"/>
      <c r="AR544" s="376"/>
    </row>
    <row r="545" spans="2:44" outlineLevel="1">
      <c r="B545" s="19" t="s">
        <v>88</v>
      </c>
      <c r="C545" s="5" t="s">
        <v>163</v>
      </c>
      <c r="D545" s="17" t="s">
        <v>318</v>
      </c>
      <c r="E545" s="109" t="str">
        <f>EDID!E142</f>
        <v>4C</v>
      </c>
      <c r="F545" s="179"/>
      <c r="G545"/>
      <c r="H545"/>
      <c r="I545"/>
      <c r="J545"/>
      <c r="K545"/>
      <c r="L545"/>
      <c r="M545"/>
      <c r="N545"/>
      <c r="O545"/>
      <c r="P545"/>
      <c r="Q545"/>
      <c r="R545"/>
      <c r="S545"/>
      <c r="T545"/>
      <c r="U545"/>
      <c r="V545"/>
      <c r="W545"/>
      <c r="X545" s="376"/>
      <c r="Y545" s="376"/>
      <c r="Z545" s="376"/>
      <c r="AA545" s="376"/>
      <c r="AB545" s="376"/>
      <c r="AC545" s="376"/>
      <c r="AD545" s="376"/>
      <c r="AE545" s="376"/>
      <c r="AF545" s="376"/>
      <c r="AG545" s="376"/>
      <c r="AH545" s="376"/>
      <c r="AI545" s="376"/>
      <c r="AJ545" s="376"/>
      <c r="AK545" s="376"/>
      <c r="AL545" s="376"/>
      <c r="AM545" s="376"/>
      <c r="AN545" s="376"/>
      <c r="AO545" s="376"/>
      <c r="AP545" s="376"/>
      <c r="AQ545" s="376"/>
      <c r="AR545" s="376"/>
    </row>
    <row r="546" spans="2:44" outlineLevel="1">
      <c r="B546" s="19" t="s">
        <v>88</v>
      </c>
      <c r="C546" s="5" t="s">
        <v>163</v>
      </c>
      <c r="D546" s="17" t="s">
        <v>319</v>
      </c>
      <c r="E546" s="109" t="str">
        <f>EDID!E143</f>
        <v>4C</v>
      </c>
      <c r="F546" s="179"/>
      <c r="G546"/>
      <c r="H546"/>
      <c r="I546"/>
      <c r="J546"/>
      <c r="K546"/>
      <c r="L546"/>
      <c r="M546"/>
      <c r="N546"/>
      <c r="O546"/>
      <c r="P546"/>
      <c r="Q546"/>
      <c r="R546"/>
      <c r="S546"/>
      <c r="T546"/>
      <c r="U546"/>
      <c r="V546"/>
      <c r="W546"/>
      <c r="X546" s="376"/>
      <c r="Y546" s="376"/>
      <c r="Z546" s="376"/>
      <c r="AA546" s="376"/>
      <c r="AB546" s="376"/>
      <c r="AC546" s="376"/>
      <c r="AD546" s="376"/>
      <c r="AE546" s="376"/>
      <c r="AF546" s="376"/>
      <c r="AG546" s="376"/>
      <c r="AH546" s="376"/>
      <c r="AI546" s="376"/>
      <c r="AJ546" s="376"/>
      <c r="AK546" s="376"/>
      <c r="AL546" s="376"/>
      <c r="AM546" s="376"/>
      <c r="AN546" s="376"/>
      <c r="AO546" s="376"/>
      <c r="AP546" s="376"/>
      <c r="AQ546" s="376"/>
      <c r="AR546" s="376"/>
    </row>
    <row r="547" spans="2:44" outlineLevel="1">
      <c r="B547" s="19" t="s">
        <v>88</v>
      </c>
      <c r="C547" s="5" t="s">
        <v>163</v>
      </c>
      <c r="D547" s="17" t="s">
        <v>320</v>
      </c>
      <c r="E547" s="109" t="str">
        <f>EDID!E144</f>
        <v>23</v>
      </c>
      <c r="F547" s="179"/>
      <c r="G547"/>
      <c r="H547"/>
      <c r="I547"/>
      <c r="J547"/>
      <c r="K547"/>
      <c r="L547"/>
      <c r="M547"/>
      <c r="N547"/>
      <c r="O547"/>
      <c r="P547"/>
      <c r="Q547"/>
      <c r="R547"/>
      <c r="S547"/>
      <c r="T547"/>
      <c r="U547"/>
      <c r="V547"/>
      <c r="W547"/>
      <c r="X547" s="376"/>
      <c r="Y547" s="376"/>
      <c r="Z547" s="376"/>
      <c r="AA547" s="376"/>
      <c r="AB547" s="376"/>
      <c r="AC547" s="376"/>
      <c r="AD547" s="376"/>
      <c r="AE547" s="376"/>
      <c r="AF547" s="376"/>
      <c r="AG547" s="376"/>
      <c r="AH547" s="376"/>
      <c r="AI547" s="376"/>
      <c r="AJ547" s="376"/>
      <c r="AK547" s="376"/>
      <c r="AL547" s="376"/>
      <c r="AM547" s="376"/>
      <c r="AN547" s="376"/>
      <c r="AO547" s="376"/>
      <c r="AP547" s="376"/>
      <c r="AQ547" s="376"/>
      <c r="AR547" s="376"/>
    </row>
    <row r="548" spans="2:44" outlineLevel="1">
      <c r="B548" s="19" t="s">
        <v>88</v>
      </c>
      <c r="C548" s="5" t="s">
        <v>163</v>
      </c>
      <c r="D548" s="17" t="s">
        <v>321</v>
      </c>
      <c r="E548" s="109" t="str">
        <f>EDID!E145</f>
        <v>09</v>
      </c>
      <c r="F548" s="179"/>
      <c r="G548"/>
      <c r="H548"/>
      <c r="I548"/>
      <c r="J548"/>
      <c r="K548"/>
      <c r="L548"/>
      <c r="M548"/>
      <c r="N548"/>
      <c r="O548"/>
      <c r="P548"/>
      <c r="Q548"/>
      <c r="R548"/>
      <c r="S548"/>
      <c r="T548"/>
      <c r="U548"/>
      <c r="V548"/>
      <c r="W548"/>
      <c r="X548" s="376"/>
      <c r="Y548" s="376"/>
      <c r="Z548" s="376"/>
      <c r="AA548" s="376"/>
      <c r="AB548" s="376"/>
      <c r="AC548" s="376"/>
      <c r="AD548" s="376"/>
      <c r="AE548" s="376"/>
      <c r="AF548" s="376"/>
      <c r="AG548" s="376"/>
      <c r="AH548" s="376"/>
      <c r="AI548" s="376"/>
      <c r="AJ548" s="376"/>
      <c r="AK548" s="376"/>
      <c r="AL548" s="376"/>
      <c r="AM548" s="376"/>
      <c r="AN548" s="376"/>
      <c r="AO548" s="376"/>
      <c r="AP548" s="376"/>
      <c r="AQ548" s="376"/>
      <c r="AR548" s="376"/>
    </row>
    <row r="549" spans="2:44" outlineLevel="1">
      <c r="B549" s="19" t="s">
        <v>88</v>
      </c>
      <c r="C549" s="5" t="s">
        <v>163</v>
      </c>
      <c r="D549" s="17" t="s">
        <v>322</v>
      </c>
      <c r="E549" s="109" t="str">
        <f>EDID!E146</f>
        <v>07</v>
      </c>
      <c r="F549" s="179"/>
      <c r="G549"/>
      <c r="H549"/>
      <c r="I549"/>
      <c r="J549"/>
      <c r="K549"/>
      <c r="L549"/>
      <c r="M549"/>
      <c r="N549"/>
      <c r="O549"/>
      <c r="P549"/>
      <c r="Q549"/>
      <c r="R549"/>
      <c r="S549"/>
      <c r="T549"/>
      <c r="U549"/>
      <c r="V549"/>
      <c r="W549"/>
      <c r="X549" s="376"/>
      <c r="Y549" s="376"/>
      <c r="Z549" s="376"/>
      <c r="AA549" s="376"/>
      <c r="AB549" s="376"/>
      <c r="AC549" s="376"/>
      <c r="AD549" s="376"/>
      <c r="AE549" s="376"/>
      <c r="AF549" s="376"/>
      <c r="AG549" s="376"/>
      <c r="AH549" s="376"/>
      <c r="AI549" s="376"/>
      <c r="AJ549" s="376"/>
      <c r="AK549" s="376"/>
      <c r="AL549" s="376"/>
      <c r="AM549" s="376"/>
      <c r="AN549" s="376"/>
      <c r="AO549" s="376"/>
      <c r="AP549" s="376"/>
      <c r="AQ549" s="376"/>
      <c r="AR549" s="376"/>
    </row>
    <row r="550" spans="2:44" outlineLevel="1">
      <c r="B550" s="19" t="s">
        <v>88</v>
      </c>
      <c r="C550" s="5" t="s">
        <v>163</v>
      </c>
      <c r="D550" s="17" t="s">
        <v>323</v>
      </c>
      <c r="E550" s="109" t="str">
        <f>EDID!E147</f>
        <v>01</v>
      </c>
      <c r="F550" s="179"/>
      <c r="G550"/>
      <c r="H550"/>
      <c r="I550"/>
      <c r="J550"/>
      <c r="K550"/>
      <c r="L550"/>
      <c r="M550"/>
      <c r="N550"/>
      <c r="O550"/>
      <c r="P550"/>
      <c r="Q550"/>
      <c r="R550"/>
      <c r="S550"/>
      <c r="T550"/>
      <c r="U550"/>
      <c r="V550"/>
      <c r="W550"/>
      <c r="X550" s="376"/>
      <c r="Y550" s="376"/>
      <c r="Z550" s="376"/>
      <c r="AA550" s="376"/>
      <c r="AB550" s="376"/>
      <c r="AC550" s="376"/>
      <c r="AD550" s="376"/>
      <c r="AE550" s="376"/>
      <c r="AF550" s="376"/>
      <c r="AG550" s="376"/>
      <c r="AH550" s="376"/>
      <c r="AI550" s="376"/>
      <c r="AJ550" s="376"/>
      <c r="AK550" s="376"/>
      <c r="AL550" s="376"/>
      <c r="AM550" s="376"/>
      <c r="AN550" s="376"/>
      <c r="AO550" s="376"/>
      <c r="AP550" s="376"/>
      <c r="AQ550" s="376"/>
      <c r="AR550" s="376"/>
    </row>
    <row r="551" spans="2:44" outlineLevel="1">
      <c r="B551" s="19" t="s">
        <v>88</v>
      </c>
      <c r="C551" s="5" t="s">
        <v>163</v>
      </c>
      <c r="D551" s="17" t="s">
        <v>324</v>
      </c>
      <c r="E551" s="109" t="str">
        <f>EDID!E148</f>
        <v>66</v>
      </c>
      <c r="F551" s="179"/>
      <c r="G551"/>
      <c r="H551"/>
      <c r="I551"/>
      <c r="J551"/>
      <c r="K551"/>
      <c r="L551"/>
      <c r="M551"/>
      <c r="N551"/>
      <c r="O551"/>
      <c r="P551"/>
      <c r="Q551"/>
      <c r="R551"/>
      <c r="S551"/>
      <c r="T551"/>
      <c r="U551"/>
      <c r="V551"/>
      <c r="W551"/>
      <c r="X551" s="376"/>
      <c r="Y551" s="376"/>
      <c r="Z551" s="376"/>
      <c r="AA551" s="376"/>
      <c r="AB551" s="376"/>
      <c r="AC551" s="376"/>
      <c r="AD551" s="376"/>
      <c r="AE551" s="376"/>
      <c r="AF551" s="376"/>
      <c r="AG551" s="376"/>
      <c r="AH551" s="376"/>
      <c r="AI551" s="376"/>
      <c r="AJ551" s="376"/>
      <c r="AK551" s="376"/>
      <c r="AL551" s="376"/>
      <c r="AM551" s="376"/>
      <c r="AN551" s="376"/>
      <c r="AO551" s="376"/>
      <c r="AP551" s="376"/>
      <c r="AQ551" s="376"/>
      <c r="AR551" s="376"/>
    </row>
    <row r="552" spans="2:44" outlineLevel="1">
      <c r="B552" s="19" t="s">
        <v>88</v>
      </c>
      <c r="C552" s="5" t="s">
        <v>163</v>
      </c>
      <c r="D552" s="17" t="s">
        <v>325</v>
      </c>
      <c r="E552" s="109" t="str">
        <f>EDID!E149</f>
        <v>03</v>
      </c>
      <c r="F552" s="179"/>
      <c r="G552"/>
      <c r="H552"/>
      <c r="I552"/>
      <c r="J552"/>
      <c r="K552"/>
      <c r="L552"/>
      <c r="M552"/>
      <c r="N552"/>
      <c r="O552"/>
      <c r="P552"/>
      <c r="Q552"/>
      <c r="R552"/>
      <c r="S552"/>
      <c r="T552"/>
      <c r="U552"/>
      <c r="V552"/>
      <c r="W552"/>
      <c r="X552" s="376"/>
      <c r="Y552" s="376"/>
      <c r="Z552" s="376"/>
      <c r="AA552" s="376"/>
      <c r="AB552" s="376"/>
      <c r="AC552" s="376"/>
      <c r="AD552" s="376"/>
      <c r="AE552" s="376"/>
      <c r="AF552" s="376"/>
      <c r="AG552" s="376"/>
      <c r="AH552" s="376"/>
      <c r="AI552" s="376"/>
      <c r="AJ552" s="376"/>
      <c r="AK552" s="376"/>
      <c r="AL552" s="376"/>
      <c r="AM552" s="376"/>
      <c r="AN552" s="376"/>
      <c r="AO552" s="376"/>
      <c r="AP552" s="376"/>
      <c r="AQ552" s="376"/>
      <c r="AR552" s="376"/>
    </row>
    <row r="553" spans="2:44" outlineLevel="1">
      <c r="B553" s="19" t="s">
        <v>88</v>
      </c>
      <c r="C553" s="5" t="s">
        <v>163</v>
      </c>
      <c r="D553" s="17" t="s">
        <v>326</v>
      </c>
      <c r="E553" s="109" t="str">
        <f>EDID!E150</f>
        <v>0C</v>
      </c>
      <c r="F553" s="179"/>
      <c r="G553"/>
      <c r="H553"/>
      <c r="I553"/>
      <c r="J553"/>
      <c r="K553"/>
      <c r="L553"/>
      <c r="M553"/>
      <c r="N553"/>
      <c r="O553"/>
      <c r="P553"/>
      <c r="Q553"/>
      <c r="R553"/>
      <c r="S553"/>
      <c r="T553"/>
      <c r="U553"/>
      <c r="V553"/>
      <c r="W553"/>
      <c r="X553" s="376"/>
      <c r="Y553" s="376"/>
      <c r="Z553" s="376"/>
      <c r="AA553" s="376"/>
      <c r="AB553" s="376"/>
      <c r="AC553" s="376"/>
      <c r="AD553" s="376"/>
      <c r="AE553" s="376"/>
      <c r="AF553" s="376"/>
      <c r="AG553" s="376"/>
      <c r="AH553" s="376"/>
      <c r="AI553" s="376"/>
      <c r="AJ553" s="376"/>
      <c r="AK553" s="376"/>
      <c r="AL553" s="376"/>
      <c r="AM553" s="376"/>
      <c r="AN553" s="376"/>
      <c r="AO553" s="376"/>
      <c r="AP553" s="376"/>
      <c r="AQ553" s="376"/>
      <c r="AR553" s="376"/>
    </row>
    <row r="554" spans="2:44" outlineLevel="1">
      <c r="B554" s="19" t="s">
        <v>88</v>
      </c>
      <c r="C554" s="5" t="s">
        <v>163</v>
      </c>
      <c r="D554" s="17" t="s">
        <v>327</v>
      </c>
      <c r="E554" s="109" t="str">
        <f>EDID!E151</f>
        <v>00</v>
      </c>
      <c r="F554" s="179"/>
      <c r="G554"/>
      <c r="H554"/>
      <c r="I554"/>
      <c r="J554"/>
      <c r="K554"/>
      <c r="L554"/>
      <c r="M554"/>
      <c r="N554"/>
      <c r="O554"/>
      <c r="P554"/>
      <c r="Q554"/>
      <c r="R554"/>
      <c r="S554"/>
      <c r="T554"/>
      <c r="U554"/>
      <c r="V554"/>
      <c r="W554"/>
      <c r="X554" s="376"/>
      <c r="Y554" s="376"/>
      <c r="Z554" s="376"/>
      <c r="AA554" s="376"/>
      <c r="AB554" s="376"/>
      <c r="AC554" s="376"/>
      <c r="AD554" s="376"/>
      <c r="AE554" s="376"/>
      <c r="AF554" s="376"/>
      <c r="AG554" s="376"/>
      <c r="AH554" s="376"/>
      <c r="AI554" s="376"/>
      <c r="AJ554" s="376"/>
      <c r="AK554" s="376"/>
      <c r="AL554" s="376"/>
      <c r="AM554" s="376"/>
      <c r="AN554" s="376"/>
      <c r="AO554" s="376"/>
      <c r="AP554" s="376"/>
      <c r="AQ554" s="376"/>
      <c r="AR554" s="376"/>
    </row>
    <row r="555" spans="2:44" outlineLevel="1">
      <c r="B555" s="19" t="s">
        <v>88</v>
      </c>
      <c r="C555" s="5" t="s">
        <v>163</v>
      </c>
      <c r="D555" s="17" t="s">
        <v>328</v>
      </c>
      <c r="E555" s="109" t="str">
        <f>EDID!E152</f>
        <v>30</v>
      </c>
      <c r="F555" s="179"/>
      <c r="G555"/>
      <c r="H555"/>
      <c r="I555"/>
      <c r="J555"/>
      <c r="K555"/>
      <c r="L555"/>
      <c r="M555"/>
      <c r="N555"/>
      <c r="O555"/>
      <c r="P555"/>
      <c r="Q555"/>
      <c r="R555"/>
      <c r="S555"/>
      <c r="T555"/>
      <c r="U555"/>
      <c r="V555"/>
      <c r="W555"/>
      <c r="X555" s="376"/>
      <c r="Y555" s="376"/>
      <c r="Z555" s="376"/>
      <c r="AA555" s="376"/>
      <c r="AB555" s="376"/>
      <c r="AC555" s="376"/>
      <c r="AD555" s="376"/>
      <c r="AE555" s="376"/>
      <c r="AF555" s="376"/>
      <c r="AG555" s="376"/>
      <c r="AH555" s="376"/>
      <c r="AI555" s="376"/>
      <c r="AJ555" s="376"/>
      <c r="AK555" s="376"/>
      <c r="AL555" s="376"/>
      <c r="AM555" s="376"/>
      <c r="AN555" s="376"/>
      <c r="AO555" s="376"/>
      <c r="AP555" s="376"/>
      <c r="AQ555" s="376"/>
      <c r="AR555" s="376"/>
    </row>
    <row r="556" spans="2:44" outlineLevel="1">
      <c r="B556" s="19" t="s">
        <v>88</v>
      </c>
      <c r="C556" s="5" t="s">
        <v>163</v>
      </c>
      <c r="D556" s="17" t="s">
        <v>329</v>
      </c>
      <c r="E556" s="109" t="str">
        <f>EDID!E153</f>
        <v>00</v>
      </c>
      <c r="F556" s="179"/>
      <c r="G556"/>
      <c r="H556"/>
      <c r="I556"/>
      <c r="J556"/>
      <c r="K556"/>
      <c r="L556"/>
      <c r="M556"/>
      <c r="N556"/>
      <c r="O556"/>
      <c r="P556"/>
      <c r="Q556"/>
      <c r="R556"/>
      <c r="S556"/>
      <c r="T556"/>
      <c r="U556"/>
      <c r="V556"/>
      <c r="W556"/>
      <c r="X556" s="376"/>
      <c r="Y556" s="376"/>
      <c r="Z556" s="376"/>
      <c r="AA556" s="376"/>
      <c r="AB556" s="376"/>
      <c r="AC556" s="376"/>
      <c r="AD556" s="376"/>
      <c r="AE556" s="376"/>
      <c r="AF556" s="376"/>
      <c r="AG556" s="376"/>
      <c r="AH556" s="376"/>
      <c r="AI556" s="376"/>
      <c r="AJ556" s="376"/>
      <c r="AK556" s="376"/>
      <c r="AL556" s="376"/>
      <c r="AM556" s="376"/>
      <c r="AN556" s="376"/>
      <c r="AO556" s="376"/>
      <c r="AP556" s="376"/>
      <c r="AQ556" s="376"/>
      <c r="AR556" s="376"/>
    </row>
    <row r="557" spans="2:44" ht="15" customHeight="1" outlineLevel="1">
      <c r="B557" s="19" t="s">
        <v>88</v>
      </c>
      <c r="C557" s="5" t="s">
        <v>163</v>
      </c>
      <c r="D557" s="17" t="s">
        <v>330</v>
      </c>
      <c r="E557" s="109" t="str">
        <f>EDID!E154</f>
        <v>80</v>
      </c>
      <c r="F557" s="179"/>
      <c r="G557"/>
      <c r="H557"/>
      <c r="I557"/>
      <c r="J557"/>
      <c r="K557"/>
      <c r="L557"/>
      <c r="M557"/>
      <c r="N557"/>
      <c r="O557"/>
      <c r="P557"/>
      <c r="Q557"/>
      <c r="R557"/>
      <c r="S557"/>
      <c r="T557"/>
      <c r="U557"/>
      <c r="V557"/>
      <c r="W557"/>
      <c r="X557" s="376"/>
      <c r="Y557" s="376"/>
      <c r="Z557" s="376"/>
      <c r="AA557" s="376"/>
      <c r="AB557" s="376"/>
      <c r="AC557" s="376"/>
      <c r="AD557" s="376"/>
      <c r="AE557" s="376"/>
      <c r="AF557" s="376"/>
      <c r="AG557" s="376"/>
      <c r="AH557" s="376"/>
      <c r="AI557" s="376"/>
      <c r="AJ557" s="376"/>
      <c r="AK557" s="376"/>
      <c r="AL557" s="376"/>
      <c r="AM557" s="376"/>
      <c r="AN557" s="376"/>
      <c r="AO557" s="376"/>
      <c r="AP557" s="376"/>
      <c r="AQ557" s="376"/>
      <c r="AR557" s="376"/>
    </row>
    <row r="558" spans="2:44" outlineLevel="1">
      <c r="B558" s="19" t="s">
        <v>88</v>
      </c>
      <c r="C558" s="5" t="s">
        <v>163</v>
      </c>
      <c r="D558" s="17" t="s">
        <v>331</v>
      </c>
      <c r="E558" s="109" t="str">
        <f>EDID!E155</f>
        <v>8C</v>
      </c>
      <c r="F558" s="179"/>
      <c r="G558"/>
      <c r="H558"/>
      <c r="I558"/>
      <c r="J558"/>
      <c r="K558"/>
      <c r="L558"/>
      <c r="M558"/>
      <c r="N558"/>
      <c r="O558"/>
      <c r="P558"/>
      <c r="Q558"/>
      <c r="R558"/>
      <c r="S558"/>
      <c r="T558"/>
      <c r="U558"/>
      <c r="V558"/>
      <c r="W558"/>
      <c r="X558" s="376"/>
      <c r="Y558" s="376"/>
      <c r="Z558" s="376"/>
      <c r="AA558" s="376"/>
      <c r="AB558" s="376"/>
      <c r="AC558" s="376"/>
      <c r="AD558" s="376"/>
      <c r="AE558" s="376"/>
      <c r="AF558" s="376"/>
      <c r="AG558" s="376"/>
      <c r="AH558" s="376"/>
      <c r="AI558" s="376"/>
      <c r="AJ558" s="376"/>
      <c r="AK558" s="376"/>
      <c r="AL558" s="376"/>
      <c r="AM558" s="376"/>
      <c r="AN558" s="376"/>
      <c r="AO558" s="376"/>
      <c r="AP558" s="376"/>
      <c r="AQ558" s="376"/>
      <c r="AR558" s="376"/>
    </row>
    <row r="559" spans="2:44" outlineLevel="1">
      <c r="B559" s="19" t="s">
        <v>88</v>
      </c>
      <c r="C559" s="5" t="s">
        <v>163</v>
      </c>
      <c r="D559" s="17" t="s">
        <v>332</v>
      </c>
      <c r="E559" s="109" t="str">
        <f>EDID!E156</f>
        <v>0A</v>
      </c>
      <c r="F559" s="179"/>
      <c r="G559"/>
      <c r="H559"/>
      <c r="I559"/>
      <c r="J559"/>
      <c r="K559"/>
      <c r="L559"/>
      <c r="M559"/>
      <c r="N559"/>
      <c r="O559"/>
      <c r="P559"/>
      <c r="Q559"/>
      <c r="R559"/>
      <c r="S559"/>
      <c r="T559"/>
      <c r="U559"/>
      <c r="V559"/>
      <c r="W559"/>
      <c r="X559" s="376"/>
      <c r="Y559" s="376"/>
      <c r="Z559" s="376"/>
      <c r="AA559" s="376"/>
      <c r="AB559" s="376"/>
      <c r="AC559" s="376"/>
      <c r="AD559" s="376"/>
      <c r="AE559" s="376"/>
      <c r="AF559" s="376"/>
      <c r="AG559" s="376"/>
      <c r="AH559" s="376"/>
      <c r="AI559" s="376"/>
      <c r="AJ559" s="376"/>
      <c r="AK559" s="376"/>
      <c r="AL559" s="376"/>
      <c r="AM559" s="376"/>
      <c r="AN559" s="376"/>
      <c r="AO559" s="376"/>
      <c r="AP559" s="376"/>
      <c r="AQ559" s="376"/>
      <c r="AR559" s="376"/>
    </row>
    <row r="560" spans="2:44" outlineLevel="1">
      <c r="B560" s="19" t="s">
        <v>88</v>
      </c>
      <c r="C560" s="5" t="s">
        <v>163</v>
      </c>
      <c r="D560" s="17" t="s">
        <v>333</v>
      </c>
      <c r="E560" s="109" t="str">
        <f>EDID!E157</f>
        <v>D0</v>
      </c>
      <c r="F560" s="179"/>
      <c r="G560"/>
      <c r="H560"/>
      <c r="I560"/>
      <c r="J560"/>
      <c r="K560"/>
      <c r="L560"/>
      <c r="M560"/>
      <c r="N560"/>
      <c r="O560"/>
      <c r="P560"/>
      <c r="Q560"/>
      <c r="R560"/>
      <c r="S560"/>
      <c r="T560"/>
      <c r="U560"/>
      <c r="V560"/>
      <c r="W560"/>
      <c r="X560" s="376"/>
      <c r="Y560" s="376"/>
      <c r="Z560" s="376"/>
      <c r="AA560" s="376"/>
      <c r="AB560" s="376"/>
      <c r="AC560" s="376"/>
      <c r="AD560" s="376"/>
      <c r="AE560" s="376"/>
      <c r="AF560" s="376"/>
      <c r="AG560" s="376"/>
      <c r="AH560" s="376"/>
      <c r="AI560" s="376"/>
      <c r="AJ560" s="376"/>
      <c r="AK560" s="376"/>
      <c r="AL560" s="376"/>
      <c r="AM560" s="376"/>
      <c r="AN560" s="376"/>
      <c r="AO560" s="376"/>
      <c r="AP560" s="376"/>
      <c r="AQ560" s="376"/>
      <c r="AR560" s="376"/>
    </row>
    <row r="561" spans="2:44" outlineLevel="1">
      <c r="B561" s="19" t="s">
        <v>88</v>
      </c>
      <c r="C561" s="5" t="s">
        <v>163</v>
      </c>
      <c r="D561" s="17" t="s">
        <v>334</v>
      </c>
      <c r="E561" s="109" t="str">
        <f>EDID!E158</f>
        <v>EC</v>
      </c>
      <c r="F561" s="179"/>
      <c r="G561"/>
      <c r="H561"/>
      <c r="I561"/>
      <c r="J561"/>
      <c r="K561"/>
      <c r="L561"/>
      <c r="M561"/>
      <c r="N561"/>
      <c r="O561"/>
      <c r="P561"/>
      <c r="Q561"/>
      <c r="R561"/>
      <c r="S561"/>
      <c r="T561"/>
      <c r="U561"/>
      <c r="V561"/>
      <c r="W561"/>
      <c r="X561" s="376"/>
      <c r="Y561" s="376"/>
      <c r="Z561" s="376"/>
      <c r="AA561" s="376"/>
      <c r="AB561" s="376"/>
      <c r="AC561" s="376"/>
      <c r="AD561" s="376"/>
      <c r="AE561" s="376"/>
      <c r="AF561" s="376"/>
      <c r="AG561" s="376"/>
      <c r="AH561" s="376"/>
      <c r="AI561" s="376"/>
      <c r="AJ561" s="376"/>
      <c r="AK561" s="376"/>
      <c r="AL561" s="376"/>
      <c r="AM561" s="376"/>
      <c r="AN561" s="376"/>
      <c r="AO561" s="376"/>
      <c r="AP561" s="376"/>
      <c r="AQ561" s="376"/>
      <c r="AR561" s="376"/>
    </row>
    <row r="562" spans="2:44" outlineLevel="1">
      <c r="B562" s="19" t="s">
        <v>88</v>
      </c>
      <c r="C562" s="5" t="s">
        <v>163</v>
      </c>
      <c r="D562" s="17" t="s">
        <v>335</v>
      </c>
      <c r="E562" s="109" t="str">
        <f>EDID!E159</f>
        <v>68</v>
      </c>
      <c r="F562" s="179"/>
      <c r="G562"/>
      <c r="H562"/>
      <c r="I562"/>
      <c r="J562"/>
      <c r="K562"/>
      <c r="L562"/>
      <c r="M562"/>
      <c r="N562"/>
      <c r="O562"/>
      <c r="P562"/>
      <c r="Q562"/>
      <c r="R562"/>
      <c r="S562"/>
      <c r="T562"/>
      <c r="U562"/>
      <c r="V562"/>
      <c r="W562"/>
      <c r="X562" s="376"/>
      <c r="Y562" s="376"/>
      <c r="Z562" s="376"/>
      <c r="AA562" s="376"/>
      <c r="AB562" s="376"/>
      <c r="AC562" s="376"/>
      <c r="AD562" s="376"/>
      <c r="AE562" s="376"/>
      <c r="AF562" s="376"/>
      <c r="AG562" s="376"/>
      <c r="AH562" s="376"/>
      <c r="AI562" s="376"/>
      <c r="AJ562" s="376"/>
      <c r="AK562" s="376"/>
      <c r="AL562" s="376"/>
      <c r="AM562" s="376"/>
      <c r="AN562" s="376"/>
      <c r="AO562" s="376"/>
      <c r="AP562" s="376"/>
      <c r="AQ562" s="376"/>
      <c r="AR562" s="376"/>
    </row>
    <row r="563" spans="2:44" outlineLevel="1">
      <c r="B563" s="19" t="s">
        <v>88</v>
      </c>
      <c r="C563" s="5" t="s">
        <v>163</v>
      </c>
      <c r="D563" s="17" t="s">
        <v>336</v>
      </c>
      <c r="E563" s="109" t="str">
        <f>EDID!E160</f>
        <v>00</v>
      </c>
      <c r="F563" s="179"/>
      <c r="G563"/>
      <c r="H563"/>
      <c r="I563"/>
      <c r="J563"/>
      <c r="K563"/>
      <c r="L563"/>
      <c r="M563"/>
      <c r="N563"/>
      <c r="O563"/>
      <c r="P563"/>
      <c r="Q563"/>
      <c r="R563"/>
      <c r="S563"/>
      <c r="T563"/>
      <c r="U563"/>
      <c r="V563"/>
      <c r="W563"/>
      <c r="X563" s="376"/>
      <c r="Y563" s="376"/>
      <c r="Z563" s="376"/>
      <c r="AA563" s="376"/>
      <c r="AB563" s="376"/>
      <c r="AC563" s="376"/>
      <c r="AD563" s="376"/>
      <c r="AE563" s="376"/>
      <c r="AF563" s="376"/>
      <c r="AG563" s="376"/>
      <c r="AH563" s="376"/>
      <c r="AI563" s="376"/>
      <c r="AJ563" s="376"/>
      <c r="AK563" s="376"/>
      <c r="AL563" s="376"/>
      <c r="AM563" s="376"/>
      <c r="AN563" s="376"/>
      <c r="AO563" s="376"/>
      <c r="AP563" s="376"/>
      <c r="AQ563" s="376"/>
      <c r="AR563" s="376"/>
    </row>
    <row r="564" spans="2:44" outlineLevel="1">
      <c r="B564" s="19" t="s">
        <v>88</v>
      </c>
      <c r="C564" s="5" t="s">
        <v>163</v>
      </c>
      <c r="D564" s="17" t="s">
        <v>337</v>
      </c>
      <c r="E564" s="109" t="str">
        <f>EDID!E161</f>
        <v>A0</v>
      </c>
      <c r="F564" s="179"/>
      <c r="G564"/>
      <c r="H564"/>
      <c r="I564"/>
      <c r="J564"/>
      <c r="K564"/>
      <c r="L564"/>
      <c r="M564"/>
      <c r="N564"/>
      <c r="O564"/>
      <c r="P564"/>
      <c r="Q564"/>
      <c r="R564"/>
      <c r="S564"/>
      <c r="T564"/>
      <c r="U564"/>
      <c r="V564"/>
      <c r="W564"/>
      <c r="X564" s="376"/>
      <c r="Y564" s="376"/>
      <c r="Z564" s="376"/>
      <c r="AA564" s="376"/>
      <c r="AB564" s="376"/>
      <c r="AC564" s="376"/>
      <c r="AD564" s="376"/>
      <c r="AE564" s="376"/>
      <c r="AF564" s="376"/>
      <c r="AG564" s="376"/>
      <c r="AH564" s="376"/>
      <c r="AI564" s="376"/>
      <c r="AJ564" s="376"/>
      <c r="AK564" s="376"/>
      <c r="AL564" s="376"/>
      <c r="AM564" s="376"/>
      <c r="AN564" s="376"/>
      <c r="AO564" s="376"/>
      <c r="AP564" s="376"/>
      <c r="AQ564" s="376"/>
      <c r="AR564" s="376"/>
    </row>
    <row r="565" spans="2:44" outlineLevel="1">
      <c r="B565" s="19" t="s">
        <v>88</v>
      </c>
      <c r="C565" s="5" t="s">
        <v>163</v>
      </c>
      <c r="D565" s="17" t="s">
        <v>338</v>
      </c>
      <c r="E565" s="109" t="str">
        <f>EDID!E162</f>
        <v>A0</v>
      </c>
      <c r="F565" s="179"/>
      <c r="G565"/>
      <c r="H565"/>
      <c r="I565"/>
      <c r="J565"/>
      <c r="K565"/>
      <c r="L565"/>
      <c r="M565"/>
      <c r="N565"/>
      <c r="O565"/>
      <c r="P565"/>
      <c r="Q565"/>
      <c r="R565"/>
      <c r="S565"/>
      <c r="T565"/>
      <c r="U565"/>
      <c r="V565"/>
      <c r="W565"/>
      <c r="X565" s="376"/>
      <c r="Y565" s="376"/>
      <c r="Z565" s="376"/>
      <c r="AA565" s="376"/>
      <c r="AB565" s="376"/>
      <c r="AC565" s="376"/>
      <c r="AD565" s="376"/>
      <c r="AE565" s="376"/>
      <c r="AF565" s="376"/>
      <c r="AG565" s="376"/>
      <c r="AH565" s="376"/>
      <c r="AI565" s="376"/>
      <c r="AJ565" s="376"/>
      <c r="AK565" s="376"/>
      <c r="AL565" s="376"/>
      <c r="AM565" s="376"/>
      <c r="AN565" s="376"/>
      <c r="AO565" s="376"/>
      <c r="AP565" s="376"/>
      <c r="AQ565" s="376"/>
      <c r="AR565" s="376"/>
    </row>
    <row r="566" spans="2:44" outlineLevel="1">
      <c r="B566" s="19" t="s">
        <v>88</v>
      </c>
      <c r="C566" s="5" t="s">
        <v>163</v>
      </c>
      <c r="D566" s="17" t="s">
        <v>339</v>
      </c>
      <c r="E566" s="109" t="str">
        <f>EDID!E163</f>
        <v>40</v>
      </c>
      <c r="F566" s="179"/>
      <c r="G566"/>
      <c r="H566"/>
      <c r="I566"/>
      <c r="J566"/>
      <c r="K566"/>
      <c r="L566"/>
      <c r="M566"/>
      <c r="N566"/>
      <c r="O566"/>
      <c r="P566"/>
      <c r="Q566"/>
      <c r="R566"/>
      <c r="S566"/>
      <c r="T566"/>
      <c r="U566"/>
      <c r="V566"/>
      <c r="W566"/>
      <c r="X566" s="376"/>
      <c r="Y566" s="376"/>
      <c r="Z566" s="376"/>
      <c r="AA566" s="376"/>
      <c r="AB566" s="376"/>
      <c r="AC566" s="376"/>
      <c r="AD566" s="376"/>
      <c r="AE566" s="376"/>
      <c r="AF566" s="376"/>
      <c r="AG566" s="376"/>
      <c r="AH566" s="376"/>
      <c r="AI566" s="376"/>
      <c r="AJ566" s="376"/>
      <c r="AK566" s="376"/>
      <c r="AL566" s="376"/>
      <c r="AM566" s="376"/>
      <c r="AN566" s="376"/>
      <c r="AO566" s="376"/>
      <c r="AP566" s="376"/>
      <c r="AQ566" s="376"/>
      <c r="AR566" s="376"/>
    </row>
    <row r="567" spans="2:44" outlineLevel="1">
      <c r="B567" s="19" t="s">
        <v>88</v>
      </c>
      <c r="C567" s="5" t="s">
        <v>163</v>
      </c>
      <c r="D567" s="17" t="s">
        <v>340</v>
      </c>
      <c r="E567" s="109" t="str">
        <f>EDID!E164</f>
        <v>2E</v>
      </c>
      <c r="F567" s="179"/>
      <c r="G567"/>
      <c r="H567"/>
      <c r="I567"/>
      <c r="J567"/>
      <c r="K567"/>
      <c r="L567"/>
      <c r="M567"/>
      <c r="N567"/>
      <c r="O567"/>
      <c r="P567"/>
      <c r="Q567"/>
      <c r="R567"/>
      <c r="S567"/>
      <c r="T567"/>
      <c r="U567"/>
      <c r="V567"/>
      <c r="W567"/>
      <c r="X567" s="376"/>
      <c r="Y567" s="376"/>
      <c r="Z567" s="376"/>
      <c r="AA567" s="376"/>
      <c r="AB567" s="376"/>
      <c r="AC567" s="376"/>
      <c r="AD567" s="376"/>
      <c r="AE567" s="376"/>
      <c r="AF567" s="376"/>
      <c r="AG567" s="376"/>
      <c r="AH567" s="376"/>
      <c r="AI567" s="376"/>
      <c r="AJ567" s="376"/>
      <c r="AK567" s="376"/>
      <c r="AL567" s="376"/>
      <c r="AM567" s="376"/>
      <c r="AN567" s="376"/>
      <c r="AO567" s="376"/>
      <c r="AP567" s="376"/>
      <c r="AQ567" s="376"/>
      <c r="AR567" s="376"/>
    </row>
    <row r="568" spans="2:44" outlineLevel="1">
      <c r="B568" s="19" t="s">
        <v>88</v>
      </c>
      <c r="C568" s="5" t="s">
        <v>163</v>
      </c>
      <c r="D568" s="17" t="s">
        <v>341</v>
      </c>
      <c r="E568" s="109" t="str">
        <f>EDID!E165</f>
        <v>60</v>
      </c>
      <c r="F568" s="179"/>
      <c r="G568"/>
      <c r="H568"/>
      <c r="I568"/>
      <c r="J568"/>
      <c r="K568"/>
      <c r="L568"/>
      <c r="M568"/>
      <c r="N568"/>
      <c r="O568"/>
      <c r="P568"/>
      <c r="Q568"/>
      <c r="R568"/>
      <c r="S568"/>
      <c r="T568"/>
      <c r="U568"/>
      <c r="V568"/>
      <c r="W568"/>
      <c r="X568" s="376"/>
      <c r="Y568" s="376"/>
      <c r="Z568" s="376"/>
      <c r="AA568" s="376"/>
      <c r="AB568" s="376"/>
      <c r="AC568" s="376"/>
      <c r="AD568" s="376"/>
      <c r="AE568" s="376"/>
      <c r="AF568" s="376"/>
      <c r="AG568" s="376"/>
      <c r="AH568" s="376"/>
      <c r="AI568" s="376"/>
      <c r="AJ568" s="376"/>
      <c r="AK568" s="376"/>
      <c r="AL568" s="376"/>
      <c r="AM568" s="376"/>
      <c r="AN568" s="376"/>
      <c r="AO568" s="376"/>
      <c r="AP568" s="376"/>
      <c r="AQ568" s="376"/>
      <c r="AR568" s="376"/>
    </row>
    <row r="569" spans="2:44" outlineLevel="1">
      <c r="B569" s="19" t="s">
        <v>88</v>
      </c>
      <c r="C569" s="5" t="s">
        <v>163</v>
      </c>
      <c r="D569" s="17" t="s">
        <v>342</v>
      </c>
      <c r="E569" s="109" t="str">
        <f>EDID!E166</f>
        <v>30</v>
      </c>
      <c r="F569" s="179"/>
      <c r="G569"/>
      <c r="H569"/>
      <c r="I569"/>
      <c r="J569"/>
      <c r="K569"/>
      <c r="L569"/>
      <c r="M569"/>
      <c r="N569"/>
      <c r="O569"/>
      <c r="P569"/>
      <c r="Q569"/>
      <c r="R569"/>
      <c r="S569"/>
      <c r="T569"/>
      <c r="U569"/>
      <c r="V569"/>
      <c r="W569"/>
      <c r="X569" s="376"/>
      <c r="Y569" s="376"/>
      <c r="Z569" s="376"/>
      <c r="AA569" s="376"/>
      <c r="AB569" s="376"/>
      <c r="AC569" s="376"/>
      <c r="AD569" s="376"/>
      <c r="AE569" s="376"/>
      <c r="AF569" s="376"/>
      <c r="AG569" s="376"/>
      <c r="AH569" s="376"/>
      <c r="AI569" s="376"/>
      <c r="AJ569" s="376"/>
      <c r="AK569" s="376"/>
      <c r="AL569" s="376"/>
      <c r="AM569" s="376"/>
      <c r="AN569" s="376"/>
      <c r="AO569" s="376"/>
      <c r="AP569" s="376"/>
      <c r="AQ569" s="376"/>
      <c r="AR569" s="376"/>
    </row>
    <row r="570" spans="2:44" outlineLevel="1">
      <c r="B570" s="19" t="s">
        <v>88</v>
      </c>
      <c r="C570" s="5" t="s">
        <v>163</v>
      </c>
      <c r="D570" s="17" t="s">
        <v>343</v>
      </c>
      <c r="E570" s="109" t="str">
        <f>EDID!E167</f>
        <v>20</v>
      </c>
      <c r="F570" s="179"/>
      <c r="G570"/>
      <c r="H570"/>
      <c r="I570"/>
      <c r="J570"/>
      <c r="K570"/>
      <c r="L570"/>
      <c r="M570"/>
      <c r="N570"/>
      <c r="O570"/>
      <c r="P570"/>
      <c r="Q570"/>
      <c r="R570"/>
      <c r="S570"/>
      <c r="T570"/>
      <c r="U570"/>
      <c r="V570"/>
      <c r="W570"/>
      <c r="X570" s="376"/>
      <c r="Y570" s="376"/>
      <c r="Z570" s="376"/>
      <c r="AA570" s="376"/>
      <c r="AB570" s="376"/>
      <c r="AC570" s="376"/>
      <c r="AD570" s="376"/>
      <c r="AE570" s="376"/>
      <c r="AF570" s="376"/>
      <c r="AG570" s="376"/>
      <c r="AH570" s="376"/>
      <c r="AI570" s="376"/>
      <c r="AJ570" s="376"/>
      <c r="AK570" s="376"/>
      <c r="AL570" s="376"/>
      <c r="AM570" s="376"/>
      <c r="AN570" s="376"/>
      <c r="AO570" s="376"/>
      <c r="AP570" s="376"/>
      <c r="AQ570" s="376"/>
      <c r="AR570" s="376"/>
    </row>
    <row r="571" spans="2:44" outlineLevel="1">
      <c r="B571" s="19" t="s">
        <v>88</v>
      </c>
      <c r="C571" s="5" t="s">
        <v>163</v>
      </c>
      <c r="D571" s="17" t="s">
        <v>344</v>
      </c>
      <c r="E571" s="109" t="str">
        <f>EDID!E168</f>
        <v>36</v>
      </c>
      <c r="F571" s="179"/>
      <c r="G571"/>
      <c r="H571"/>
      <c r="I571"/>
      <c r="J571"/>
      <c r="K571"/>
      <c r="L571"/>
      <c r="M571"/>
      <c r="N571"/>
      <c r="O571"/>
      <c r="P571"/>
      <c r="Q571"/>
      <c r="R571"/>
      <c r="S571"/>
      <c r="T571"/>
      <c r="U571"/>
      <c r="V571"/>
      <c r="W571"/>
      <c r="X571" s="376"/>
      <c r="Y571" s="376"/>
      <c r="Z571" s="376"/>
      <c r="AA571" s="376"/>
      <c r="AB571" s="376"/>
      <c r="AC571" s="376"/>
      <c r="AD571" s="376"/>
      <c r="AE571" s="376"/>
      <c r="AF571" s="376"/>
      <c r="AG571" s="376"/>
      <c r="AH571" s="376"/>
      <c r="AI571" s="376"/>
      <c r="AJ571" s="376"/>
      <c r="AK571" s="376"/>
      <c r="AL571" s="376"/>
      <c r="AM571" s="376"/>
      <c r="AN571" s="376"/>
      <c r="AO571" s="376"/>
      <c r="AP571" s="376"/>
      <c r="AQ571" s="376"/>
      <c r="AR571" s="376"/>
    </row>
    <row r="572" spans="2:44" outlineLevel="1">
      <c r="B572" s="19" t="s">
        <v>88</v>
      </c>
      <c r="C572" s="5" t="s">
        <v>163</v>
      </c>
      <c r="D572" s="17" t="s">
        <v>345</v>
      </c>
      <c r="E572" s="109" t="str">
        <f>EDID!E169</f>
        <v>00</v>
      </c>
      <c r="F572" s="179"/>
      <c r="G572"/>
      <c r="H572"/>
      <c r="I572"/>
      <c r="J572"/>
      <c r="K572"/>
      <c r="L572"/>
      <c r="M572"/>
      <c r="N572"/>
      <c r="O572"/>
      <c r="P572"/>
      <c r="Q572"/>
      <c r="R572"/>
      <c r="S572"/>
      <c r="T572"/>
      <c r="U572"/>
      <c r="V572"/>
      <c r="W572"/>
      <c r="X572" s="376"/>
      <c r="Y572" s="376"/>
      <c r="Z572" s="376"/>
      <c r="AA572" s="376"/>
      <c r="AB572" s="376"/>
      <c r="AC572" s="376"/>
      <c r="AD572" s="376"/>
      <c r="AE572" s="376"/>
      <c r="AF572" s="376"/>
      <c r="AG572" s="376"/>
      <c r="AH572" s="376"/>
      <c r="AI572" s="376"/>
      <c r="AJ572" s="376"/>
      <c r="AK572" s="376"/>
      <c r="AL572" s="376"/>
      <c r="AM572" s="376"/>
      <c r="AN572" s="376"/>
      <c r="AO572" s="376"/>
      <c r="AP572" s="376"/>
      <c r="AQ572" s="376"/>
      <c r="AR572" s="376"/>
    </row>
    <row r="573" spans="2:44" outlineLevel="1">
      <c r="B573" s="19" t="s">
        <v>88</v>
      </c>
      <c r="C573" s="5" t="s">
        <v>163</v>
      </c>
      <c r="D573" s="17" t="s">
        <v>346</v>
      </c>
      <c r="E573" s="109" t="str">
        <f>EDID!E170</f>
        <v>00</v>
      </c>
      <c r="F573" s="179"/>
      <c r="G573"/>
      <c r="H573"/>
      <c r="I573"/>
      <c r="J573"/>
      <c r="K573"/>
      <c r="L573"/>
      <c r="M573"/>
      <c r="N573"/>
      <c r="O573"/>
      <c r="P573"/>
      <c r="Q573"/>
      <c r="R573"/>
      <c r="S573"/>
      <c r="T573"/>
      <c r="U573"/>
      <c r="V573"/>
      <c r="W573"/>
      <c r="X573" s="376"/>
      <c r="Y573" s="376"/>
      <c r="Z573" s="376"/>
      <c r="AA573" s="376"/>
      <c r="AB573" s="376"/>
      <c r="AC573" s="376"/>
      <c r="AD573" s="376"/>
      <c r="AE573" s="376"/>
      <c r="AF573" s="376"/>
      <c r="AG573" s="376"/>
      <c r="AH573" s="376"/>
      <c r="AI573" s="376"/>
      <c r="AJ573" s="376"/>
      <c r="AK573" s="376"/>
      <c r="AL573" s="376"/>
      <c r="AM573" s="376"/>
      <c r="AN573" s="376"/>
      <c r="AO573" s="376"/>
      <c r="AP573" s="376"/>
      <c r="AQ573" s="376"/>
      <c r="AR573" s="376"/>
    </row>
    <row r="574" spans="2:44" outlineLevel="1">
      <c r="B574" s="19" t="s">
        <v>88</v>
      </c>
      <c r="C574" s="5" t="s">
        <v>163</v>
      </c>
      <c r="D574" s="17" t="s">
        <v>347</v>
      </c>
      <c r="E574" s="109" t="str">
        <f>EDID!E171</f>
        <v>40</v>
      </c>
      <c r="F574" s="179"/>
      <c r="G574"/>
      <c r="H574"/>
      <c r="I574"/>
      <c r="J574"/>
      <c r="K574"/>
      <c r="L574"/>
      <c r="M574"/>
      <c r="N574"/>
      <c r="O574"/>
      <c r="P574"/>
      <c r="Q574"/>
      <c r="R574"/>
      <c r="S574"/>
      <c r="T574"/>
      <c r="U574"/>
      <c r="V574"/>
      <c r="W574"/>
      <c r="X574" s="376"/>
      <c r="Y574" s="376"/>
      <c r="Z574" s="376"/>
      <c r="AA574" s="376"/>
      <c r="AB574" s="376"/>
      <c r="AC574" s="376"/>
      <c r="AD574" s="376"/>
      <c r="AE574" s="376"/>
      <c r="AF574" s="376"/>
      <c r="AG574" s="376"/>
      <c r="AH574" s="376"/>
      <c r="AI574" s="376"/>
      <c r="AJ574" s="376"/>
      <c r="AK574" s="376"/>
      <c r="AL574" s="376"/>
      <c r="AM574" s="376"/>
      <c r="AN574" s="376"/>
      <c r="AO574" s="376"/>
      <c r="AP574" s="376"/>
      <c r="AQ574" s="376"/>
      <c r="AR574" s="376"/>
    </row>
    <row r="575" spans="2:44" outlineLevel="1">
      <c r="B575" s="19" t="s">
        <v>88</v>
      </c>
      <c r="C575" s="5" t="s">
        <v>163</v>
      </c>
      <c r="D575" s="17" t="s">
        <v>348</v>
      </c>
      <c r="E575" s="109" t="str">
        <f>EDID!E172</f>
        <v>A6</v>
      </c>
      <c r="F575" s="179"/>
      <c r="G575"/>
      <c r="H575"/>
      <c r="I575"/>
      <c r="J575"/>
      <c r="K575"/>
      <c r="L575"/>
      <c r="M575"/>
      <c r="N575"/>
      <c r="O575"/>
      <c r="P575"/>
      <c r="Q575"/>
      <c r="R575"/>
      <c r="S575"/>
      <c r="T575"/>
      <c r="U575"/>
      <c r="V575"/>
      <c r="W575"/>
      <c r="X575" s="376"/>
      <c r="Y575" s="376"/>
      <c r="Z575" s="376"/>
      <c r="AA575" s="376"/>
      <c r="AB575" s="376"/>
      <c r="AC575" s="376"/>
      <c r="AD575" s="376"/>
      <c r="AE575" s="376"/>
      <c r="AF575" s="376"/>
      <c r="AG575" s="376"/>
      <c r="AH575" s="376"/>
      <c r="AI575" s="376"/>
      <c r="AJ575" s="376"/>
      <c r="AK575" s="376"/>
      <c r="AL575" s="376"/>
      <c r="AM575" s="376"/>
      <c r="AN575" s="376"/>
      <c r="AO575" s="376"/>
      <c r="AP575" s="376"/>
      <c r="AQ575" s="376"/>
      <c r="AR575" s="376"/>
    </row>
    <row r="576" spans="2:44" outlineLevel="1">
      <c r="B576" s="19" t="s">
        <v>88</v>
      </c>
      <c r="C576" s="5" t="s">
        <v>163</v>
      </c>
      <c r="D576" s="17" t="s">
        <v>349</v>
      </c>
      <c r="E576" s="109" t="str">
        <f>EDID!E173</f>
        <v>00</v>
      </c>
      <c r="F576" s="179"/>
      <c r="G576"/>
      <c r="H576"/>
      <c r="I576"/>
      <c r="J576"/>
      <c r="K576"/>
      <c r="L576"/>
      <c r="M576"/>
      <c r="N576"/>
      <c r="O576"/>
      <c r="P576"/>
      <c r="Q576"/>
      <c r="R576"/>
      <c r="S576"/>
      <c r="T576"/>
      <c r="U576"/>
      <c r="V576"/>
      <c r="W576"/>
      <c r="X576" s="376"/>
      <c r="Y576" s="376"/>
      <c r="Z576" s="376"/>
      <c r="AA576" s="376"/>
      <c r="AB576" s="376"/>
      <c r="AC576" s="376"/>
      <c r="AD576" s="376"/>
      <c r="AE576" s="376"/>
      <c r="AF576" s="376"/>
      <c r="AG576" s="376"/>
      <c r="AH576" s="376"/>
      <c r="AI576" s="376"/>
      <c r="AJ576" s="376"/>
      <c r="AK576" s="376"/>
      <c r="AL576" s="376"/>
      <c r="AM576" s="376"/>
      <c r="AN576" s="376"/>
      <c r="AO576" s="376"/>
      <c r="AP576" s="376"/>
      <c r="AQ576" s="376"/>
      <c r="AR576" s="376"/>
    </row>
    <row r="577" spans="2:44" outlineLevel="1">
      <c r="B577" s="19" t="s">
        <v>88</v>
      </c>
      <c r="C577" s="5" t="s">
        <v>163</v>
      </c>
      <c r="D577" s="17" t="s">
        <v>350</v>
      </c>
      <c r="E577" s="109" t="str">
        <f>EDID!E174</f>
        <v>00</v>
      </c>
      <c r="F577" s="179"/>
      <c r="G577"/>
      <c r="H577"/>
      <c r="I577"/>
      <c r="J577"/>
      <c r="K577"/>
      <c r="L577"/>
      <c r="M577"/>
      <c r="N577"/>
      <c r="O577"/>
      <c r="P577"/>
      <c r="Q577"/>
      <c r="R577"/>
      <c r="S577"/>
      <c r="T577"/>
      <c r="U577"/>
      <c r="V577"/>
      <c r="W577"/>
      <c r="X577" s="376"/>
      <c r="Y577" s="376"/>
      <c r="Z577" s="376"/>
      <c r="AA577" s="376"/>
      <c r="AB577" s="376"/>
      <c r="AC577" s="376"/>
      <c r="AD577" s="376"/>
      <c r="AE577" s="376"/>
      <c r="AF577" s="376"/>
      <c r="AG577" s="376"/>
      <c r="AH577" s="376"/>
      <c r="AI577" s="376"/>
      <c r="AJ577" s="376"/>
      <c r="AK577" s="376"/>
      <c r="AL577" s="376"/>
      <c r="AM577" s="376"/>
      <c r="AN577" s="376"/>
      <c r="AO577" s="376"/>
      <c r="AP577" s="376"/>
      <c r="AQ577" s="376"/>
      <c r="AR577" s="376"/>
    </row>
    <row r="578" spans="2:44" outlineLevel="1">
      <c r="B578" s="19" t="s">
        <v>88</v>
      </c>
      <c r="C578" s="5" t="s">
        <v>163</v>
      </c>
      <c r="D578" s="17" t="s">
        <v>351</v>
      </c>
      <c r="E578" s="109" t="str">
        <f>EDID!E175</f>
        <v>18</v>
      </c>
      <c r="F578" s="179"/>
      <c r="G578"/>
      <c r="H578"/>
      <c r="I578"/>
      <c r="J578"/>
      <c r="K578"/>
      <c r="L578"/>
      <c r="M578"/>
      <c r="N578"/>
      <c r="O578"/>
      <c r="P578"/>
      <c r="Q578"/>
      <c r="R578"/>
      <c r="S578"/>
      <c r="T578"/>
      <c r="U578"/>
      <c r="V578"/>
      <c r="W578"/>
      <c r="X578" s="376"/>
      <c r="Y578" s="376"/>
      <c r="Z578" s="376"/>
      <c r="AA578" s="376"/>
      <c r="AB578" s="376"/>
      <c r="AC578" s="376"/>
      <c r="AD578" s="376"/>
      <c r="AE578" s="376"/>
      <c r="AF578" s="376"/>
      <c r="AG578" s="376"/>
      <c r="AH578" s="376"/>
      <c r="AI578" s="376"/>
      <c r="AJ578" s="376"/>
      <c r="AK578" s="376"/>
      <c r="AL578" s="376"/>
      <c r="AM578" s="376"/>
      <c r="AN578" s="376"/>
      <c r="AO578" s="376"/>
      <c r="AP578" s="376"/>
      <c r="AQ578" s="376"/>
      <c r="AR578" s="376"/>
    </row>
    <row r="579" spans="2:44" outlineLevel="1">
      <c r="B579" s="19" t="s">
        <v>88</v>
      </c>
      <c r="C579" s="5" t="s">
        <v>163</v>
      </c>
      <c r="D579" s="17" t="s">
        <v>352</v>
      </c>
      <c r="E579" s="109" t="str">
        <f>EDID!E176</f>
        <v>EC</v>
      </c>
      <c r="F579" s="179"/>
      <c r="G579"/>
      <c r="H579"/>
      <c r="I579"/>
      <c r="J579"/>
      <c r="K579"/>
      <c r="L579"/>
      <c r="M579"/>
      <c r="N579"/>
      <c r="O579"/>
      <c r="P579"/>
      <c r="Q579"/>
      <c r="R579"/>
      <c r="S579"/>
      <c r="T579"/>
      <c r="U579"/>
      <c r="V579"/>
      <c r="W579"/>
      <c r="X579" s="376"/>
      <c r="Y579" s="376"/>
      <c r="Z579" s="376"/>
      <c r="AA579" s="376"/>
      <c r="AB579" s="376"/>
      <c r="AC579" s="376"/>
      <c r="AD579" s="376"/>
      <c r="AE579" s="376"/>
      <c r="AF579" s="376"/>
      <c r="AG579" s="376"/>
      <c r="AH579" s="376"/>
      <c r="AI579" s="376"/>
      <c r="AJ579" s="376"/>
      <c r="AK579" s="376"/>
      <c r="AL579" s="376"/>
      <c r="AM579" s="376"/>
      <c r="AN579" s="376"/>
      <c r="AO579" s="376"/>
      <c r="AP579" s="376"/>
      <c r="AQ579" s="376"/>
      <c r="AR579" s="376"/>
    </row>
    <row r="580" spans="2:44" outlineLevel="1">
      <c r="B580" s="19" t="s">
        <v>88</v>
      </c>
      <c r="C580" s="5" t="s">
        <v>163</v>
      </c>
      <c r="D580" s="17" t="s">
        <v>353</v>
      </c>
      <c r="E580" s="109" t="str">
        <f>EDID!E177</f>
        <v>68</v>
      </c>
      <c r="F580" s="179"/>
      <c r="G580"/>
      <c r="H580"/>
      <c r="I580"/>
      <c r="J580"/>
      <c r="K580"/>
      <c r="L580"/>
      <c r="M580"/>
      <c r="N580"/>
      <c r="O580"/>
      <c r="P580"/>
      <c r="Q580"/>
      <c r="R580"/>
      <c r="S580"/>
      <c r="T580"/>
      <c r="U580"/>
      <c r="V580"/>
      <c r="W580"/>
      <c r="X580" s="376"/>
      <c r="Y580" s="376"/>
      <c r="Z580" s="376"/>
      <c r="AA580" s="376"/>
      <c r="AB580" s="376"/>
      <c r="AC580" s="376"/>
      <c r="AD580" s="376"/>
      <c r="AE580" s="376"/>
      <c r="AF580" s="376"/>
      <c r="AG580" s="376"/>
      <c r="AH580" s="376"/>
      <c r="AI580" s="376"/>
      <c r="AJ580" s="376"/>
      <c r="AK580" s="376"/>
      <c r="AL580" s="376"/>
      <c r="AM580" s="376"/>
      <c r="AN580" s="376"/>
      <c r="AO580" s="376"/>
      <c r="AP580" s="376"/>
      <c r="AQ580" s="376"/>
      <c r="AR580" s="376"/>
    </row>
    <row r="581" spans="2:44" outlineLevel="1">
      <c r="B581" s="19" t="s">
        <v>88</v>
      </c>
      <c r="C581" s="5" t="s">
        <v>163</v>
      </c>
      <c r="D581" s="17" t="s">
        <v>354</v>
      </c>
      <c r="E581" s="109" t="str">
        <f>EDID!E178</f>
        <v>00</v>
      </c>
      <c r="F581" s="179"/>
      <c r="G581"/>
      <c r="H581"/>
      <c r="I581"/>
      <c r="J581"/>
      <c r="K581"/>
      <c r="L581"/>
      <c r="M581"/>
      <c r="N581"/>
      <c r="O581"/>
      <c r="P581"/>
      <c r="Q581"/>
      <c r="R581"/>
      <c r="S581"/>
      <c r="T581"/>
      <c r="U581"/>
      <c r="V581"/>
      <c r="W581"/>
      <c r="X581" s="376"/>
      <c r="Y581" s="376"/>
      <c r="Z581" s="376"/>
      <c r="AA581" s="376"/>
      <c r="AB581" s="376"/>
      <c r="AC581" s="376"/>
      <c r="AD581" s="376"/>
      <c r="AE581" s="376"/>
      <c r="AF581" s="376"/>
      <c r="AG581" s="376"/>
      <c r="AH581" s="376"/>
      <c r="AI581" s="376"/>
      <c r="AJ581" s="376"/>
      <c r="AK581" s="376"/>
      <c r="AL581" s="376"/>
      <c r="AM581" s="376"/>
      <c r="AN581" s="376"/>
      <c r="AO581" s="376"/>
      <c r="AP581" s="376"/>
      <c r="AQ581" s="376"/>
      <c r="AR581" s="376"/>
    </row>
    <row r="582" spans="2:44" outlineLevel="1">
      <c r="B582" s="19" t="s">
        <v>88</v>
      </c>
      <c r="C582" s="5" t="s">
        <v>163</v>
      </c>
      <c r="D582" s="17" t="s">
        <v>355</v>
      </c>
      <c r="E582" s="109" t="str">
        <f>EDID!E179</f>
        <v>A0</v>
      </c>
      <c r="F582" s="179"/>
      <c r="G582"/>
      <c r="H582"/>
      <c r="I582"/>
      <c r="J582"/>
      <c r="K582"/>
      <c r="L582"/>
      <c r="M582"/>
      <c r="N582"/>
      <c r="O582"/>
      <c r="P582"/>
      <c r="Q582"/>
      <c r="R582"/>
      <c r="S582"/>
      <c r="T582"/>
      <c r="U582"/>
      <c r="V582"/>
      <c r="W582"/>
      <c r="X582" s="376"/>
      <c r="Y582" s="376"/>
      <c r="Z582" s="376"/>
      <c r="AA582" s="376"/>
      <c r="AB582" s="376"/>
      <c r="AC582" s="376"/>
      <c r="AD582" s="376"/>
      <c r="AE582" s="376"/>
      <c r="AF582" s="376"/>
      <c r="AG582" s="376"/>
      <c r="AH582" s="376"/>
      <c r="AI582" s="376"/>
      <c r="AJ582" s="376"/>
      <c r="AK582" s="376"/>
      <c r="AL582" s="376"/>
      <c r="AM582" s="376"/>
      <c r="AN582" s="376"/>
      <c r="AO582" s="376"/>
      <c r="AP582" s="376"/>
      <c r="AQ582" s="376"/>
      <c r="AR582" s="376"/>
    </row>
    <row r="583" spans="2:44" outlineLevel="1">
      <c r="B583" s="19" t="s">
        <v>88</v>
      </c>
      <c r="C583" s="5" t="s">
        <v>163</v>
      </c>
      <c r="D583" s="17" t="s">
        <v>356</v>
      </c>
      <c r="E583" s="109" t="str">
        <f>EDID!E180</f>
        <v>A0</v>
      </c>
      <c r="F583" s="179"/>
      <c r="G583"/>
      <c r="H583"/>
      <c r="I583"/>
      <c r="J583"/>
      <c r="K583"/>
      <c r="L583"/>
      <c r="M583"/>
      <c r="N583"/>
      <c r="O583"/>
      <c r="P583"/>
      <c r="Q583"/>
      <c r="R583"/>
      <c r="S583"/>
      <c r="T583"/>
      <c r="U583"/>
      <c r="V583"/>
      <c r="W583"/>
      <c r="X583" s="376"/>
      <c r="Y583" s="376"/>
      <c r="Z583" s="376"/>
      <c r="AA583" s="376"/>
      <c r="AB583" s="376"/>
      <c r="AC583" s="376"/>
      <c r="AD583" s="376"/>
      <c r="AE583" s="376"/>
      <c r="AF583" s="376"/>
      <c r="AG583" s="376"/>
      <c r="AH583" s="376"/>
      <c r="AI583" s="376"/>
      <c r="AJ583" s="376"/>
      <c r="AK583" s="376"/>
      <c r="AL583" s="376"/>
      <c r="AM583" s="376"/>
      <c r="AN583" s="376"/>
      <c r="AO583" s="376"/>
      <c r="AP583" s="376"/>
      <c r="AQ583" s="376"/>
      <c r="AR583" s="376"/>
    </row>
    <row r="584" spans="2:44" outlineLevel="1">
      <c r="B584" s="19" t="s">
        <v>88</v>
      </c>
      <c r="C584" s="5" t="s">
        <v>163</v>
      </c>
      <c r="D584" s="17" t="s">
        <v>357</v>
      </c>
      <c r="E584" s="109" t="str">
        <f>EDID!E181</f>
        <v>40</v>
      </c>
      <c r="F584" s="179"/>
      <c r="G584"/>
      <c r="H584"/>
      <c r="I584"/>
      <c r="J584"/>
      <c r="K584"/>
      <c r="L584"/>
      <c r="M584"/>
      <c r="N584"/>
      <c r="O584"/>
      <c r="P584"/>
      <c r="Q584"/>
      <c r="R584"/>
      <c r="S584"/>
      <c r="T584"/>
      <c r="U584"/>
      <c r="V584"/>
      <c r="W584"/>
      <c r="X584" s="376"/>
      <c r="Y584" s="376"/>
      <c r="Z584" s="376"/>
      <c r="AA584" s="376"/>
      <c r="AB584" s="376"/>
      <c r="AC584" s="376"/>
      <c r="AD584" s="376"/>
      <c r="AE584" s="376"/>
      <c r="AF584" s="376"/>
      <c r="AG584" s="376"/>
      <c r="AH584" s="376"/>
      <c r="AI584" s="376"/>
      <c r="AJ584" s="376"/>
      <c r="AK584" s="376"/>
      <c r="AL584" s="376"/>
      <c r="AM584" s="376"/>
      <c r="AN584" s="376"/>
      <c r="AO584" s="376"/>
      <c r="AP584" s="376"/>
      <c r="AQ584" s="376"/>
      <c r="AR584" s="376"/>
    </row>
    <row r="585" spans="2:44" outlineLevel="1">
      <c r="B585" s="19" t="s">
        <v>88</v>
      </c>
      <c r="C585" s="5" t="s">
        <v>163</v>
      </c>
      <c r="D585" s="17" t="s">
        <v>358</v>
      </c>
      <c r="E585" s="109" t="str">
        <f>EDID!E182</f>
        <v>2E</v>
      </c>
      <c r="F585" s="179"/>
      <c r="G585"/>
      <c r="H585"/>
      <c r="I585"/>
      <c r="J585"/>
      <c r="K585"/>
      <c r="L585"/>
      <c r="M585"/>
      <c r="N585"/>
      <c r="O585"/>
      <c r="P585"/>
      <c r="Q585"/>
      <c r="R585"/>
      <c r="S585"/>
      <c r="T585"/>
      <c r="U585"/>
      <c r="V585"/>
      <c r="W585"/>
      <c r="X585" s="376"/>
      <c r="Y585" s="376"/>
      <c r="Z585" s="376"/>
      <c r="AA585" s="376"/>
      <c r="AB585" s="376"/>
      <c r="AC585" s="376"/>
      <c r="AD585" s="376"/>
      <c r="AE585" s="376"/>
      <c r="AF585" s="376"/>
      <c r="AG585" s="376"/>
      <c r="AH585" s="376"/>
      <c r="AI585" s="376"/>
      <c r="AJ585" s="376"/>
      <c r="AK585" s="376"/>
      <c r="AL585" s="376"/>
      <c r="AM585" s="376"/>
      <c r="AN585" s="376"/>
      <c r="AO585" s="376"/>
      <c r="AP585" s="376"/>
      <c r="AQ585" s="376"/>
      <c r="AR585" s="376"/>
    </row>
    <row r="586" spans="2:44" outlineLevel="1">
      <c r="B586" s="19" t="s">
        <v>88</v>
      </c>
      <c r="C586" s="5" t="s">
        <v>163</v>
      </c>
      <c r="D586" s="17" t="s">
        <v>359</v>
      </c>
      <c r="E586" s="109" t="str">
        <f>EDID!E183</f>
        <v>60</v>
      </c>
      <c r="F586" s="179"/>
      <c r="G586"/>
      <c r="H586"/>
      <c r="I586"/>
      <c r="J586"/>
      <c r="K586"/>
      <c r="L586"/>
      <c r="M586"/>
      <c r="N586"/>
      <c r="O586"/>
      <c r="P586"/>
      <c r="Q586"/>
      <c r="R586"/>
      <c r="S586"/>
      <c r="T586"/>
      <c r="U586"/>
      <c r="V586"/>
      <c r="W586"/>
      <c r="X586" s="376"/>
      <c r="Y586" s="376"/>
      <c r="Z586" s="376"/>
      <c r="AA586" s="376"/>
      <c r="AB586" s="376"/>
      <c r="AC586" s="376"/>
      <c r="AD586" s="376"/>
      <c r="AE586" s="376"/>
      <c r="AF586" s="376"/>
      <c r="AG586" s="376"/>
      <c r="AH586" s="376"/>
      <c r="AI586" s="376"/>
      <c r="AJ586" s="376"/>
      <c r="AK586" s="376"/>
      <c r="AL586" s="376"/>
      <c r="AM586" s="376"/>
      <c r="AN586" s="376"/>
      <c r="AO586" s="376"/>
      <c r="AP586" s="376"/>
      <c r="AQ586" s="376"/>
      <c r="AR586" s="376"/>
    </row>
    <row r="587" spans="2:44" outlineLevel="1">
      <c r="B587" s="19" t="s">
        <v>88</v>
      </c>
      <c r="C587" s="5" t="s">
        <v>163</v>
      </c>
      <c r="D587" s="17" t="s">
        <v>360</v>
      </c>
      <c r="E587" s="109" t="str">
        <f>EDID!E184</f>
        <v>30</v>
      </c>
      <c r="F587" s="179"/>
      <c r="G587"/>
      <c r="H587"/>
      <c r="I587"/>
      <c r="J587"/>
      <c r="K587"/>
      <c r="L587"/>
      <c r="M587"/>
      <c r="N587"/>
      <c r="O587"/>
      <c r="P587"/>
      <c r="Q587"/>
      <c r="R587"/>
      <c r="S587"/>
      <c r="T587"/>
      <c r="U587"/>
      <c r="V587"/>
      <c r="W587"/>
      <c r="X587" s="376"/>
      <c r="Y587" s="376"/>
      <c r="Z587" s="376"/>
      <c r="AA587" s="376"/>
      <c r="AB587" s="376"/>
      <c r="AC587" s="376"/>
      <c r="AD587" s="376"/>
      <c r="AE587" s="376"/>
      <c r="AF587" s="376"/>
      <c r="AG587" s="376"/>
      <c r="AH587" s="376"/>
      <c r="AI587" s="376"/>
      <c r="AJ587" s="376"/>
      <c r="AK587" s="376"/>
      <c r="AL587" s="376"/>
      <c r="AM587" s="376"/>
      <c r="AN587" s="376"/>
      <c r="AO587" s="376"/>
      <c r="AP587" s="376"/>
      <c r="AQ587" s="376"/>
      <c r="AR587" s="376"/>
    </row>
    <row r="588" spans="2:44" outlineLevel="1">
      <c r="B588" s="19" t="s">
        <v>88</v>
      </c>
      <c r="C588" s="5" t="s">
        <v>163</v>
      </c>
      <c r="D588" s="17" t="s">
        <v>361</v>
      </c>
      <c r="E588" s="109" t="str">
        <f>EDID!E185</f>
        <v>20</v>
      </c>
      <c r="F588" s="179"/>
      <c r="G588"/>
      <c r="H588"/>
      <c r="I588"/>
      <c r="J588"/>
      <c r="K588"/>
      <c r="L588"/>
      <c r="M588"/>
      <c r="N588"/>
      <c r="O588"/>
      <c r="P588"/>
      <c r="Q588"/>
      <c r="R588"/>
      <c r="S588"/>
      <c r="T588"/>
      <c r="U588"/>
      <c r="V588"/>
      <c r="W588"/>
      <c r="X588" s="376"/>
      <c r="Y588" s="376"/>
      <c r="Z588" s="376"/>
      <c r="AA588" s="376"/>
      <c r="AB588" s="376"/>
      <c r="AC588" s="376"/>
      <c r="AD588" s="376"/>
      <c r="AE588" s="376"/>
      <c r="AF588" s="376"/>
      <c r="AG588" s="376"/>
      <c r="AH588" s="376"/>
      <c r="AI588" s="376"/>
      <c r="AJ588" s="376"/>
      <c r="AK588" s="376"/>
      <c r="AL588" s="376"/>
      <c r="AM588" s="376"/>
      <c r="AN588" s="376"/>
      <c r="AO588" s="376"/>
      <c r="AP588" s="376"/>
      <c r="AQ588" s="376"/>
      <c r="AR588" s="376"/>
    </row>
    <row r="589" spans="2:44" outlineLevel="1">
      <c r="B589" s="19" t="s">
        <v>88</v>
      </c>
      <c r="C589" s="5" t="s">
        <v>163</v>
      </c>
      <c r="D589" s="17" t="s">
        <v>362</v>
      </c>
      <c r="E589" s="109" t="str">
        <f>EDID!E186</f>
        <v>36</v>
      </c>
      <c r="F589" s="179"/>
      <c r="G589"/>
      <c r="H589"/>
      <c r="I589"/>
      <c r="J589"/>
      <c r="K589"/>
      <c r="L589"/>
      <c r="M589"/>
      <c r="N589"/>
      <c r="O589"/>
      <c r="P589"/>
      <c r="Q589"/>
      <c r="R589"/>
      <c r="S589"/>
      <c r="T589"/>
      <c r="U589"/>
      <c r="V589"/>
      <c r="W589"/>
      <c r="X589" s="376"/>
      <c r="Y589" s="376"/>
      <c r="Z589" s="376"/>
      <c r="AA589" s="376"/>
      <c r="AB589" s="376"/>
      <c r="AC589" s="376"/>
      <c r="AD589" s="376"/>
      <c r="AE589" s="376"/>
      <c r="AF589" s="376"/>
      <c r="AG589" s="376"/>
      <c r="AH589" s="376"/>
      <c r="AI589" s="376"/>
      <c r="AJ589" s="376"/>
      <c r="AK589" s="376"/>
      <c r="AL589" s="376"/>
      <c r="AM589" s="376"/>
      <c r="AN589" s="376"/>
      <c r="AO589" s="376"/>
      <c r="AP589" s="376"/>
      <c r="AQ589" s="376"/>
      <c r="AR589" s="376"/>
    </row>
    <row r="590" spans="2:44" outlineLevel="1">
      <c r="B590" s="19" t="s">
        <v>88</v>
      </c>
      <c r="C590" s="5" t="s">
        <v>163</v>
      </c>
      <c r="D590" s="17" t="s">
        <v>363</v>
      </c>
      <c r="E590" s="109" t="str">
        <f>EDID!E187</f>
        <v>00</v>
      </c>
      <c r="F590" s="179"/>
      <c r="G590"/>
      <c r="H590"/>
      <c r="I590"/>
      <c r="J590"/>
      <c r="K590"/>
      <c r="L590"/>
      <c r="M590"/>
      <c r="N590"/>
      <c r="O590"/>
      <c r="P590"/>
      <c r="Q590"/>
      <c r="R590"/>
      <c r="S590"/>
      <c r="T590"/>
      <c r="U590"/>
      <c r="V590"/>
      <c r="W590"/>
      <c r="X590" s="376"/>
      <c r="Y590" s="376"/>
      <c r="Z590" s="376"/>
      <c r="AA590" s="376"/>
      <c r="AB590" s="376"/>
      <c r="AC590" s="376"/>
      <c r="AD590" s="376"/>
      <c r="AE590" s="376"/>
      <c r="AF590" s="376"/>
      <c r="AG590" s="376"/>
      <c r="AH590" s="376"/>
      <c r="AI590" s="376"/>
      <c r="AJ590" s="376"/>
      <c r="AK590" s="376"/>
      <c r="AL590" s="376"/>
      <c r="AM590" s="376"/>
      <c r="AN590" s="376"/>
      <c r="AO590" s="376"/>
      <c r="AP590" s="376"/>
      <c r="AQ590" s="376"/>
      <c r="AR590" s="376"/>
    </row>
    <row r="591" spans="2:44" outlineLevel="1">
      <c r="B591" s="19" t="s">
        <v>88</v>
      </c>
      <c r="C591" s="5" t="s">
        <v>163</v>
      </c>
      <c r="D591" s="17" t="s">
        <v>364</v>
      </c>
      <c r="E591" s="109" t="str">
        <f>EDID!E188</f>
        <v>00</v>
      </c>
      <c r="F591" s="179"/>
      <c r="G591"/>
      <c r="H591"/>
      <c r="I591"/>
      <c r="J591"/>
      <c r="K591"/>
      <c r="L591"/>
      <c r="M591"/>
      <c r="N591"/>
      <c r="O591"/>
      <c r="P591"/>
      <c r="Q591"/>
      <c r="R591"/>
      <c r="S591"/>
      <c r="T591"/>
      <c r="U591"/>
      <c r="V591"/>
      <c r="W591"/>
      <c r="X591" s="376"/>
      <c r="Y591" s="376"/>
      <c r="Z591" s="376"/>
      <c r="AA591" s="376"/>
      <c r="AB591" s="376"/>
      <c r="AC591" s="376"/>
      <c r="AD591" s="376"/>
      <c r="AE591" s="376"/>
      <c r="AF591" s="376"/>
      <c r="AG591" s="376"/>
      <c r="AH591" s="376"/>
      <c r="AI591" s="376"/>
      <c r="AJ591" s="376"/>
      <c r="AK591" s="376"/>
      <c r="AL591" s="376"/>
      <c r="AM591" s="376"/>
      <c r="AN591" s="376"/>
      <c r="AO591" s="376"/>
      <c r="AP591" s="376"/>
      <c r="AQ591" s="376"/>
      <c r="AR591" s="376"/>
    </row>
    <row r="592" spans="2:44" outlineLevel="1">
      <c r="B592" s="19" t="s">
        <v>88</v>
      </c>
      <c r="C592" s="5" t="s">
        <v>163</v>
      </c>
      <c r="D592" s="17" t="s">
        <v>365</v>
      </c>
      <c r="E592" s="109" t="str">
        <f>EDID!E189</f>
        <v>40</v>
      </c>
      <c r="F592" s="179"/>
      <c r="G592"/>
      <c r="H592"/>
      <c r="I592"/>
      <c r="J592"/>
      <c r="K592"/>
      <c r="L592"/>
      <c r="M592"/>
      <c r="N592"/>
      <c r="O592"/>
      <c r="P592"/>
      <c r="Q592"/>
      <c r="R592"/>
      <c r="S592"/>
      <c r="T592"/>
      <c r="U592"/>
      <c r="V592"/>
      <c r="W592"/>
      <c r="X592" s="376"/>
      <c r="Y592" s="376"/>
      <c r="Z592" s="376"/>
      <c r="AA592" s="376"/>
      <c r="AB592" s="376"/>
      <c r="AC592" s="376"/>
      <c r="AD592" s="376"/>
      <c r="AE592" s="376"/>
      <c r="AF592" s="376"/>
      <c r="AG592" s="376"/>
      <c r="AH592" s="376"/>
      <c r="AI592" s="376"/>
      <c r="AJ592" s="376"/>
      <c r="AK592" s="376"/>
      <c r="AL592" s="376"/>
      <c r="AM592" s="376"/>
      <c r="AN592" s="376"/>
      <c r="AO592" s="376"/>
      <c r="AP592" s="376"/>
      <c r="AQ592" s="376"/>
      <c r="AR592" s="376"/>
    </row>
    <row r="593" spans="2:44" outlineLevel="1">
      <c r="B593" s="19" t="s">
        <v>88</v>
      </c>
      <c r="C593" s="5" t="s">
        <v>163</v>
      </c>
      <c r="D593" s="17" t="s">
        <v>366</v>
      </c>
      <c r="E593" s="109" t="str">
        <f>EDID!E190</f>
        <v>A6</v>
      </c>
      <c r="F593" s="179"/>
      <c r="G593"/>
      <c r="H593"/>
      <c r="I593"/>
      <c r="J593"/>
      <c r="K593"/>
      <c r="L593"/>
      <c r="M593"/>
      <c r="N593"/>
      <c r="O593"/>
      <c r="P593"/>
      <c r="Q593"/>
      <c r="R593"/>
      <c r="S593"/>
      <c r="T593"/>
      <c r="U593"/>
      <c r="V593"/>
      <c r="W593"/>
      <c r="X593" s="376"/>
      <c r="Y593" s="376"/>
      <c r="Z593" s="376"/>
      <c r="AA593" s="376"/>
      <c r="AB593" s="376"/>
      <c r="AC593" s="376"/>
      <c r="AD593" s="376"/>
      <c r="AE593" s="376"/>
      <c r="AF593" s="376"/>
      <c r="AG593" s="376"/>
      <c r="AH593" s="376"/>
      <c r="AI593" s="376"/>
      <c r="AJ593" s="376"/>
      <c r="AK593" s="376"/>
      <c r="AL593" s="376"/>
      <c r="AM593" s="376"/>
      <c r="AN593" s="376"/>
      <c r="AO593" s="376"/>
      <c r="AP593" s="376"/>
      <c r="AQ593" s="376"/>
      <c r="AR593" s="376"/>
    </row>
    <row r="594" spans="2:44" outlineLevel="1">
      <c r="B594" s="19" t="s">
        <v>88</v>
      </c>
      <c r="C594" s="5" t="s">
        <v>163</v>
      </c>
      <c r="D594" s="17" t="s">
        <v>367</v>
      </c>
      <c r="E594" s="109" t="str">
        <f>EDID!E191</f>
        <v>00</v>
      </c>
      <c r="F594" s="179"/>
      <c r="G594"/>
      <c r="H594"/>
      <c r="I594"/>
      <c r="J594"/>
      <c r="K594"/>
      <c r="L594"/>
      <c r="M594"/>
      <c r="N594"/>
      <c r="O594"/>
      <c r="P594"/>
      <c r="Q594"/>
      <c r="R594"/>
      <c r="S594"/>
      <c r="T594"/>
      <c r="U594"/>
      <c r="V594"/>
      <c r="W594"/>
      <c r="X594" s="376"/>
      <c r="Y594" s="376"/>
      <c r="Z594" s="376"/>
      <c r="AA594" s="376"/>
      <c r="AB594" s="376"/>
      <c r="AC594" s="376"/>
      <c r="AD594" s="376"/>
      <c r="AE594" s="376"/>
      <c r="AF594" s="376"/>
      <c r="AG594" s="376"/>
      <c r="AH594" s="376"/>
      <c r="AI594" s="376"/>
      <c r="AJ594" s="376"/>
      <c r="AK594" s="376"/>
      <c r="AL594" s="376"/>
      <c r="AM594" s="376"/>
      <c r="AN594" s="376"/>
      <c r="AO594" s="376"/>
      <c r="AP594" s="376"/>
      <c r="AQ594" s="376"/>
      <c r="AR594" s="376"/>
    </row>
    <row r="595" spans="2:44" outlineLevel="1">
      <c r="B595" s="19" t="s">
        <v>88</v>
      </c>
      <c r="C595" s="5" t="s">
        <v>163</v>
      </c>
      <c r="D595" s="17" t="s">
        <v>368</v>
      </c>
      <c r="E595" s="109" t="str">
        <f>EDID!E192</f>
        <v>00</v>
      </c>
      <c r="F595" s="179"/>
      <c r="G595"/>
      <c r="H595"/>
      <c r="I595"/>
      <c r="J595"/>
      <c r="K595"/>
      <c r="L595"/>
      <c r="M595"/>
      <c r="N595"/>
      <c r="O595"/>
      <c r="P595"/>
      <c r="Q595"/>
      <c r="R595"/>
      <c r="S595"/>
      <c r="T595"/>
      <c r="U595"/>
      <c r="V595"/>
      <c r="W595"/>
      <c r="X595" s="376"/>
      <c r="Y595" s="376"/>
      <c r="Z595" s="376"/>
      <c r="AA595" s="376"/>
      <c r="AB595" s="376"/>
      <c r="AC595" s="376"/>
      <c r="AD595" s="376"/>
      <c r="AE595" s="376"/>
      <c r="AF595" s="376"/>
      <c r="AG595" s="376"/>
      <c r="AH595" s="376"/>
      <c r="AI595" s="376"/>
      <c r="AJ595" s="376"/>
      <c r="AK595" s="376"/>
      <c r="AL595" s="376"/>
      <c r="AM595" s="376"/>
      <c r="AN595" s="376"/>
      <c r="AO595" s="376"/>
      <c r="AP595" s="376"/>
      <c r="AQ595" s="376"/>
      <c r="AR595" s="376"/>
    </row>
    <row r="596" spans="2:44" outlineLevel="1">
      <c r="B596" s="19" t="s">
        <v>88</v>
      </c>
      <c r="C596" s="5" t="s">
        <v>163</v>
      </c>
      <c r="D596" s="17" t="s">
        <v>369</v>
      </c>
      <c r="E596" s="109" t="str">
        <f>EDID!E193</f>
        <v>18</v>
      </c>
      <c r="F596" s="179"/>
      <c r="G596"/>
      <c r="H596"/>
      <c r="I596"/>
      <c r="J596"/>
      <c r="K596"/>
      <c r="L596"/>
      <c r="M596"/>
      <c r="N596"/>
      <c r="O596"/>
      <c r="P596"/>
      <c r="Q596"/>
      <c r="R596"/>
      <c r="S596"/>
      <c r="T596"/>
      <c r="U596"/>
      <c r="V596"/>
      <c r="W596"/>
      <c r="X596" s="376"/>
      <c r="Y596" s="376"/>
      <c r="Z596" s="376"/>
      <c r="AA596" s="376"/>
      <c r="AB596" s="376"/>
      <c r="AC596" s="376"/>
      <c r="AD596" s="376"/>
      <c r="AE596" s="376"/>
      <c r="AF596" s="376"/>
      <c r="AG596" s="376"/>
      <c r="AH596" s="376"/>
      <c r="AI596" s="376"/>
      <c r="AJ596" s="376"/>
      <c r="AK596" s="376"/>
      <c r="AL596" s="376"/>
      <c r="AM596" s="376"/>
      <c r="AN596" s="376"/>
      <c r="AO596" s="376"/>
      <c r="AP596" s="376"/>
      <c r="AQ596" s="376"/>
      <c r="AR596" s="376"/>
    </row>
    <row r="597" spans="2:44" outlineLevel="1">
      <c r="B597" s="19" t="s">
        <v>88</v>
      </c>
      <c r="C597" s="5" t="s">
        <v>163</v>
      </c>
      <c r="D597" s="17" t="s">
        <v>370</v>
      </c>
      <c r="E597" s="109" t="str">
        <f>EDID!E194</f>
        <v>EC</v>
      </c>
      <c r="F597" s="179"/>
      <c r="G597"/>
      <c r="H597"/>
      <c r="I597"/>
      <c r="J597"/>
      <c r="K597"/>
      <c r="L597"/>
      <c r="M597"/>
      <c r="N597"/>
      <c r="O597"/>
      <c r="P597"/>
      <c r="Q597"/>
      <c r="R597"/>
      <c r="S597"/>
      <c r="T597"/>
      <c r="U597"/>
      <c r="V597"/>
      <c r="W597"/>
      <c r="X597" s="376"/>
      <c r="Y597" s="376"/>
      <c r="Z597" s="376"/>
      <c r="AA597" s="376"/>
      <c r="AB597" s="376"/>
      <c r="AC597" s="376"/>
      <c r="AD597" s="376"/>
      <c r="AE597" s="376"/>
      <c r="AF597" s="376"/>
      <c r="AG597" s="376"/>
      <c r="AH597" s="376"/>
      <c r="AI597" s="376"/>
      <c r="AJ597" s="376"/>
      <c r="AK597" s="376"/>
      <c r="AL597" s="376"/>
      <c r="AM597" s="376"/>
      <c r="AN597" s="376"/>
      <c r="AO597" s="376"/>
      <c r="AP597" s="376"/>
      <c r="AQ597" s="376"/>
      <c r="AR597" s="376"/>
    </row>
    <row r="598" spans="2:44" outlineLevel="1">
      <c r="B598" s="19" t="s">
        <v>88</v>
      </c>
      <c r="C598" s="5" t="s">
        <v>163</v>
      </c>
      <c r="D598" s="17" t="s">
        <v>371</v>
      </c>
      <c r="E598" s="109" t="str">
        <f>EDID!E195</f>
        <v>68</v>
      </c>
      <c r="F598" s="179"/>
      <c r="G598"/>
      <c r="H598"/>
      <c r="I598"/>
      <c r="J598"/>
      <c r="K598"/>
      <c r="L598"/>
      <c r="M598"/>
      <c r="N598"/>
      <c r="O598"/>
      <c r="P598"/>
      <c r="Q598"/>
      <c r="R598"/>
      <c r="S598"/>
      <c r="T598"/>
      <c r="U598"/>
      <c r="V598"/>
      <c r="W598"/>
      <c r="X598" s="376"/>
      <c r="Y598" s="376"/>
      <c r="Z598" s="376"/>
      <c r="AA598" s="376"/>
      <c r="AB598" s="376"/>
      <c r="AC598" s="376"/>
      <c r="AD598" s="376"/>
      <c r="AE598" s="376"/>
      <c r="AF598" s="376"/>
      <c r="AG598" s="376"/>
      <c r="AH598" s="376"/>
      <c r="AI598" s="376"/>
      <c r="AJ598" s="376"/>
      <c r="AK598" s="376"/>
      <c r="AL598" s="376"/>
      <c r="AM598" s="376"/>
      <c r="AN598" s="376"/>
      <c r="AO598" s="376"/>
      <c r="AP598" s="376"/>
      <c r="AQ598" s="376"/>
      <c r="AR598" s="376"/>
    </row>
    <row r="599" spans="2:44" outlineLevel="1">
      <c r="B599" s="19" t="s">
        <v>88</v>
      </c>
      <c r="C599" s="5" t="s">
        <v>163</v>
      </c>
      <c r="D599" s="17" t="s">
        <v>372</v>
      </c>
      <c r="E599" s="109" t="str">
        <f>EDID!E196</f>
        <v>00</v>
      </c>
      <c r="F599" s="179"/>
      <c r="G599"/>
      <c r="H599"/>
      <c r="I599"/>
      <c r="J599"/>
      <c r="K599"/>
      <c r="L599"/>
      <c r="M599"/>
      <c r="N599"/>
      <c r="O599"/>
      <c r="P599"/>
      <c r="Q599"/>
      <c r="R599"/>
      <c r="S599"/>
      <c r="T599"/>
      <c r="U599"/>
      <c r="V599"/>
      <c r="W599"/>
      <c r="X599" s="376"/>
      <c r="Y599" s="376"/>
      <c r="Z599" s="376"/>
      <c r="AA599" s="376"/>
      <c r="AB599" s="376"/>
      <c r="AC599" s="376"/>
      <c r="AD599" s="376"/>
      <c r="AE599" s="376"/>
      <c r="AF599" s="376"/>
      <c r="AG599" s="376"/>
      <c r="AH599" s="376"/>
      <c r="AI599" s="376"/>
      <c r="AJ599" s="376"/>
      <c r="AK599" s="376"/>
      <c r="AL599" s="376"/>
      <c r="AM599" s="376"/>
      <c r="AN599" s="376"/>
      <c r="AO599" s="376"/>
      <c r="AP599" s="376"/>
      <c r="AQ599" s="376"/>
      <c r="AR599" s="376"/>
    </row>
    <row r="600" spans="2:44" outlineLevel="1">
      <c r="B600" s="19" t="s">
        <v>88</v>
      </c>
      <c r="C600" s="5" t="s">
        <v>163</v>
      </c>
      <c r="D600" s="17" t="s">
        <v>373</v>
      </c>
      <c r="E600" s="109" t="str">
        <f>EDID!E197</f>
        <v>A0</v>
      </c>
      <c r="F600" s="179"/>
      <c r="G600"/>
      <c r="H600"/>
      <c r="I600"/>
      <c r="J600"/>
      <c r="K600"/>
      <c r="L600"/>
      <c r="M600"/>
      <c r="N600"/>
      <c r="O600"/>
      <c r="P600"/>
      <c r="Q600"/>
      <c r="R600"/>
      <c r="S600"/>
      <c r="T600"/>
      <c r="U600"/>
      <c r="V600"/>
      <c r="W600"/>
      <c r="X600" s="376"/>
      <c r="Y600" s="376"/>
      <c r="Z600" s="376"/>
      <c r="AA600" s="376"/>
      <c r="AB600" s="376"/>
      <c r="AC600" s="376"/>
      <c r="AD600" s="376"/>
      <c r="AE600" s="376"/>
      <c r="AF600" s="376"/>
      <c r="AG600" s="376"/>
      <c r="AH600" s="376"/>
      <c r="AI600" s="376"/>
      <c r="AJ600" s="376"/>
      <c r="AK600" s="376"/>
      <c r="AL600" s="376"/>
      <c r="AM600" s="376"/>
      <c r="AN600" s="376"/>
      <c r="AO600" s="376"/>
      <c r="AP600" s="376"/>
      <c r="AQ600" s="376"/>
      <c r="AR600" s="376"/>
    </row>
    <row r="601" spans="2:44" outlineLevel="1">
      <c r="B601" s="19" t="s">
        <v>88</v>
      </c>
      <c r="C601" s="5" t="s">
        <v>163</v>
      </c>
      <c r="D601" s="17" t="s">
        <v>374</v>
      </c>
      <c r="E601" s="109" t="str">
        <f>EDID!E198</f>
        <v>A0</v>
      </c>
      <c r="F601" s="179"/>
      <c r="G601"/>
      <c r="H601"/>
      <c r="I601"/>
      <c r="J601"/>
      <c r="K601"/>
      <c r="L601"/>
      <c r="M601"/>
      <c r="N601"/>
      <c r="O601"/>
      <c r="P601"/>
      <c r="Q601"/>
      <c r="R601"/>
      <c r="S601"/>
      <c r="T601"/>
      <c r="U601"/>
      <c r="V601"/>
      <c r="W601"/>
      <c r="X601" s="376"/>
      <c r="Y601" s="376"/>
      <c r="Z601" s="376"/>
      <c r="AA601" s="376"/>
      <c r="AB601" s="376"/>
      <c r="AC601" s="376"/>
      <c r="AD601" s="376"/>
      <c r="AE601" s="376"/>
      <c r="AF601" s="376"/>
      <c r="AG601" s="376"/>
      <c r="AH601" s="376"/>
      <c r="AI601" s="376"/>
      <c r="AJ601" s="376"/>
      <c r="AK601" s="376"/>
      <c r="AL601" s="376"/>
      <c r="AM601" s="376"/>
      <c r="AN601" s="376"/>
      <c r="AO601" s="376"/>
      <c r="AP601" s="376"/>
      <c r="AQ601" s="376"/>
      <c r="AR601" s="376"/>
    </row>
    <row r="602" spans="2:44" outlineLevel="1">
      <c r="B602" s="19" t="s">
        <v>88</v>
      </c>
      <c r="C602" s="5" t="s">
        <v>163</v>
      </c>
      <c r="D602" s="17" t="s">
        <v>375</v>
      </c>
      <c r="E602" s="109" t="str">
        <f>EDID!E199</f>
        <v>40</v>
      </c>
      <c r="F602" s="179"/>
      <c r="G602"/>
      <c r="H602"/>
      <c r="I602"/>
      <c r="J602"/>
      <c r="K602"/>
      <c r="L602"/>
      <c r="M602"/>
      <c r="N602"/>
      <c r="O602"/>
      <c r="P602"/>
      <c r="Q602"/>
      <c r="R602"/>
      <c r="S602"/>
      <c r="T602"/>
      <c r="U602"/>
      <c r="V602"/>
      <c r="W602"/>
      <c r="X602" s="376"/>
      <c r="Y602" s="376"/>
      <c r="Z602" s="376"/>
      <c r="AA602" s="376"/>
      <c r="AB602" s="376"/>
      <c r="AC602" s="376"/>
      <c r="AD602" s="376"/>
      <c r="AE602" s="376"/>
      <c r="AF602" s="376"/>
      <c r="AG602" s="376"/>
      <c r="AH602" s="376"/>
      <c r="AI602" s="376"/>
      <c r="AJ602" s="376"/>
      <c r="AK602" s="376"/>
      <c r="AL602" s="376"/>
      <c r="AM602" s="376"/>
      <c r="AN602" s="376"/>
      <c r="AO602" s="376"/>
      <c r="AP602" s="376"/>
      <c r="AQ602" s="376"/>
      <c r="AR602" s="376"/>
    </row>
    <row r="603" spans="2:44" outlineLevel="1">
      <c r="B603" s="19" t="s">
        <v>88</v>
      </c>
      <c r="C603" s="5" t="s">
        <v>163</v>
      </c>
      <c r="D603" s="17" t="s">
        <v>376</v>
      </c>
      <c r="E603" s="109" t="str">
        <f>EDID!E200</f>
        <v>2E</v>
      </c>
      <c r="F603" s="179"/>
      <c r="G603"/>
      <c r="H603"/>
      <c r="I603"/>
      <c r="J603"/>
      <c r="K603"/>
      <c r="L603"/>
      <c r="M603"/>
      <c r="N603"/>
      <c r="O603"/>
      <c r="P603"/>
      <c r="Q603"/>
      <c r="R603"/>
      <c r="S603"/>
      <c r="T603"/>
      <c r="U603"/>
      <c r="V603"/>
      <c r="W603"/>
      <c r="X603" s="376"/>
      <c r="Y603" s="376"/>
      <c r="Z603" s="376"/>
      <c r="AA603" s="376"/>
      <c r="AB603" s="376"/>
      <c r="AC603" s="376"/>
      <c r="AD603" s="376"/>
      <c r="AE603" s="376"/>
      <c r="AF603" s="376"/>
      <c r="AG603" s="376"/>
      <c r="AH603" s="376"/>
      <c r="AI603" s="376"/>
      <c r="AJ603" s="376"/>
      <c r="AK603" s="376"/>
      <c r="AL603" s="376"/>
      <c r="AM603" s="376"/>
      <c r="AN603" s="376"/>
      <c r="AO603" s="376"/>
      <c r="AP603" s="376"/>
      <c r="AQ603" s="376"/>
      <c r="AR603" s="376"/>
    </row>
    <row r="604" spans="2:44" outlineLevel="1">
      <c r="B604" s="19" t="s">
        <v>88</v>
      </c>
      <c r="C604" s="5" t="s">
        <v>163</v>
      </c>
      <c r="D604" s="17" t="s">
        <v>377</v>
      </c>
      <c r="E604" s="109" t="str">
        <f>EDID!E201</f>
        <v>60</v>
      </c>
      <c r="F604" s="179"/>
      <c r="G604"/>
      <c r="H604"/>
      <c r="I604"/>
      <c r="J604"/>
      <c r="K604"/>
      <c r="L604"/>
      <c r="M604"/>
      <c r="N604"/>
      <c r="O604"/>
      <c r="P604"/>
      <c r="Q604"/>
      <c r="R604"/>
      <c r="S604"/>
      <c r="T604"/>
      <c r="U604"/>
      <c r="V604"/>
      <c r="W604"/>
      <c r="X604" s="376"/>
      <c r="Y604" s="376"/>
      <c r="Z604" s="376"/>
      <c r="AA604" s="376"/>
      <c r="AB604" s="376"/>
      <c r="AC604" s="376"/>
      <c r="AD604" s="376"/>
      <c r="AE604" s="376"/>
      <c r="AF604" s="376"/>
      <c r="AG604" s="376"/>
      <c r="AH604" s="376"/>
      <c r="AI604" s="376"/>
      <c r="AJ604" s="376"/>
      <c r="AK604" s="376"/>
      <c r="AL604" s="376"/>
      <c r="AM604" s="376"/>
      <c r="AN604" s="376"/>
      <c r="AO604" s="376"/>
      <c r="AP604" s="376"/>
      <c r="AQ604" s="376"/>
      <c r="AR604" s="376"/>
    </row>
    <row r="605" spans="2:44" outlineLevel="1">
      <c r="B605" s="19" t="s">
        <v>88</v>
      </c>
      <c r="C605" s="5" t="s">
        <v>163</v>
      </c>
      <c r="D605" s="17" t="s">
        <v>378</v>
      </c>
      <c r="E605" s="109" t="str">
        <f>EDID!E202</f>
        <v>30</v>
      </c>
      <c r="F605" s="179"/>
      <c r="G605"/>
      <c r="H605"/>
      <c r="I605"/>
      <c r="J605"/>
      <c r="K605"/>
      <c r="L605"/>
      <c r="M605"/>
      <c r="N605"/>
      <c r="O605"/>
      <c r="P605"/>
      <c r="Q605"/>
      <c r="R605"/>
      <c r="S605"/>
      <c r="T605"/>
      <c r="U605"/>
      <c r="V605"/>
      <c r="W605"/>
      <c r="X605" s="376"/>
      <c r="Y605" s="376"/>
      <c r="Z605" s="376"/>
      <c r="AA605" s="376"/>
      <c r="AB605" s="376"/>
      <c r="AC605" s="376"/>
      <c r="AD605" s="376"/>
      <c r="AE605" s="376"/>
      <c r="AF605" s="376"/>
      <c r="AG605" s="376"/>
      <c r="AH605" s="376"/>
      <c r="AI605" s="376"/>
      <c r="AJ605" s="376"/>
      <c r="AK605" s="376"/>
      <c r="AL605" s="376"/>
      <c r="AM605" s="376"/>
      <c r="AN605" s="376"/>
      <c r="AO605" s="376"/>
      <c r="AP605" s="376"/>
      <c r="AQ605" s="376"/>
      <c r="AR605" s="376"/>
    </row>
    <row r="606" spans="2:44" outlineLevel="1">
      <c r="B606" s="19" t="s">
        <v>88</v>
      </c>
      <c r="C606" s="5" t="s">
        <v>163</v>
      </c>
      <c r="D606" s="17" t="s">
        <v>379</v>
      </c>
      <c r="E606" s="109" t="str">
        <f>EDID!E203</f>
        <v>20</v>
      </c>
      <c r="F606" s="179"/>
      <c r="G606"/>
      <c r="H606"/>
      <c r="I606"/>
      <c r="J606"/>
      <c r="K606"/>
      <c r="L606"/>
      <c r="M606"/>
      <c r="N606"/>
      <c r="O606"/>
      <c r="P606"/>
      <c r="Q606"/>
      <c r="R606"/>
      <c r="S606"/>
      <c r="T606"/>
      <c r="U606"/>
      <c r="V606"/>
      <c r="W606"/>
      <c r="X606" s="376"/>
      <c r="Y606" s="376"/>
      <c r="Z606" s="376"/>
      <c r="AA606" s="376"/>
      <c r="AB606" s="376"/>
      <c r="AC606" s="376"/>
      <c r="AD606" s="376"/>
      <c r="AE606" s="376"/>
      <c r="AF606" s="376"/>
      <c r="AG606" s="376"/>
      <c r="AH606" s="376"/>
      <c r="AI606" s="376"/>
      <c r="AJ606" s="376"/>
      <c r="AK606" s="376"/>
      <c r="AL606" s="376"/>
      <c r="AM606" s="376"/>
      <c r="AN606" s="376"/>
      <c r="AO606" s="376"/>
      <c r="AP606" s="376"/>
      <c r="AQ606" s="376"/>
      <c r="AR606" s="376"/>
    </row>
    <row r="607" spans="2:44" outlineLevel="1">
      <c r="B607" s="19" t="s">
        <v>88</v>
      </c>
      <c r="C607" s="5" t="s">
        <v>163</v>
      </c>
      <c r="D607" s="17" t="s">
        <v>380</v>
      </c>
      <c r="E607" s="109" t="str">
        <f>EDID!E204</f>
        <v>36</v>
      </c>
      <c r="F607" s="179"/>
      <c r="G607"/>
      <c r="H607"/>
      <c r="I607"/>
      <c r="J607"/>
      <c r="K607"/>
      <c r="L607"/>
      <c r="M607"/>
      <c r="N607"/>
      <c r="O607"/>
      <c r="P607"/>
      <c r="Q607"/>
      <c r="R607"/>
      <c r="S607"/>
      <c r="T607"/>
      <c r="U607"/>
      <c r="V607"/>
      <c r="W607"/>
      <c r="X607" s="376"/>
      <c r="Y607" s="376"/>
      <c r="Z607" s="376"/>
      <c r="AA607" s="376"/>
      <c r="AB607" s="376"/>
      <c r="AC607" s="376"/>
      <c r="AD607" s="376"/>
      <c r="AE607" s="376"/>
      <c r="AF607" s="376"/>
      <c r="AG607" s="376"/>
      <c r="AH607" s="376"/>
      <c r="AI607" s="376"/>
      <c r="AJ607" s="376"/>
      <c r="AK607" s="376"/>
      <c r="AL607" s="376"/>
      <c r="AM607" s="376"/>
      <c r="AN607" s="376"/>
      <c r="AO607" s="376"/>
      <c r="AP607" s="376"/>
      <c r="AQ607" s="376"/>
      <c r="AR607" s="376"/>
    </row>
    <row r="608" spans="2:44" outlineLevel="1">
      <c r="B608" s="19" t="s">
        <v>88</v>
      </c>
      <c r="C608" s="5" t="s">
        <v>163</v>
      </c>
      <c r="D608" s="17" t="s">
        <v>381</v>
      </c>
      <c r="E608" s="109" t="str">
        <f>EDID!E205</f>
        <v>00</v>
      </c>
      <c r="F608" s="179"/>
      <c r="G608"/>
      <c r="H608"/>
      <c r="I608"/>
      <c r="J608"/>
      <c r="K608"/>
      <c r="L608"/>
      <c r="M608"/>
      <c r="N608"/>
      <c r="O608"/>
      <c r="P608"/>
      <c r="Q608"/>
      <c r="R608"/>
      <c r="S608"/>
      <c r="T608"/>
      <c r="U608"/>
      <c r="V608"/>
      <c r="W608"/>
      <c r="X608" s="376"/>
      <c r="Y608" s="376"/>
      <c r="Z608" s="376"/>
      <c r="AA608" s="376"/>
      <c r="AB608" s="376"/>
      <c r="AC608" s="376"/>
      <c r="AD608" s="376"/>
      <c r="AE608" s="376"/>
      <c r="AF608" s="376"/>
      <c r="AG608" s="376"/>
      <c r="AH608" s="376"/>
      <c r="AI608" s="376"/>
      <c r="AJ608" s="376"/>
      <c r="AK608" s="376"/>
      <c r="AL608" s="376"/>
      <c r="AM608" s="376"/>
      <c r="AN608" s="376"/>
      <c r="AO608" s="376"/>
      <c r="AP608" s="376"/>
      <c r="AQ608" s="376"/>
      <c r="AR608" s="376"/>
    </row>
    <row r="609" spans="2:44" outlineLevel="1">
      <c r="B609" s="19" t="s">
        <v>88</v>
      </c>
      <c r="C609" s="5" t="s">
        <v>163</v>
      </c>
      <c r="D609" s="17" t="s">
        <v>382</v>
      </c>
      <c r="E609" s="109" t="str">
        <f>EDID!E206</f>
        <v>00</v>
      </c>
      <c r="F609" s="179"/>
      <c r="G609"/>
      <c r="H609"/>
      <c r="I609"/>
      <c r="J609"/>
      <c r="K609"/>
      <c r="L609"/>
      <c r="M609"/>
      <c r="N609"/>
      <c r="O609"/>
      <c r="P609"/>
      <c r="Q609"/>
      <c r="R609"/>
      <c r="S609"/>
      <c r="T609"/>
      <c r="U609"/>
      <c r="V609"/>
      <c r="W609"/>
      <c r="X609" s="376"/>
      <c r="Y609" s="376"/>
      <c r="Z609" s="376"/>
      <c r="AA609" s="376"/>
      <c r="AB609" s="376"/>
      <c r="AC609" s="376"/>
      <c r="AD609" s="376"/>
      <c r="AE609" s="376"/>
      <c r="AF609" s="376"/>
      <c r="AG609" s="376"/>
      <c r="AH609" s="376"/>
      <c r="AI609" s="376"/>
      <c r="AJ609" s="376"/>
      <c r="AK609" s="376"/>
      <c r="AL609" s="376"/>
      <c r="AM609" s="376"/>
      <c r="AN609" s="376"/>
      <c r="AO609" s="376"/>
      <c r="AP609" s="376"/>
      <c r="AQ609" s="376"/>
      <c r="AR609" s="376"/>
    </row>
    <row r="610" spans="2:44" outlineLevel="1">
      <c r="B610" s="19" t="s">
        <v>88</v>
      </c>
      <c r="C610" s="5" t="s">
        <v>163</v>
      </c>
      <c r="D610" s="17" t="s">
        <v>383</v>
      </c>
      <c r="E610" s="109" t="str">
        <f>EDID!E207</f>
        <v>40</v>
      </c>
      <c r="F610" s="179"/>
      <c r="G610"/>
      <c r="H610"/>
      <c r="I610"/>
      <c r="J610"/>
      <c r="K610"/>
      <c r="L610"/>
      <c r="M610"/>
      <c r="N610"/>
      <c r="O610"/>
      <c r="P610"/>
      <c r="Q610"/>
      <c r="R610"/>
      <c r="S610"/>
      <c r="T610"/>
      <c r="U610"/>
      <c r="V610"/>
      <c r="W610"/>
      <c r="X610" s="376"/>
      <c r="Y610" s="376"/>
      <c r="Z610" s="376"/>
      <c r="AA610" s="376"/>
      <c r="AB610" s="376"/>
      <c r="AC610" s="376"/>
      <c r="AD610" s="376"/>
      <c r="AE610" s="376"/>
      <c r="AF610" s="376"/>
      <c r="AG610" s="376"/>
      <c r="AH610" s="376"/>
      <c r="AI610" s="376"/>
      <c r="AJ610" s="376"/>
      <c r="AK610" s="376"/>
      <c r="AL610" s="376"/>
      <c r="AM610" s="376"/>
      <c r="AN610" s="376"/>
      <c r="AO610" s="376"/>
      <c r="AP610" s="376"/>
      <c r="AQ610" s="376"/>
      <c r="AR610" s="376"/>
    </row>
    <row r="611" spans="2:44" outlineLevel="1">
      <c r="B611" s="19" t="s">
        <v>88</v>
      </c>
      <c r="C611" s="5" t="s">
        <v>163</v>
      </c>
      <c r="D611" s="17" t="s">
        <v>384</v>
      </c>
      <c r="E611" s="109" t="str">
        <f>EDID!E208</f>
        <v>A6</v>
      </c>
      <c r="F611" s="179"/>
      <c r="G611"/>
      <c r="H611"/>
      <c r="I611"/>
      <c r="J611"/>
      <c r="K611"/>
      <c r="L611"/>
      <c r="M611"/>
      <c r="N611"/>
      <c r="O611"/>
      <c r="P611"/>
      <c r="Q611"/>
      <c r="R611"/>
      <c r="S611"/>
      <c r="T611"/>
      <c r="U611"/>
      <c r="V611"/>
      <c r="W611"/>
      <c r="X611" s="376"/>
      <c r="Y611" s="376"/>
      <c r="Z611" s="376"/>
      <c r="AA611" s="376"/>
      <c r="AB611" s="376"/>
      <c r="AC611" s="376"/>
      <c r="AD611" s="376"/>
      <c r="AE611" s="376"/>
      <c r="AF611" s="376"/>
      <c r="AG611" s="376"/>
      <c r="AH611" s="376"/>
      <c r="AI611" s="376"/>
      <c r="AJ611" s="376"/>
      <c r="AK611" s="376"/>
      <c r="AL611" s="376"/>
      <c r="AM611" s="376"/>
      <c r="AN611" s="376"/>
      <c r="AO611" s="376"/>
      <c r="AP611" s="376"/>
      <c r="AQ611" s="376"/>
      <c r="AR611" s="376"/>
    </row>
    <row r="612" spans="2:44" outlineLevel="1">
      <c r="B612" s="19" t="s">
        <v>88</v>
      </c>
      <c r="C612" s="5" t="s">
        <v>163</v>
      </c>
      <c r="D612" s="17" t="s">
        <v>385</v>
      </c>
      <c r="E612" s="109" t="str">
        <f>EDID!E209</f>
        <v>00</v>
      </c>
      <c r="F612" s="179"/>
      <c r="G612"/>
      <c r="H612"/>
      <c r="I612"/>
      <c r="J612"/>
      <c r="K612"/>
      <c r="L612"/>
      <c r="M612"/>
      <c r="N612"/>
      <c r="O612"/>
      <c r="P612"/>
      <c r="Q612"/>
      <c r="R612"/>
      <c r="S612"/>
      <c r="T612"/>
      <c r="U612"/>
      <c r="V612"/>
      <c r="W612"/>
      <c r="X612" s="376"/>
      <c r="Y612" s="376"/>
      <c r="Z612" s="376"/>
      <c r="AA612" s="376"/>
      <c r="AB612" s="376"/>
      <c r="AC612" s="376"/>
      <c r="AD612" s="376"/>
      <c r="AE612" s="376"/>
      <c r="AF612" s="376"/>
      <c r="AG612" s="376"/>
      <c r="AH612" s="376"/>
      <c r="AI612" s="376"/>
      <c r="AJ612" s="376"/>
      <c r="AK612" s="376"/>
      <c r="AL612" s="376"/>
      <c r="AM612" s="376"/>
      <c r="AN612" s="376"/>
      <c r="AO612" s="376"/>
      <c r="AP612" s="376"/>
      <c r="AQ612" s="376"/>
      <c r="AR612" s="376"/>
    </row>
    <row r="613" spans="2:44" outlineLevel="1">
      <c r="B613" s="19" t="s">
        <v>88</v>
      </c>
      <c r="C613" s="5" t="s">
        <v>163</v>
      </c>
      <c r="D613" s="17" t="s">
        <v>386</v>
      </c>
      <c r="E613" s="109" t="str">
        <f>EDID!E210</f>
        <v>00</v>
      </c>
      <c r="F613" s="179"/>
      <c r="G613"/>
      <c r="H613"/>
      <c r="I613"/>
      <c r="J613"/>
      <c r="K613"/>
      <c r="L613"/>
      <c r="M613"/>
      <c r="N613"/>
      <c r="O613"/>
      <c r="P613"/>
      <c r="Q613"/>
      <c r="R613"/>
      <c r="S613"/>
      <c r="T613"/>
      <c r="U613"/>
      <c r="V613"/>
      <c r="W613"/>
      <c r="X613" s="376"/>
      <c r="Y613" s="376"/>
      <c r="Z613" s="376"/>
      <c r="AA613" s="376"/>
      <c r="AB613" s="376"/>
      <c r="AC613" s="376"/>
      <c r="AD613" s="376"/>
      <c r="AE613" s="376"/>
      <c r="AF613" s="376"/>
      <c r="AG613" s="376"/>
      <c r="AH613" s="376"/>
      <c r="AI613" s="376"/>
      <c r="AJ613" s="376"/>
      <c r="AK613" s="376"/>
      <c r="AL613" s="376"/>
      <c r="AM613" s="376"/>
      <c r="AN613" s="376"/>
      <c r="AO613" s="376"/>
      <c r="AP613" s="376"/>
      <c r="AQ613" s="376"/>
      <c r="AR613" s="376"/>
    </row>
    <row r="614" spans="2:44" outlineLevel="1">
      <c r="B614" s="19" t="s">
        <v>88</v>
      </c>
      <c r="C614" s="5" t="s">
        <v>163</v>
      </c>
      <c r="D614" s="17" t="s">
        <v>387</v>
      </c>
      <c r="E614" s="109" t="str">
        <f>EDID!E211</f>
        <v>18</v>
      </c>
      <c r="F614" s="179"/>
      <c r="G614"/>
      <c r="H614"/>
      <c r="I614"/>
      <c r="J614"/>
      <c r="K614"/>
      <c r="L614"/>
      <c r="M614"/>
      <c r="N614"/>
      <c r="O614"/>
      <c r="P614"/>
      <c r="Q614"/>
      <c r="R614"/>
      <c r="S614"/>
      <c r="T614"/>
      <c r="U614"/>
      <c r="V614"/>
      <c r="W614"/>
      <c r="X614" s="376"/>
      <c r="Y614" s="376"/>
      <c r="Z614" s="376"/>
      <c r="AA614" s="376"/>
      <c r="AB614" s="376"/>
      <c r="AC614" s="376"/>
      <c r="AD614" s="376"/>
      <c r="AE614" s="376"/>
      <c r="AF614" s="376"/>
      <c r="AG614" s="376"/>
      <c r="AH614" s="376"/>
      <c r="AI614" s="376"/>
      <c r="AJ614" s="376"/>
      <c r="AK614" s="376"/>
      <c r="AL614" s="376"/>
      <c r="AM614" s="376"/>
      <c r="AN614" s="376"/>
      <c r="AO614" s="376"/>
      <c r="AP614" s="376"/>
      <c r="AQ614" s="376"/>
      <c r="AR614" s="376"/>
    </row>
    <row r="615" spans="2:44" outlineLevel="1">
      <c r="B615" s="19" t="s">
        <v>88</v>
      </c>
      <c r="C615" s="5" t="s">
        <v>163</v>
      </c>
      <c r="D615" s="17" t="s">
        <v>388</v>
      </c>
      <c r="E615" s="109" t="str">
        <f>EDID!E212</f>
        <v>EC</v>
      </c>
      <c r="F615" s="179"/>
      <c r="G615"/>
      <c r="H615"/>
      <c r="I615"/>
      <c r="J615"/>
      <c r="K615"/>
      <c r="L615"/>
      <c r="M615"/>
      <c r="N615"/>
      <c r="O615"/>
      <c r="P615"/>
      <c r="Q615"/>
      <c r="R615"/>
      <c r="S615"/>
      <c r="T615"/>
      <c r="U615"/>
      <c r="V615"/>
      <c r="W615"/>
      <c r="X615" s="376"/>
      <c r="Y615" s="376"/>
      <c r="Z615" s="376"/>
      <c r="AA615" s="376"/>
      <c r="AB615" s="376"/>
      <c r="AC615" s="376"/>
      <c r="AD615" s="376"/>
      <c r="AE615" s="376"/>
      <c r="AF615" s="376"/>
      <c r="AG615" s="376"/>
      <c r="AH615" s="376"/>
      <c r="AI615" s="376"/>
      <c r="AJ615" s="376"/>
      <c r="AK615" s="376"/>
      <c r="AL615" s="376"/>
      <c r="AM615" s="376"/>
      <c r="AN615" s="376"/>
      <c r="AO615" s="376"/>
      <c r="AP615" s="376"/>
      <c r="AQ615" s="376"/>
      <c r="AR615" s="376"/>
    </row>
    <row r="616" spans="2:44" outlineLevel="1">
      <c r="B616" s="19" t="s">
        <v>88</v>
      </c>
      <c r="C616" s="5" t="s">
        <v>163</v>
      </c>
      <c r="D616" s="17" t="s">
        <v>389</v>
      </c>
      <c r="E616" s="109" t="str">
        <f>EDID!E213</f>
        <v>68</v>
      </c>
      <c r="F616" s="179"/>
      <c r="G616"/>
      <c r="H616"/>
      <c r="I616"/>
      <c r="J616"/>
      <c r="K616"/>
      <c r="L616"/>
      <c r="M616"/>
      <c r="N616"/>
      <c r="O616"/>
      <c r="P616"/>
      <c r="Q616"/>
      <c r="R616"/>
      <c r="S616"/>
      <c r="T616"/>
      <c r="U616"/>
      <c r="V616"/>
      <c r="W616"/>
      <c r="X616" s="376"/>
      <c r="Y616" s="376"/>
      <c r="Z616" s="376"/>
      <c r="AA616" s="376"/>
      <c r="AB616" s="376"/>
      <c r="AC616" s="376"/>
      <c r="AD616" s="376"/>
      <c r="AE616" s="376"/>
      <c r="AF616" s="376"/>
      <c r="AG616" s="376"/>
      <c r="AH616" s="376"/>
      <c r="AI616" s="376"/>
      <c r="AJ616" s="376"/>
      <c r="AK616" s="376"/>
      <c r="AL616" s="376"/>
      <c r="AM616" s="376"/>
      <c r="AN616" s="376"/>
      <c r="AO616" s="376"/>
      <c r="AP616" s="376"/>
      <c r="AQ616" s="376"/>
      <c r="AR616" s="376"/>
    </row>
    <row r="617" spans="2:44" outlineLevel="1">
      <c r="B617" s="19" t="s">
        <v>88</v>
      </c>
      <c r="C617" s="5" t="s">
        <v>163</v>
      </c>
      <c r="D617" s="17" t="s">
        <v>390</v>
      </c>
      <c r="E617" s="109" t="str">
        <f>EDID!E214</f>
        <v>00</v>
      </c>
      <c r="F617" s="179"/>
      <c r="G617"/>
      <c r="H617"/>
      <c r="I617"/>
      <c r="J617"/>
      <c r="K617"/>
      <c r="L617"/>
      <c r="M617"/>
      <c r="N617"/>
      <c r="O617"/>
      <c r="P617"/>
      <c r="Q617"/>
      <c r="R617"/>
      <c r="S617"/>
      <c r="T617"/>
      <c r="U617"/>
      <c r="V617"/>
      <c r="W617"/>
      <c r="X617" s="376"/>
      <c r="Y617" s="376"/>
      <c r="Z617" s="376"/>
      <c r="AA617" s="376"/>
      <c r="AB617" s="376"/>
      <c r="AC617" s="376"/>
      <c r="AD617" s="376"/>
      <c r="AE617" s="376"/>
      <c r="AF617" s="376"/>
      <c r="AG617" s="376"/>
      <c r="AH617" s="376"/>
      <c r="AI617" s="376"/>
      <c r="AJ617" s="376"/>
      <c r="AK617" s="376"/>
      <c r="AL617" s="376"/>
      <c r="AM617" s="376"/>
      <c r="AN617" s="376"/>
      <c r="AO617" s="376"/>
      <c r="AP617" s="376"/>
      <c r="AQ617" s="376"/>
      <c r="AR617" s="376"/>
    </row>
    <row r="618" spans="2:44" outlineLevel="1">
      <c r="B618" s="19" t="s">
        <v>88</v>
      </c>
      <c r="C618" s="5" t="s">
        <v>163</v>
      </c>
      <c r="D618" s="17" t="s">
        <v>391</v>
      </c>
      <c r="E618" s="109" t="str">
        <f>EDID!E215</f>
        <v>A0</v>
      </c>
      <c r="F618" s="179"/>
      <c r="G618"/>
      <c r="H618"/>
      <c r="I618"/>
      <c r="J618"/>
      <c r="K618"/>
      <c r="L618"/>
      <c r="M618"/>
      <c r="N618"/>
      <c r="O618"/>
      <c r="P618"/>
      <c r="Q618"/>
      <c r="R618"/>
      <c r="S618"/>
      <c r="T618"/>
      <c r="U618"/>
      <c r="V618"/>
      <c r="W618"/>
      <c r="X618" s="376"/>
      <c r="Y618" s="376"/>
      <c r="Z618" s="376"/>
      <c r="AA618" s="376"/>
      <c r="AB618" s="376"/>
      <c r="AC618" s="376"/>
      <c r="AD618" s="376"/>
      <c r="AE618" s="376"/>
      <c r="AF618" s="376"/>
      <c r="AG618" s="376"/>
      <c r="AH618" s="376"/>
      <c r="AI618" s="376"/>
      <c r="AJ618" s="376"/>
      <c r="AK618" s="376"/>
      <c r="AL618" s="376"/>
      <c r="AM618" s="376"/>
      <c r="AN618" s="376"/>
      <c r="AO618" s="376"/>
      <c r="AP618" s="376"/>
      <c r="AQ618" s="376"/>
      <c r="AR618" s="376"/>
    </row>
    <row r="619" spans="2:44" outlineLevel="1">
      <c r="B619" s="19" t="s">
        <v>88</v>
      </c>
      <c r="C619" s="5" t="s">
        <v>163</v>
      </c>
      <c r="D619" s="17" t="s">
        <v>392</v>
      </c>
      <c r="E619" s="109" t="str">
        <f>EDID!E216</f>
        <v>A0</v>
      </c>
      <c r="F619" s="179"/>
      <c r="G619"/>
      <c r="H619"/>
      <c r="I619"/>
      <c r="J619"/>
      <c r="K619"/>
      <c r="L619"/>
      <c r="M619"/>
      <c r="N619"/>
      <c r="O619"/>
      <c r="P619"/>
      <c r="Q619"/>
      <c r="R619"/>
      <c r="S619"/>
      <c r="T619"/>
      <c r="U619"/>
      <c r="V619"/>
      <c r="W619"/>
      <c r="X619" s="376"/>
      <c r="Y619" s="376"/>
      <c r="Z619" s="376"/>
      <c r="AA619" s="376"/>
      <c r="AB619" s="376"/>
      <c r="AC619" s="376"/>
      <c r="AD619" s="376"/>
      <c r="AE619" s="376"/>
      <c r="AF619" s="376"/>
      <c r="AG619" s="376"/>
      <c r="AH619" s="376"/>
      <c r="AI619" s="376"/>
      <c r="AJ619" s="376"/>
      <c r="AK619" s="376"/>
      <c r="AL619" s="376"/>
      <c r="AM619" s="376"/>
      <c r="AN619" s="376"/>
      <c r="AO619" s="376"/>
      <c r="AP619" s="376"/>
      <c r="AQ619" s="376"/>
      <c r="AR619" s="376"/>
    </row>
    <row r="620" spans="2:44" outlineLevel="1">
      <c r="B620" s="19" t="s">
        <v>88</v>
      </c>
      <c r="C620" s="5" t="s">
        <v>163</v>
      </c>
      <c r="D620" s="17" t="s">
        <v>393</v>
      </c>
      <c r="E620" s="109" t="str">
        <f>EDID!E217</f>
        <v>40</v>
      </c>
      <c r="F620" s="179"/>
      <c r="G620"/>
      <c r="H620"/>
      <c r="I620"/>
      <c r="J620"/>
      <c r="K620"/>
      <c r="L620"/>
      <c r="M620"/>
      <c r="N620"/>
      <c r="O620"/>
      <c r="P620"/>
      <c r="Q620"/>
      <c r="R620"/>
      <c r="S620"/>
      <c r="T620"/>
      <c r="U620"/>
      <c r="V620"/>
      <c r="W620"/>
      <c r="X620" s="376"/>
      <c r="Y620" s="376"/>
      <c r="Z620" s="376"/>
      <c r="AA620" s="376"/>
      <c r="AB620" s="376"/>
      <c r="AC620" s="376"/>
      <c r="AD620" s="376"/>
      <c r="AE620" s="376"/>
      <c r="AF620" s="376"/>
      <c r="AG620" s="376"/>
      <c r="AH620" s="376"/>
      <c r="AI620" s="376"/>
      <c r="AJ620" s="376"/>
      <c r="AK620" s="376"/>
      <c r="AL620" s="376"/>
      <c r="AM620" s="376"/>
      <c r="AN620" s="376"/>
      <c r="AO620" s="376"/>
      <c r="AP620" s="376"/>
      <c r="AQ620" s="376"/>
      <c r="AR620" s="376"/>
    </row>
    <row r="621" spans="2:44" outlineLevel="1">
      <c r="B621" s="19" t="s">
        <v>88</v>
      </c>
      <c r="C621" s="5" t="s">
        <v>163</v>
      </c>
      <c r="D621" s="17" t="s">
        <v>394</v>
      </c>
      <c r="E621" s="109" t="str">
        <f>EDID!E218</f>
        <v>2E</v>
      </c>
      <c r="F621" s="179"/>
      <c r="G621"/>
      <c r="H621"/>
      <c r="I621"/>
      <c r="J621"/>
      <c r="K621"/>
      <c r="L621"/>
      <c r="M621"/>
      <c r="N621"/>
      <c r="O621"/>
      <c r="P621"/>
      <c r="Q621"/>
      <c r="R621"/>
      <c r="S621"/>
      <c r="T621"/>
      <c r="U621"/>
      <c r="V621"/>
      <c r="W621"/>
      <c r="X621" s="376"/>
      <c r="Y621" s="376"/>
      <c r="Z621" s="376"/>
      <c r="AA621" s="376"/>
      <c r="AB621" s="376"/>
      <c r="AC621" s="376"/>
      <c r="AD621" s="376"/>
      <c r="AE621" s="376"/>
      <c r="AF621" s="376"/>
      <c r="AG621" s="376"/>
      <c r="AH621" s="376"/>
      <c r="AI621" s="376"/>
      <c r="AJ621" s="376"/>
      <c r="AK621" s="376"/>
      <c r="AL621" s="376"/>
      <c r="AM621" s="376"/>
      <c r="AN621" s="376"/>
      <c r="AO621" s="376"/>
      <c r="AP621" s="376"/>
      <c r="AQ621" s="376"/>
      <c r="AR621" s="376"/>
    </row>
    <row r="622" spans="2:44" outlineLevel="1">
      <c r="B622" s="19" t="s">
        <v>88</v>
      </c>
      <c r="C622" s="5" t="s">
        <v>163</v>
      </c>
      <c r="D622" s="17" t="s">
        <v>395</v>
      </c>
      <c r="E622" s="109" t="str">
        <f>EDID!E219</f>
        <v>60</v>
      </c>
      <c r="F622" s="179"/>
      <c r="G622"/>
      <c r="H622"/>
      <c r="I622"/>
      <c r="J622"/>
      <c r="K622"/>
      <c r="L622"/>
      <c r="M622"/>
      <c r="N622"/>
      <c r="O622"/>
      <c r="P622"/>
      <c r="Q622"/>
      <c r="R622"/>
      <c r="S622"/>
      <c r="T622"/>
      <c r="U622"/>
      <c r="V622"/>
      <c r="W622"/>
      <c r="X622" s="376"/>
      <c r="Y622" s="376"/>
      <c r="Z622" s="376"/>
      <c r="AA622" s="376"/>
      <c r="AB622" s="376"/>
      <c r="AC622" s="376"/>
      <c r="AD622" s="376"/>
      <c r="AE622" s="376"/>
      <c r="AF622" s="376"/>
      <c r="AG622" s="376"/>
      <c r="AH622" s="376"/>
      <c r="AI622" s="376"/>
      <c r="AJ622" s="376"/>
      <c r="AK622" s="376"/>
      <c r="AL622" s="376"/>
      <c r="AM622" s="376"/>
      <c r="AN622" s="376"/>
      <c r="AO622" s="376"/>
      <c r="AP622" s="376"/>
      <c r="AQ622" s="376"/>
      <c r="AR622" s="376"/>
    </row>
    <row r="623" spans="2:44" outlineLevel="1">
      <c r="B623" s="19" t="s">
        <v>88</v>
      </c>
      <c r="C623" s="5" t="s">
        <v>163</v>
      </c>
      <c r="D623" s="17" t="s">
        <v>396</v>
      </c>
      <c r="E623" s="109" t="str">
        <f>EDID!E220</f>
        <v>30</v>
      </c>
      <c r="F623" s="179"/>
      <c r="G623"/>
      <c r="H623"/>
      <c r="I623"/>
      <c r="J623"/>
      <c r="K623"/>
      <c r="L623"/>
      <c r="M623"/>
      <c r="N623"/>
      <c r="O623"/>
      <c r="P623"/>
      <c r="Q623"/>
      <c r="R623"/>
      <c r="S623"/>
      <c r="T623"/>
      <c r="U623"/>
      <c r="V623"/>
      <c r="W623"/>
      <c r="X623" s="376"/>
      <c r="Y623" s="376"/>
      <c r="Z623" s="376"/>
      <c r="AA623" s="376"/>
      <c r="AB623" s="376"/>
      <c r="AC623" s="376"/>
      <c r="AD623" s="376"/>
      <c r="AE623" s="376"/>
      <c r="AF623" s="376"/>
      <c r="AG623" s="376"/>
      <c r="AH623" s="376"/>
      <c r="AI623" s="376"/>
      <c r="AJ623" s="376"/>
      <c r="AK623" s="376"/>
      <c r="AL623" s="376"/>
      <c r="AM623" s="376"/>
      <c r="AN623" s="376"/>
      <c r="AO623" s="376"/>
      <c r="AP623" s="376"/>
      <c r="AQ623" s="376"/>
      <c r="AR623" s="376"/>
    </row>
    <row r="624" spans="2:44" outlineLevel="1">
      <c r="B624" s="19" t="s">
        <v>88</v>
      </c>
      <c r="C624" s="5" t="s">
        <v>163</v>
      </c>
      <c r="D624" s="17" t="s">
        <v>397</v>
      </c>
      <c r="E624" s="109" t="str">
        <f>EDID!E221</f>
        <v>20</v>
      </c>
      <c r="F624" s="179"/>
      <c r="G624"/>
      <c r="H624"/>
      <c r="I624"/>
      <c r="J624"/>
      <c r="K624"/>
      <c r="L624"/>
      <c r="M624"/>
      <c r="N624"/>
      <c r="O624"/>
      <c r="P624"/>
      <c r="Q624"/>
      <c r="R624"/>
      <c r="S624"/>
      <c r="T624"/>
      <c r="U624"/>
      <c r="V624"/>
      <c r="W624"/>
      <c r="X624" s="376"/>
      <c r="Y624" s="376"/>
      <c r="Z624" s="376"/>
      <c r="AA624" s="376"/>
      <c r="AB624" s="376"/>
      <c r="AC624" s="376"/>
      <c r="AD624" s="376"/>
      <c r="AE624" s="376"/>
      <c r="AF624" s="376"/>
      <c r="AG624" s="376"/>
      <c r="AH624" s="376"/>
      <c r="AI624" s="376"/>
      <c r="AJ624" s="376"/>
      <c r="AK624" s="376"/>
      <c r="AL624" s="376"/>
      <c r="AM624" s="376"/>
      <c r="AN624" s="376"/>
      <c r="AO624" s="376"/>
      <c r="AP624" s="376"/>
      <c r="AQ624" s="376"/>
      <c r="AR624" s="376"/>
    </row>
    <row r="625" spans="2:44" outlineLevel="1">
      <c r="B625" s="19" t="s">
        <v>88</v>
      </c>
      <c r="C625" s="5" t="s">
        <v>163</v>
      </c>
      <c r="D625" s="17" t="s">
        <v>398</v>
      </c>
      <c r="E625" s="109" t="str">
        <f>EDID!E222</f>
        <v>36</v>
      </c>
      <c r="F625" s="179"/>
      <c r="G625"/>
      <c r="H625"/>
      <c r="I625"/>
      <c r="J625"/>
      <c r="K625"/>
      <c r="L625"/>
      <c r="M625"/>
      <c r="N625"/>
      <c r="O625"/>
      <c r="P625"/>
      <c r="Q625"/>
      <c r="R625"/>
      <c r="S625"/>
      <c r="T625"/>
      <c r="U625"/>
      <c r="V625"/>
      <c r="W625"/>
      <c r="X625" s="376"/>
      <c r="Y625" s="376"/>
      <c r="Z625" s="376"/>
      <c r="AA625" s="376"/>
      <c r="AB625" s="376"/>
      <c r="AC625" s="376"/>
      <c r="AD625" s="376"/>
      <c r="AE625" s="376"/>
      <c r="AF625" s="376"/>
      <c r="AG625" s="376"/>
      <c r="AH625" s="376"/>
      <c r="AI625" s="376"/>
      <c r="AJ625" s="376"/>
      <c r="AK625" s="376"/>
      <c r="AL625" s="376"/>
      <c r="AM625" s="376"/>
      <c r="AN625" s="376"/>
      <c r="AO625" s="376"/>
      <c r="AP625" s="376"/>
      <c r="AQ625" s="376"/>
      <c r="AR625" s="376"/>
    </row>
    <row r="626" spans="2:44" outlineLevel="1">
      <c r="B626" s="19" t="s">
        <v>88</v>
      </c>
      <c r="C626" s="5" t="s">
        <v>163</v>
      </c>
      <c r="D626" s="17" t="s">
        <v>399</v>
      </c>
      <c r="E626" s="109" t="str">
        <f>EDID!E223</f>
        <v>00</v>
      </c>
      <c r="F626" s="179"/>
      <c r="G626"/>
      <c r="H626"/>
      <c r="I626"/>
      <c r="J626"/>
      <c r="K626"/>
      <c r="L626"/>
      <c r="M626"/>
      <c r="N626"/>
      <c r="O626"/>
      <c r="P626"/>
      <c r="Q626"/>
      <c r="R626"/>
      <c r="S626"/>
      <c r="T626"/>
      <c r="U626"/>
      <c r="V626"/>
      <c r="W626"/>
      <c r="X626" s="376"/>
      <c r="Y626" s="376"/>
      <c r="Z626" s="376"/>
      <c r="AA626" s="376"/>
      <c r="AB626" s="376"/>
      <c r="AC626" s="376"/>
      <c r="AD626" s="376"/>
      <c r="AE626" s="376"/>
      <c r="AF626" s="376"/>
      <c r="AG626" s="376"/>
      <c r="AH626" s="376"/>
      <c r="AI626" s="376"/>
      <c r="AJ626" s="376"/>
      <c r="AK626" s="376"/>
      <c r="AL626" s="376"/>
      <c r="AM626" s="376"/>
      <c r="AN626" s="376"/>
      <c r="AO626" s="376"/>
      <c r="AP626" s="376"/>
      <c r="AQ626" s="376"/>
      <c r="AR626" s="376"/>
    </row>
    <row r="627" spans="2:44" outlineLevel="1">
      <c r="B627" s="19" t="s">
        <v>88</v>
      </c>
      <c r="C627" s="5" t="s">
        <v>163</v>
      </c>
      <c r="D627" s="17" t="s">
        <v>400</v>
      </c>
      <c r="E627" s="109" t="str">
        <f>EDID!E224</f>
        <v>00</v>
      </c>
      <c r="F627" s="179"/>
      <c r="G627"/>
      <c r="H627"/>
      <c r="I627"/>
      <c r="J627"/>
      <c r="K627"/>
      <c r="L627"/>
      <c r="M627"/>
      <c r="N627"/>
      <c r="O627"/>
      <c r="P627"/>
      <c r="Q627"/>
      <c r="R627"/>
      <c r="S627"/>
      <c r="T627"/>
      <c r="U627"/>
      <c r="V627"/>
      <c r="W627"/>
      <c r="X627" s="376"/>
      <c r="Y627" s="376"/>
      <c r="Z627" s="376"/>
      <c r="AA627" s="376"/>
      <c r="AB627" s="376"/>
      <c r="AC627" s="376"/>
      <c r="AD627" s="376"/>
      <c r="AE627" s="376"/>
      <c r="AF627" s="376"/>
      <c r="AG627" s="376"/>
      <c r="AH627" s="376"/>
      <c r="AI627" s="376"/>
      <c r="AJ627" s="376"/>
      <c r="AK627" s="376"/>
      <c r="AL627" s="376"/>
      <c r="AM627" s="376"/>
      <c r="AN627" s="376"/>
      <c r="AO627" s="376"/>
      <c r="AP627" s="376"/>
      <c r="AQ627" s="376"/>
      <c r="AR627" s="376"/>
    </row>
    <row r="628" spans="2:44" outlineLevel="1">
      <c r="B628" s="19" t="s">
        <v>88</v>
      </c>
      <c r="C628" s="5" t="s">
        <v>163</v>
      </c>
      <c r="D628" s="17" t="s">
        <v>401</v>
      </c>
      <c r="E628" s="109" t="str">
        <f>EDID!E225</f>
        <v>40</v>
      </c>
      <c r="F628" s="179"/>
      <c r="G628"/>
      <c r="H628"/>
      <c r="I628"/>
      <c r="J628"/>
      <c r="K628"/>
      <c r="L628"/>
      <c r="M628"/>
      <c r="N628"/>
      <c r="O628"/>
      <c r="P628"/>
      <c r="Q628"/>
      <c r="R628"/>
      <c r="S628"/>
      <c r="T628"/>
      <c r="U628"/>
      <c r="V628"/>
      <c r="W628"/>
      <c r="X628" s="376"/>
      <c r="Y628" s="376"/>
      <c r="Z628" s="376"/>
      <c r="AA628" s="376"/>
      <c r="AB628" s="376"/>
      <c r="AC628" s="376"/>
      <c r="AD628" s="376"/>
      <c r="AE628" s="376"/>
      <c r="AF628" s="376"/>
      <c r="AG628" s="376"/>
      <c r="AH628" s="376"/>
      <c r="AI628" s="376"/>
      <c r="AJ628" s="376"/>
      <c r="AK628" s="376"/>
      <c r="AL628" s="376"/>
      <c r="AM628" s="376"/>
      <c r="AN628" s="376"/>
      <c r="AO628" s="376"/>
      <c r="AP628" s="376"/>
      <c r="AQ628" s="376"/>
      <c r="AR628" s="376"/>
    </row>
    <row r="629" spans="2:44" outlineLevel="1">
      <c r="B629" s="19" t="s">
        <v>88</v>
      </c>
      <c r="C629" s="5" t="s">
        <v>163</v>
      </c>
      <c r="D629" s="17" t="s">
        <v>402</v>
      </c>
      <c r="E629" s="109" t="str">
        <f>EDID!E226</f>
        <v>A6</v>
      </c>
      <c r="F629" s="179"/>
      <c r="G629"/>
      <c r="H629"/>
      <c r="I629"/>
      <c r="J629"/>
      <c r="K629"/>
      <c r="L629"/>
      <c r="M629"/>
      <c r="N629"/>
      <c r="O629"/>
      <c r="P629"/>
      <c r="Q629"/>
      <c r="R629"/>
      <c r="S629"/>
      <c r="T629"/>
      <c r="U629"/>
      <c r="V629"/>
      <c r="W629"/>
      <c r="X629" s="376"/>
      <c r="Y629" s="376"/>
      <c r="Z629" s="376"/>
      <c r="AA629" s="376"/>
      <c r="AB629" s="376"/>
      <c r="AC629" s="376"/>
      <c r="AD629" s="376"/>
      <c r="AE629" s="376"/>
      <c r="AF629" s="376"/>
      <c r="AG629" s="376"/>
      <c r="AH629" s="376"/>
      <c r="AI629" s="376"/>
      <c r="AJ629" s="376"/>
      <c r="AK629" s="376"/>
      <c r="AL629" s="376"/>
      <c r="AM629" s="376"/>
      <c r="AN629" s="376"/>
      <c r="AO629" s="376"/>
      <c r="AP629" s="376"/>
      <c r="AQ629" s="376"/>
      <c r="AR629" s="376"/>
    </row>
    <row r="630" spans="2:44" outlineLevel="1">
      <c r="B630" s="19" t="s">
        <v>88</v>
      </c>
      <c r="C630" s="5" t="s">
        <v>163</v>
      </c>
      <c r="D630" s="17" t="s">
        <v>403</v>
      </c>
      <c r="E630" s="109" t="str">
        <f>EDID!E227</f>
        <v>00</v>
      </c>
      <c r="F630" s="179"/>
      <c r="G630"/>
      <c r="H630"/>
      <c r="I630"/>
      <c r="J630"/>
      <c r="K630"/>
      <c r="L630"/>
      <c r="M630"/>
      <c r="N630"/>
      <c r="O630"/>
      <c r="P630"/>
      <c r="Q630"/>
      <c r="R630"/>
      <c r="S630"/>
      <c r="T630"/>
      <c r="U630"/>
      <c r="V630"/>
      <c r="W630"/>
      <c r="X630" s="376"/>
      <c r="Y630" s="376"/>
      <c r="Z630" s="376"/>
      <c r="AA630" s="376"/>
      <c r="AB630" s="376"/>
      <c r="AC630" s="376"/>
      <c r="AD630" s="376"/>
      <c r="AE630" s="376"/>
      <c r="AF630" s="376"/>
      <c r="AG630" s="376"/>
      <c r="AH630" s="376"/>
      <c r="AI630" s="376"/>
      <c r="AJ630" s="376"/>
      <c r="AK630" s="376"/>
      <c r="AL630" s="376"/>
      <c r="AM630" s="376"/>
      <c r="AN630" s="376"/>
      <c r="AO630" s="376"/>
      <c r="AP630" s="376"/>
      <c r="AQ630" s="376"/>
      <c r="AR630" s="376"/>
    </row>
    <row r="631" spans="2:44" outlineLevel="1">
      <c r="B631" s="19" t="s">
        <v>88</v>
      </c>
      <c r="C631" s="5" t="s">
        <v>163</v>
      </c>
      <c r="D631" s="17" t="s">
        <v>404</v>
      </c>
      <c r="E631" s="109" t="str">
        <f>EDID!E228</f>
        <v>00</v>
      </c>
      <c r="F631" s="179"/>
      <c r="G631"/>
      <c r="H631"/>
      <c r="I631"/>
      <c r="J631"/>
      <c r="K631"/>
      <c r="L631"/>
      <c r="M631"/>
      <c r="N631"/>
      <c r="O631"/>
      <c r="P631"/>
      <c r="Q631"/>
      <c r="R631"/>
      <c r="S631"/>
      <c r="T631"/>
      <c r="U631"/>
      <c r="V631"/>
      <c r="W631"/>
      <c r="X631" s="376"/>
      <c r="Y631" s="376"/>
      <c r="Z631" s="376"/>
      <c r="AA631" s="376"/>
      <c r="AB631" s="376"/>
      <c r="AC631" s="376"/>
      <c r="AD631" s="376"/>
      <c r="AE631" s="376"/>
      <c r="AF631" s="376"/>
      <c r="AG631" s="376"/>
      <c r="AH631" s="376"/>
      <c r="AI631" s="376"/>
      <c r="AJ631" s="376"/>
      <c r="AK631" s="376"/>
      <c r="AL631" s="376"/>
      <c r="AM631" s="376"/>
      <c r="AN631" s="376"/>
      <c r="AO631" s="376"/>
      <c r="AP631" s="376"/>
      <c r="AQ631" s="376"/>
      <c r="AR631" s="376"/>
    </row>
    <row r="632" spans="2:44" outlineLevel="1">
      <c r="B632" s="19" t="s">
        <v>88</v>
      </c>
      <c r="C632" s="5" t="s">
        <v>163</v>
      </c>
      <c r="D632" s="17" t="s">
        <v>405</v>
      </c>
      <c r="E632" s="109" t="str">
        <f>EDID!E229</f>
        <v>18</v>
      </c>
      <c r="F632" s="179"/>
      <c r="G632"/>
      <c r="H632"/>
      <c r="I632"/>
      <c r="J632"/>
      <c r="K632"/>
      <c r="L632"/>
      <c r="M632"/>
      <c r="N632"/>
      <c r="O632"/>
      <c r="P632"/>
      <c r="Q632"/>
      <c r="R632"/>
      <c r="S632"/>
      <c r="T632"/>
      <c r="U632"/>
      <c r="V632"/>
      <c r="W632"/>
      <c r="X632" s="376"/>
      <c r="Y632" s="376"/>
      <c r="Z632" s="376"/>
      <c r="AA632" s="376"/>
      <c r="AB632" s="376"/>
      <c r="AC632" s="376"/>
      <c r="AD632" s="376"/>
      <c r="AE632" s="376"/>
      <c r="AF632" s="376"/>
      <c r="AG632" s="376"/>
      <c r="AH632" s="376"/>
      <c r="AI632" s="376"/>
      <c r="AJ632" s="376"/>
      <c r="AK632" s="376"/>
      <c r="AL632" s="376"/>
      <c r="AM632" s="376"/>
      <c r="AN632" s="376"/>
      <c r="AO632" s="376"/>
      <c r="AP632" s="376"/>
      <c r="AQ632" s="376"/>
      <c r="AR632" s="376"/>
    </row>
    <row r="633" spans="2:44" outlineLevel="1">
      <c r="B633" s="19" t="s">
        <v>88</v>
      </c>
      <c r="C633" s="5" t="s">
        <v>163</v>
      </c>
      <c r="D633" s="17" t="s">
        <v>406</v>
      </c>
      <c r="E633" s="109" t="str">
        <f>EDID!E230</f>
        <v>00</v>
      </c>
      <c r="F633" s="179"/>
      <c r="G633"/>
      <c r="H633"/>
      <c r="I633"/>
      <c r="J633"/>
      <c r="K633"/>
      <c r="L633"/>
      <c r="M633"/>
      <c r="N633"/>
      <c r="O633"/>
      <c r="P633"/>
      <c r="Q633"/>
      <c r="R633"/>
      <c r="S633"/>
      <c r="T633"/>
      <c r="U633"/>
      <c r="V633"/>
      <c r="W633"/>
      <c r="X633" s="376"/>
      <c r="Y633" s="376"/>
      <c r="Z633" s="376"/>
      <c r="AA633" s="376"/>
      <c r="AB633" s="376"/>
      <c r="AC633" s="376"/>
      <c r="AD633" s="376"/>
      <c r="AE633" s="376"/>
      <c r="AF633" s="376"/>
      <c r="AG633" s="376"/>
      <c r="AH633" s="376"/>
      <c r="AI633" s="376"/>
      <c r="AJ633" s="376"/>
      <c r="AK633" s="376"/>
      <c r="AL633" s="376"/>
      <c r="AM633" s="376"/>
      <c r="AN633" s="376"/>
      <c r="AO633" s="376"/>
      <c r="AP633" s="376"/>
      <c r="AQ633" s="376"/>
      <c r="AR633" s="376"/>
    </row>
    <row r="634" spans="2:44" outlineLevel="1">
      <c r="B634" s="19" t="s">
        <v>88</v>
      </c>
      <c r="C634" s="5" t="s">
        <v>163</v>
      </c>
      <c r="D634" s="17" t="s">
        <v>407</v>
      </c>
      <c r="E634" s="109" t="str">
        <f>EDID!E231</f>
        <v>00</v>
      </c>
      <c r="F634" s="179"/>
      <c r="G634"/>
      <c r="H634"/>
      <c r="I634"/>
      <c r="J634"/>
      <c r="K634"/>
      <c r="L634"/>
      <c r="M634"/>
      <c r="N634"/>
      <c r="O634"/>
      <c r="P634"/>
      <c r="Q634"/>
      <c r="R634"/>
      <c r="S634"/>
      <c r="T634"/>
      <c r="U634"/>
      <c r="V634"/>
      <c r="W634"/>
      <c r="X634" s="376"/>
      <c r="Y634" s="376"/>
      <c r="Z634" s="376"/>
      <c r="AA634" s="376"/>
      <c r="AB634" s="376"/>
      <c r="AC634" s="376"/>
      <c r="AD634" s="376"/>
      <c r="AE634" s="376"/>
      <c r="AF634" s="376"/>
      <c r="AG634" s="376"/>
      <c r="AH634" s="376"/>
      <c r="AI634" s="376"/>
      <c r="AJ634" s="376"/>
      <c r="AK634" s="376"/>
      <c r="AL634" s="376"/>
      <c r="AM634" s="376"/>
      <c r="AN634" s="376"/>
      <c r="AO634" s="376"/>
      <c r="AP634" s="376"/>
      <c r="AQ634" s="376"/>
      <c r="AR634" s="376"/>
    </row>
    <row r="635" spans="2:44" outlineLevel="1">
      <c r="B635" s="19" t="s">
        <v>88</v>
      </c>
      <c r="C635" s="5" t="s">
        <v>163</v>
      </c>
      <c r="D635" s="17" t="s">
        <v>408</v>
      </c>
      <c r="E635" s="109" t="str">
        <f>EDID!E232</f>
        <v>00</v>
      </c>
      <c r="F635" s="179"/>
      <c r="G635"/>
      <c r="H635"/>
      <c r="I635"/>
      <c r="J635"/>
      <c r="K635"/>
      <c r="L635"/>
      <c r="M635"/>
      <c r="N635"/>
      <c r="O635"/>
      <c r="P635"/>
      <c r="Q635"/>
      <c r="R635"/>
      <c r="S635"/>
      <c r="T635"/>
      <c r="U635"/>
      <c r="V635"/>
      <c r="W635"/>
      <c r="X635" s="376"/>
      <c r="Y635" s="376"/>
      <c r="Z635" s="376"/>
      <c r="AA635" s="376"/>
      <c r="AB635" s="376"/>
      <c r="AC635" s="376"/>
      <c r="AD635" s="376"/>
      <c r="AE635" s="376"/>
      <c r="AF635" s="376"/>
      <c r="AG635" s="376"/>
      <c r="AH635" s="376"/>
      <c r="AI635" s="376"/>
      <c r="AJ635" s="376"/>
      <c r="AK635" s="376"/>
      <c r="AL635" s="376"/>
      <c r="AM635" s="376"/>
      <c r="AN635" s="376"/>
      <c r="AO635" s="376"/>
      <c r="AP635" s="376"/>
      <c r="AQ635" s="376"/>
      <c r="AR635" s="376"/>
    </row>
    <row r="636" spans="2:44" outlineLevel="1">
      <c r="B636" s="19" t="s">
        <v>88</v>
      </c>
      <c r="C636" s="5" t="s">
        <v>163</v>
      </c>
      <c r="D636" s="17" t="s">
        <v>409</v>
      </c>
      <c r="E636" s="109" t="str">
        <f>EDID!E233</f>
        <v>00</v>
      </c>
      <c r="F636" s="179"/>
      <c r="G636"/>
      <c r="H636"/>
      <c r="I636"/>
      <c r="J636"/>
      <c r="K636"/>
      <c r="L636"/>
      <c r="M636"/>
      <c r="N636"/>
      <c r="O636"/>
      <c r="P636"/>
      <c r="Q636"/>
      <c r="R636"/>
      <c r="S636"/>
      <c r="T636"/>
      <c r="U636"/>
      <c r="V636"/>
      <c r="W636"/>
      <c r="X636" s="376"/>
      <c r="Y636" s="376"/>
      <c r="Z636" s="376"/>
      <c r="AA636" s="376"/>
      <c r="AB636" s="376"/>
      <c r="AC636" s="376"/>
      <c r="AD636" s="376"/>
      <c r="AE636" s="376"/>
      <c r="AF636" s="376"/>
      <c r="AG636" s="376"/>
      <c r="AH636" s="376"/>
      <c r="AI636" s="376"/>
      <c r="AJ636" s="376"/>
      <c r="AK636" s="376"/>
      <c r="AL636" s="376"/>
      <c r="AM636" s="376"/>
      <c r="AN636" s="376"/>
      <c r="AO636" s="376"/>
      <c r="AP636" s="376"/>
      <c r="AQ636" s="376"/>
      <c r="AR636" s="376"/>
    </row>
    <row r="637" spans="2:44" outlineLevel="1">
      <c r="B637" s="19" t="s">
        <v>88</v>
      </c>
      <c r="C637" s="5" t="s">
        <v>163</v>
      </c>
      <c r="D637" s="17" t="s">
        <v>410</v>
      </c>
      <c r="E637" s="109" t="str">
        <f>EDID!E234</f>
        <v>00</v>
      </c>
      <c r="F637" s="179"/>
      <c r="G637"/>
      <c r="H637"/>
      <c r="I637"/>
      <c r="J637"/>
      <c r="K637"/>
      <c r="L637"/>
      <c r="M637"/>
      <c r="N637"/>
      <c r="O637"/>
      <c r="P637"/>
      <c r="Q637"/>
      <c r="R637"/>
      <c r="S637"/>
      <c r="T637"/>
      <c r="U637"/>
      <c r="V637"/>
      <c r="W637"/>
      <c r="X637" s="376"/>
      <c r="Y637" s="376"/>
      <c r="Z637" s="376"/>
      <c r="AA637" s="376"/>
      <c r="AB637" s="376"/>
      <c r="AC637" s="376"/>
      <c r="AD637" s="376"/>
      <c r="AE637" s="376"/>
      <c r="AF637" s="376"/>
      <c r="AG637" s="376"/>
      <c r="AH637" s="376"/>
      <c r="AI637" s="376"/>
      <c r="AJ637" s="376"/>
      <c r="AK637" s="376"/>
      <c r="AL637" s="376"/>
      <c r="AM637" s="376"/>
      <c r="AN637" s="376"/>
      <c r="AO637" s="376"/>
      <c r="AP637" s="376"/>
      <c r="AQ637" s="376"/>
      <c r="AR637" s="376"/>
    </row>
    <row r="638" spans="2:44" outlineLevel="1">
      <c r="B638" s="19" t="s">
        <v>88</v>
      </c>
      <c r="C638" s="5" t="s">
        <v>163</v>
      </c>
      <c r="D638" s="17" t="s">
        <v>411</v>
      </c>
      <c r="E638" s="109" t="str">
        <f>EDID!E235</f>
        <v>00</v>
      </c>
      <c r="F638" s="179"/>
      <c r="G638"/>
      <c r="H638"/>
      <c r="I638"/>
      <c r="J638"/>
      <c r="K638"/>
      <c r="L638"/>
      <c r="M638"/>
      <c r="N638"/>
      <c r="O638"/>
      <c r="P638"/>
      <c r="Q638"/>
      <c r="R638"/>
      <c r="S638"/>
      <c r="T638"/>
      <c r="U638"/>
      <c r="V638"/>
      <c r="W638"/>
      <c r="X638" s="376"/>
      <c r="Y638" s="376"/>
      <c r="Z638" s="376"/>
      <c r="AA638" s="376"/>
      <c r="AB638" s="376"/>
      <c r="AC638" s="376"/>
      <c r="AD638" s="376"/>
      <c r="AE638" s="376"/>
      <c r="AF638" s="376"/>
      <c r="AG638" s="376"/>
      <c r="AH638" s="376"/>
      <c r="AI638" s="376"/>
      <c r="AJ638" s="376"/>
      <c r="AK638" s="376"/>
      <c r="AL638" s="376"/>
      <c r="AM638" s="376"/>
      <c r="AN638" s="376"/>
      <c r="AO638" s="376"/>
      <c r="AP638" s="376"/>
      <c r="AQ638" s="376"/>
      <c r="AR638" s="376"/>
    </row>
    <row r="639" spans="2:44" outlineLevel="1">
      <c r="B639" s="19" t="s">
        <v>88</v>
      </c>
      <c r="C639" s="5" t="s">
        <v>163</v>
      </c>
      <c r="D639" s="17" t="s">
        <v>412</v>
      </c>
      <c r="E639" s="109" t="str">
        <f>EDID!E236</f>
        <v>00</v>
      </c>
      <c r="F639" s="179"/>
      <c r="G639"/>
      <c r="H639"/>
      <c r="I639"/>
      <c r="J639"/>
      <c r="K639"/>
      <c r="L639"/>
      <c r="M639"/>
      <c r="N639"/>
      <c r="O639"/>
      <c r="P639"/>
      <c r="Q639"/>
      <c r="R639"/>
      <c r="S639"/>
      <c r="T639"/>
      <c r="U639"/>
      <c r="V639"/>
      <c r="W639"/>
      <c r="X639" s="376"/>
      <c r="Y639" s="376"/>
      <c r="Z639" s="376"/>
      <c r="AA639" s="376"/>
      <c r="AB639" s="376"/>
      <c r="AC639" s="376"/>
      <c r="AD639" s="376"/>
      <c r="AE639" s="376"/>
      <c r="AF639" s="376"/>
      <c r="AG639" s="376"/>
      <c r="AH639" s="376"/>
      <c r="AI639" s="376"/>
      <c r="AJ639" s="376"/>
      <c r="AK639" s="376"/>
      <c r="AL639" s="376"/>
      <c r="AM639" s="376"/>
      <c r="AN639" s="376"/>
      <c r="AO639" s="376"/>
      <c r="AP639" s="376"/>
      <c r="AQ639" s="376"/>
      <c r="AR639" s="376"/>
    </row>
    <row r="640" spans="2:44" outlineLevel="1">
      <c r="B640" s="19" t="s">
        <v>88</v>
      </c>
      <c r="C640" s="5" t="s">
        <v>163</v>
      </c>
      <c r="D640" s="17" t="s">
        <v>413</v>
      </c>
      <c r="E640" s="109" t="str">
        <f>EDID!E237</f>
        <v>00</v>
      </c>
      <c r="F640" s="179"/>
      <c r="G640"/>
      <c r="H640"/>
      <c r="I640"/>
      <c r="J640"/>
      <c r="K640"/>
      <c r="L640"/>
      <c r="M640"/>
      <c r="N640"/>
      <c r="O640"/>
      <c r="P640"/>
      <c r="Q640"/>
      <c r="R640"/>
      <c r="S640"/>
      <c r="T640"/>
      <c r="U640"/>
      <c r="V640"/>
      <c r="W640"/>
      <c r="X640" s="376"/>
      <c r="Y640" s="376"/>
      <c r="Z640" s="376"/>
      <c r="AA640" s="376"/>
      <c r="AB640" s="376"/>
      <c r="AC640" s="376"/>
      <c r="AD640" s="376"/>
      <c r="AE640" s="376"/>
      <c r="AF640" s="376"/>
      <c r="AG640" s="376"/>
      <c r="AH640" s="376"/>
      <c r="AI640" s="376"/>
      <c r="AJ640" s="376"/>
      <c r="AK640" s="376"/>
      <c r="AL640" s="376"/>
      <c r="AM640" s="376"/>
      <c r="AN640" s="376"/>
      <c r="AO640" s="376"/>
      <c r="AP640" s="376"/>
      <c r="AQ640" s="376"/>
      <c r="AR640" s="376"/>
    </row>
    <row r="641" spans="2:44" outlineLevel="1">
      <c r="B641" s="19" t="s">
        <v>88</v>
      </c>
      <c r="C641" s="5" t="s">
        <v>163</v>
      </c>
      <c r="D641" s="17" t="s">
        <v>414</v>
      </c>
      <c r="E641" s="109" t="str">
        <f>EDID!E238</f>
        <v>00</v>
      </c>
      <c r="F641" s="179"/>
      <c r="G641"/>
      <c r="H641"/>
      <c r="I641"/>
      <c r="J641"/>
      <c r="K641"/>
      <c r="L641"/>
      <c r="M641"/>
      <c r="N641"/>
      <c r="O641"/>
      <c r="P641"/>
      <c r="Q641"/>
      <c r="R641"/>
      <c r="S641"/>
      <c r="T641"/>
      <c r="U641"/>
      <c r="V641"/>
      <c r="W641"/>
      <c r="X641" s="376"/>
      <c r="Y641" s="376"/>
      <c r="Z641" s="376"/>
      <c r="AA641" s="376"/>
      <c r="AB641" s="376"/>
      <c r="AC641" s="376"/>
      <c r="AD641" s="376"/>
      <c r="AE641" s="376"/>
      <c r="AF641" s="376"/>
      <c r="AG641" s="376"/>
      <c r="AH641" s="376"/>
      <c r="AI641" s="376"/>
      <c r="AJ641" s="376"/>
      <c r="AK641" s="376"/>
      <c r="AL641" s="376"/>
      <c r="AM641" s="376"/>
      <c r="AN641" s="376"/>
      <c r="AO641" s="376"/>
      <c r="AP641" s="376"/>
      <c r="AQ641" s="376"/>
      <c r="AR641" s="376"/>
    </row>
    <row r="642" spans="2:44" outlineLevel="1">
      <c r="B642" s="19" t="s">
        <v>88</v>
      </c>
      <c r="C642" s="5" t="s">
        <v>163</v>
      </c>
      <c r="D642" s="17" t="s">
        <v>415</v>
      </c>
      <c r="E642" s="109" t="str">
        <f>EDID!E239</f>
        <v>00</v>
      </c>
      <c r="F642" s="179"/>
      <c r="G642"/>
      <c r="H642"/>
      <c r="I642"/>
      <c r="J642"/>
      <c r="K642"/>
      <c r="L642"/>
      <c r="M642"/>
      <c r="N642"/>
      <c r="O642"/>
      <c r="P642"/>
      <c r="Q642"/>
      <c r="R642"/>
      <c r="S642"/>
      <c r="T642"/>
      <c r="U642"/>
      <c r="V642"/>
      <c r="W642"/>
      <c r="X642" s="376"/>
      <c r="Y642" s="376"/>
      <c r="Z642" s="376"/>
      <c r="AA642" s="376"/>
      <c r="AB642" s="376"/>
      <c r="AC642" s="376"/>
      <c r="AD642" s="376"/>
      <c r="AE642" s="376"/>
      <c r="AF642" s="376"/>
      <c r="AG642" s="376"/>
      <c r="AH642" s="376"/>
      <c r="AI642" s="376"/>
      <c r="AJ642" s="376"/>
      <c r="AK642" s="376"/>
      <c r="AL642" s="376"/>
      <c r="AM642" s="376"/>
      <c r="AN642" s="376"/>
      <c r="AO642" s="376"/>
      <c r="AP642" s="376"/>
      <c r="AQ642" s="376"/>
      <c r="AR642" s="376"/>
    </row>
    <row r="643" spans="2:44" outlineLevel="1">
      <c r="B643" s="19" t="s">
        <v>88</v>
      </c>
      <c r="C643" s="5" t="s">
        <v>163</v>
      </c>
      <c r="D643" s="17" t="s">
        <v>416</v>
      </c>
      <c r="E643" s="109" t="str">
        <f>EDID!E240</f>
        <v>00</v>
      </c>
      <c r="F643" s="179"/>
      <c r="G643"/>
      <c r="H643"/>
      <c r="I643"/>
      <c r="J643"/>
      <c r="K643"/>
      <c r="L643"/>
      <c r="M643"/>
      <c r="N643"/>
      <c r="O643"/>
      <c r="P643"/>
      <c r="Q643"/>
      <c r="R643"/>
      <c r="S643"/>
      <c r="T643"/>
      <c r="U643"/>
      <c r="V643"/>
      <c r="W643"/>
      <c r="X643" s="376"/>
      <c r="Y643" s="376"/>
      <c r="Z643" s="376"/>
      <c r="AA643" s="376"/>
      <c r="AB643" s="376"/>
      <c r="AC643" s="376"/>
      <c r="AD643" s="376"/>
      <c r="AE643" s="376"/>
      <c r="AF643" s="376"/>
      <c r="AG643" s="376"/>
      <c r="AH643" s="376"/>
      <c r="AI643" s="376"/>
      <c r="AJ643" s="376"/>
      <c r="AK643" s="376"/>
      <c r="AL643" s="376"/>
      <c r="AM643" s="376"/>
      <c r="AN643" s="376"/>
      <c r="AO643" s="376"/>
      <c r="AP643" s="376"/>
      <c r="AQ643" s="376"/>
      <c r="AR643" s="376"/>
    </row>
    <row r="644" spans="2:44" outlineLevel="1">
      <c r="B644" s="19" t="s">
        <v>88</v>
      </c>
      <c r="C644" s="5" t="s">
        <v>163</v>
      </c>
      <c r="D644" s="17" t="s">
        <v>417</v>
      </c>
      <c r="E644" s="109" t="str">
        <f>EDID!E241</f>
        <v>00</v>
      </c>
      <c r="F644" s="179"/>
      <c r="G644"/>
      <c r="H644"/>
      <c r="I644"/>
      <c r="J644"/>
      <c r="K644"/>
      <c r="L644"/>
      <c r="M644"/>
      <c r="N644"/>
      <c r="O644"/>
      <c r="P644"/>
      <c r="Q644"/>
      <c r="R644"/>
      <c r="S644"/>
      <c r="T644"/>
      <c r="U644"/>
      <c r="V644"/>
      <c r="W644"/>
      <c r="X644" s="376"/>
      <c r="Y644" s="376"/>
      <c r="Z644" s="376"/>
      <c r="AA644" s="376"/>
      <c r="AB644" s="376"/>
      <c r="AC644" s="376"/>
      <c r="AD644" s="376"/>
      <c r="AE644" s="376"/>
      <c r="AF644" s="376"/>
      <c r="AG644" s="376"/>
      <c r="AH644" s="376"/>
      <c r="AI644" s="376"/>
      <c r="AJ644" s="376"/>
      <c r="AK644" s="376"/>
      <c r="AL644" s="376"/>
      <c r="AM644" s="376"/>
      <c r="AN644" s="376"/>
      <c r="AO644" s="376"/>
      <c r="AP644" s="376"/>
      <c r="AQ644" s="376"/>
      <c r="AR644" s="376"/>
    </row>
    <row r="645" spans="2:44" outlineLevel="1">
      <c r="B645" s="19" t="s">
        <v>88</v>
      </c>
      <c r="C645" s="5" t="s">
        <v>163</v>
      </c>
      <c r="D645" s="17" t="s">
        <v>418</v>
      </c>
      <c r="E645" s="109" t="str">
        <f>EDID!E242</f>
        <v>00</v>
      </c>
      <c r="F645" s="179"/>
      <c r="G645"/>
      <c r="H645"/>
      <c r="I645"/>
      <c r="J645"/>
      <c r="K645"/>
      <c r="L645"/>
      <c r="M645"/>
      <c r="N645"/>
      <c r="O645"/>
      <c r="P645"/>
      <c r="Q645"/>
      <c r="R645"/>
      <c r="S645"/>
      <c r="T645"/>
      <c r="U645"/>
      <c r="V645"/>
      <c r="W645"/>
      <c r="X645" s="376"/>
      <c r="Y645" s="376"/>
      <c r="Z645" s="376"/>
      <c r="AA645" s="376"/>
      <c r="AB645" s="376"/>
      <c r="AC645" s="376"/>
      <c r="AD645" s="376"/>
      <c r="AE645" s="376"/>
      <c r="AF645" s="376"/>
      <c r="AG645" s="376"/>
      <c r="AH645" s="376"/>
      <c r="AI645" s="376"/>
      <c r="AJ645" s="376"/>
      <c r="AK645" s="376"/>
      <c r="AL645" s="376"/>
      <c r="AM645" s="376"/>
      <c r="AN645" s="376"/>
      <c r="AO645" s="376"/>
      <c r="AP645" s="376"/>
      <c r="AQ645" s="376"/>
      <c r="AR645" s="376"/>
    </row>
    <row r="646" spans="2:44" outlineLevel="1">
      <c r="B646" s="19" t="s">
        <v>88</v>
      </c>
      <c r="C646" s="5" t="s">
        <v>163</v>
      </c>
      <c r="D646" s="17" t="s">
        <v>419</v>
      </c>
      <c r="E646" s="109" t="str">
        <f>EDID!E243</f>
        <v>00</v>
      </c>
      <c r="F646" s="179"/>
      <c r="G646"/>
      <c r="H646"/>
      <c r="I646"/>
      <c r="J646"/>
      <c r="K646"/>
      <c r="L646"/>
      <c r="M646"/>
      <c r="N646"/>
      <c r="O646"/>
      <c r="P646"/>
      <c r="Q646"/>
      <c r="R646"/>
      <c r="S646"/>
      <c r="T646"/>
      <c r="U646"/>
      <c r="V646"/>
      <c r="W646"/>
      <c r="X646" s="376"/>
      <c r="Y646" s="376"/>
      <c r="Z646" s="376"/>
      <c r="AA646" s="376"/>
      <c r="AB646" s="376"/>
      <c r="AC646" s="376"/>
      <c r="AD646" s="376"/>
      <c r="AE646" s="376"/>
      <c r="AF646" s="376"/>
      <c r="AG646" s="376"/>
      <c r="AH646" s="376"/>
      <c r="AI646" s="376"/>
      <c r="AJ646" s="376"/>
      <c r="AK646" s="376"/>
      <c r="AL646" s="376"/>
      <c r="AM646" s="376"/>
      <c r="AN646" s="376"/>
      <c r="AO646" s="376"/>
      <c r="AP646" s="376"/>
      <c r="AQ646" s="376"/>
      <c r="AR646" s="376"/>
    </row>
    <row r="647" spans="2:44" outlineLevel="1">
      <c r="B647" s="19" t="s">
        <v>88</v>
      </c>
      <c r="C647" s="5" t="s">
        <v>163</v>
      </c>
      <c r="D647" s="17" t="s">
        <v>420</v>
      </c>
      <c r="E647" s="109" t="str">
        <f>EDID!E244</f>
        <v>00</v>
      </c>
      <c r="F647" s="179"/>
      <c r="G647"/>
      <c r="H647"/>
      <c r="I647"/>
      <c r="J647"/>
      <c r="K647"/>
      <c r="L647"/>
      <c r="M647"/>
      <c r="N647"/>
      <c r="O647"/>
      <c r="P647"/>
      <c r="Q647"/>
      <c r="R647"/>
      <c r="S647"/>
      <c r="T647"/>
      <c r="U647"/>
      <c r="V647"/>
      <c r="W647"/>
      <c r="X647" s="376"/>
      <c r="Y647" s="376"/>
      <c r="Z647" s="376"/>
      <c r="AA647" s="376"/>
      <c r="AB647" s="376"/>
      <c r="AC647" s="376"/>
      <c r="AD647" s="376"/>
      <c r="AE647" s="376"/>
      <c r="AF647" s="376"/>
      <c r="AG647" s="376"/>
      <c r="AH647" s="376"/>
      <c r="AI647" s="376"/>
      <c r="AJ647" s="376"/>
      <c r="AK647" s="376"/>
      <c r="AL647" s="376"/>
      <c r="AM647" s="376"/>
      <c r="AN647" s="376"/>
      <c r="AO647" s="376"/>
      <c r="AP647" s="376"/>
      <c r="AQ647" s="376"/>
      <c r="AR647" s="376"/>
    </row>
    <row r="648" spans="2:44" outlineLevel="1">
      <c r="B648" s="19" t="s">
        <v>88</v>
      </c>
      <c r="C648" s="5" t="s">
        <v>163</v>
      </c>
      <c r="D648" s="17" t="s">
        <v>421</v>
      </c>
      <c r="E648" s="109" t="str">
        <f>EDID!E245</f>
        <v>00</v>
      </c>
      <c r="F648" s="179"/>
      <c r="G648"/>
      <c r="H648"/>
      <c r="I648"/>
      <c r="J648"/>
      <c r="K648"/>
      <c r="L648"/>
      <c r="M648"/>
      <c r="N648"/>
      <c r="O648"/>
      <c r="P648"/>
      <c r="Q648"/>
      <c r="R648"/>
      <c r="S648"/>
      <c r="T648"/>
      <c r="U648"/>
      <c r="V648"/>
      <c r="W648"/>
      <c r="X648" s="376"/>
      <c r="Y648" s="376"/>
      <c r="Z648" s="376"/>
      <c r="AA648" s="376"/>
      <c r="AB648" s="376"/>
      <c r="AC648" s="376"/>
      <c r="AD648" s="376"/>
      <c r="AE648" s="376"/>
      <c r="AF648" s="376"/>
      <c r="AG648" s="376"/>
      <c r="AH648" s="376"/>
      <c r="AI648" s="376"/>
      <c r="AJ648" s="376"/>
      <c r="AK648" s="376"/>
      <c r="AL648" s="376"/>
      <c r="AM648" s="376"/>
      <c r="AN648" s="376"/>
      <c r="AO648" s="376"/>
      <c r="AP648" s="376"/>
      <c r="AQ648" s="376"/>
      <c r="AR648" s="376"/>
    </row>
    <row r="649" spans="2:44" outlineLevel="1">
      <c r="B649" s="19" t="s">
        <v>88</v>
      </c>
      <c r="C649" s="5" t="s">
        <v>163</v>
      </c>
      <c r="D649" s="17" t="s">
        <v>422</v>
      </c>
      <c r="E649" s="109" t="str">
        <f>EDID!E246</f>
        <v>00</v>
      </c>
      <c r="F649" s="179"/>
      <c r="G649"/>
      <c r="H649"/>
      <c r="I649"/>
      <c r="J649"/>
      <c r="K649"/>
      <c r="L649"/>
      <c r="M649"/>
      <c r="N649"/>
      <c r="O649"/>
      <c r="P649"/>
      <c r="Q649"/>
      <c r="R649"/>
      <c r="S649"/>
      <c r="T649"/>
      <c r="U649"/>
      <c r="V649"/>
      <c r="W649"/>
      <c r="X649" s="376"/>
      <c r="Y649" s="376"/>
      <c r="Z649" s="376"/>
      <c r="AA649" s="376"/>
      <c r="AB649" s="376"/>
      <c r="AC649" s="376"/>
      <c r="AD649" s="376"/>
      <c r="AE649" s="376"/>
      <c r="AF649" s="376"/>
      <c r="AG649" s="376"/>
      <c r="AH649" s="376"/>
      <c r="AI649" s="376"/>
      <c r="AJ649" s="376"/>
      <c r="AK649" s="376"/>
      <c r="AL649" s="376"/>
      <c r="AM649" s="376"/>
      <c r="AN649" s="376"/>
      <c r="AO649" s="376"/>
      <c r="AP649" s="376"/>
      <c r="AQ649" s="376"/>
      <c r="AR649" s="376"/>
    </row>
    <row r="650" spans="2:44" outlineLevel="1">
      <c r="B650" s="19" t="s">
        <v>88</v>
      </c>
      <c r="C650" s="5" t="s">
        <v>163</v>
      </c>
      <c r="D650" s="17" t="s">
        <v>423</v>
      </c>
      <c r="E650" s="109" t="str">
        <f>EDID!E247</f>
        <v>00</v>
      </c>
      <c r="F650" s="179"/>
      <c r="G650"/>
      <c r="H650"/>
      <c r="I650"/>
      <c r="J650"/>
      <c r="K650"/>
      <c r="L650"/>
      <c r="M650"/>
      <c r="N650"/>
      <c r="O650"/>
      <c r="P650"/>
      <c r="Q650"/>
      <c r="R650"/>
      <c r="S650"/>
      <c r="T650"/>
      <c r="U650"/>
      <c r="V650"/>
      <c r="W650"/>
      <c r="X650" s="376"/>
      <c r="Y650" s="376"/>
      <c r="Z650" s="376"/>
      <c r="AA650" s="376"/>
      <c r="AB650" s="376"/>
      <c r="AC650" s="376"/>
      <c r="AD650" s="376"/>
      <c r="AE650" s="376"/>
      <c r="AF650" s="376"/>
      <c r="AG650" s="376"/>
      <c r="AH650" s="376"/>
      <c r="AI650" s="376"/>
      <c r="AJ650" s="376"/>
      <c r="AK650" s="376"/>
      <c r="AL650" s="376"/>
      <c r="AM650" s="376"/>
      <c r="AN650" s="376"/>
      <c r="AO650" s="376"/>
      <c r="AP650" s="376"/>
      <c r="AQ650" s="376"/>
      <c r="AR650" s="376"/>
    </row>
    <row r="651" spans="2:44" outlineLevel="1">
      <c r="B651" s="19" t="s">
        <v>88</v>
      </c>
      <c r="C651" s="5" t="s">
        <v>163</v>
      </c>
      <c r="D651" s="17" t="s">
        <v>424</v>
      </c>
      <c r="E651" s="109" t="str">
        <f>EDID!E248</f>
        <v>00</v>
      </c>
      <c r="F651" s="179"/>
      <c r="G651"/>
      <c r="H651"/>
      <c r="I651"/>
      <c r="J651"/>
      <c r="K651"/>
      <c r="L651"/>
      <c r="M651"/>
      <c r="N651"/>
      <c r="O651"/>
      <c r="P651"/>
      <c r="Q651"/>
      <c r="R651"/>
      <c r="S651"/>
      <c r="T651"/>
      <c r="U651"/>
      <c r="V651"/>
      <c r="W651"/>
      <c r="X651" s="376"/>
      <c r="Y651" s="376"/>
      <c r="Z651" s="376"/>
      <c r="AA651" s="376"/>
      <c r="AB651" s="376"/>
      <c r="AC651" s="376"/>
      <c r="AD651" s="376"/>
      <c r="AE651" s="376"/>
      <c r="AF651" s="376"/>
      <c r="AG651" s="376"/>
      <c r="AH651" s="376"/>
      <c r="AI651" s="376"/>
      <c r="AJ651" s="376"/>
      <c r="AK651" s="376"/>
      <c r="AL651" s="376"/>
      <c r="AM651" s="376"/>
      <c r="AN651" s="376"/>
      <c r="AO651" s="376"/>
      <c r="AP651" s="376"/>
      <c r="AQ651" s="376"/>
      <c r="AR651" s="376"/>
    </row>
    <row r="652" spans="2:44" outlineLevel="1">
      <c r="B652" s="19" t="s">
        <v>88</v>
      </c>
      <c r="C652" s="5" t="s">
        <v>163</v>
      </c>
      <c r="D652" s="17" t="s">
        <v>425</v>
      </c>
      <c r="E652" s="109" t="str">
        <f>EDID!E249</f>
        <v>00</v>
      </c>
      <c r="F652" s="179"/>
      <c r="G652"/>
      <c r="H652"/>
      <c r="I652"/>
      <c r="J652"/>
      <c r="K652"/>
      <c r="L652"/>
      <c r="M652"/>
      <c r="N652"/>
      <c r="O652"/>
      <c r="P652"/>
      <c r="Q652"/>
      <c r="R652"/>
      <c r="S652"/>
      <c r="T652"/>
      <c r="U652"/>
      <c r="V652"/>
      <c r="W652"/>
      <c r="X652" s="376"/>
      <c r="Y652" s="376"/>
      <c r="Z652" s="376"/>
      <c r="AA652" s="376"/>
      <c r="AB652" s="376"/>
      <c r="AC652" s="376"/>
      <c r="AD652" s="376"/>
      <c r="AE652" s="376"/>
      <c r="AF652" s="376"/>
      <c r="AG652" s="376"/>
      <c r="AH652" s="376"/>
      <c r="AI652" s="376"/>
      <c r="AJ652" s="376"/>
      <c r="AK652" s="376"/>
      <c r="AL652" s="376"/>
      <c r="AM652" s="376"/>
      <c r="AN652" s="376"/>
      <c r="AO652" s="376"/>
      <c r="AP652" s="376"/>
      <c r="AQ652" s="376"/>
      <c r="AR652" s="376"/>
    </row>
    <row r="653" spans="2:44" outlineLevel="1">
      <c r="B653" s="19" t="s">
        <v>88</v>
      </c>
      <c r="C653" s="5" t="s">
        <v>163</v>
      </c>
      <c r="D653" s="17" t="s">
        <v>426</v>
      </c>
      <c r="E653" s="109" t="str">
        <f>EDID!E250</f>
        <v>00</v>
      </c>
      <c r="F653" s="179"/>
      <c r="G653"/>
      <c r="H653"/>
      <c r="I653"/>
      <c r="J653"/>
      <c r="K653"/>
      <c r="L653"/>
      <c r="M653"/>
      <c r="N653"/>
      <c r="O653"/>
      <c r="P653"/>
      <c r="Q653"/>
      <c r="R653"/>
      <c r="S653"/>
      <c r="T653"/>
      <c r="U653"/>
      <c r="V653"/>
      <c r="W653"/>
      <c r="X653" s="376"/>
      <c r="Y653" s="376"/>
      <c r="Z653" s="376"/>
      <c r="AA653" s="376"/>
      <c r="AB653" s="376"/>
      <c r="AC653" s="376"/>
      <c r="AD653" s="376"/>
      <c r="AE653" s="376"/>
      <c r="AF653" s="376"/>
      <c r="AG653" s="376"/>
      <c r="AH653" s="376"/>
      <c r="AI653" s="376"/>
      <c r="AJ653" s="376"/>
      <c r="AK653" s="376"/>
      <c r="AL653" s="376"/>
      <c r="AM653" s="376"/>
      <c r="AN653" s="376"/>
      <c r="AO653" s="376"/>
      <c r="AP653" s="376"/>
      <c r="AQ653" s="376"/>
      <c r="AR653" s="376"/>
    </row>
    <row r="654" spans="2:44" outlineLevel="1">
      <c r="B654" s="19" t="s">
        <v>88</v>
      </c>
      <c r="C654" s="5" t="s">
        <v>163</v>
      </c>
      <c r="D654" s="17" t="s">
        <v>427</v>
      </c>
      <c r="E654" s="109" t="str">
        <f>EDID!E251</f>
        <v>00</v>
      </c>
      <c r="F654" s="179"/>
      <c r="G654"/>
      <c r="H654"/>
      <c r="I654"/>
      <c r="J654"/>
      <c r="K654"/>
      <c r="L654"/>
      <c r="M654"/>
      <c r="N654"/>
      <c r="O654"/>
      <c r="P654"/>
      <c r="Q654"/>
      <c r="R654"/>
      <c r="S654"/>
      <c r="T654"/>
      <c r="U654"/>
      <c r="V654"/>
      <c r="W654"/>
      <c r="X654" s="376"/>
      <c r="Y654" s="376"/>
      <c r="Z654" s="376"/>
      <c r="AA654" s="376"/>
      <c r="AB654" s="376"/>
      <c r="AC654" s="376"/>
      <c r="AD654" s="376"/>
      <c r="AE654" s="376"/>
      <c r="AF654" s="376"/>
      <c r="AG654" s="376"/>
      <c r="AH654" s="376"/>
      <c r="AI654" s="376"/>
      <c r="AJ654" s="376"/>
      <c r="AK654" s="376"/>
      <c r="AL654" s="376"/>
      <c r="AM654" s="376"/>
      <c r="AN654" s="376"/>
      <c r="AO654" s="376"/>
      <c r="AP654" s="376"/>
      <c r="AQ654" s="376"/>
      <c r="AR654" s="376"/>
    </row>
    <row r="655" spans="2:44" outlineLevel="1">
      <c r="B655" s="19" t="s">
        <v>88</v>
      </c>
      <c r="C655" s="5" t="s">
        <v>163</v>
      </c>
      <c r="D655" s="17" t="s">
        <v>428</v>
      </c>
      <c r="E655" s="109" t="str">
        <f>EDID!E252</f>
        <v>00</v>
      </c>
      <c r="F655" s="179"/>
      <c r="G655"/>
      <c r="H655"/>
      <c r="I655"/>
      <c r="J655"/>
      <c r="K655"/>
      <c r="L655"/>
      <c r="M655"/>
      <c r="N655"/>
      <c r="O655"/>
      <c r="P655"/>
      <c r="Q655"/>
      <c r="R655"/>
      <c r="S655"/>
      <c r="T655"/>
      <c r="U655"/>
      <c r="V655"/>
      <c r="W655"/>
      <c r="X655" s="376"/>
      <c r="Y655" s="376"/>
      <c r="Z655" s="376"/>
      <c r="AA655" s="376"/>
      <c r="AB655" s="376"/>
      <c r="AC655" s="376"/>
      <c r="AD655" s="376"/>
      <c r="AE655" s="376"/>
      <c r="AF655" s="376"/>
      <c r="AG655" s="376"/>
      <c r="AH655" s="376"/>
      <c r="AI655" s="376"/>
      <c r="AJ655" s="376"/>
      <c r="AK655" s="376"/>
      <c r="AL655" s="376"/>
      <c r="AM655" s="376"/>
      <c r="AN655" s="376"/>
      <c r="AO655" s="376"/>
      <c r="AP655" s="376"/>
      <c r="AQ655" s="376"/>
      <c r="AR655" s="376"/>
    </row>
    <row r="656" spans="2:44" outlineLevel="1">
      <c r="B656" s="19" t="s">
        <v>88</v>
      </c>
      <c r="C656" s="5" t="s">
        <v>163</v>
      </c>
      <c r="D656" s="17" t="s">
        <v>429</v>
      </c>
      <c r="E656" s="109" t="str">
        <f>EDID!E253</f>
        <v>00</v>
      </c>
      <c r="F656" s="179"/>
      <c r="G656"/>
      <c r="H656"/>
      <c r="I656"/>
      <c r="J656"/>
      <c r="K656"/>
      <c r="L656"/>
      <c r="M656"/>
      <c r="N656"/>
      <c r="O656"/>
      <c r="P656"/>
      <c r="Q656"/>
      <c r="R656"/>
      <c r="S656"/>
      <c r="T656"/>
      <c r="U656"/>
      <c r="V656"/>
      <c r="W656"/>
      <c r="X656" s="376"/>
      <c r="Y656" s="376"/>
      <c r="Z656" s="376"/>
      <c r="AA656" s="376"/>
      <c r="AB656" s="376"/>
      <c r="AC656" s="376"/>
      <c r="AD656" s="376"/>
      <c r="AE656" s="376"/>
      <c r="AF656" s="376"/>
      <c r="AG656" s="376"/>
      <c r="AH656" s="376"/>
      <c r="AI656" s="376"/>
      <c r="AJ656" s="376"/>
      <c r="AK656" s="376"/>
      <c r="AL656" s="376"/>
      <c r="AM656" s="376"/>
      <c r="AN656" s="376"/>
      <c r="AO656" s="376"/>
      <c r="AP656" s="376"/>
      <c r="AQ656" s="376"/>
      <c r="AR656" s="376"/>
    </row>
    <row r="657" spans="2:71" outlineLevel="1">
      <c r="B657" s="19" t="s">
        <v>88</v>
      </c>
      <c r="C657" s="5" t="s">
        <v>163</v>
      </c>
      <c r="D657" s="17" t="s">
        <v>430</v>
      </c>
      <c r="E657" s="109" t="str">
        <f>EDID!E254</f>
        <v>00</v>
      </c>
      <c r="F657" s="179"/>
      <c r="G657"/>
      <c r="H657"/>
      <c r="I657"/>
      <c r="J657"/>
      <c r="K657"/>
      <c r="L657"/>
      <c r="M657"/>
      <c r="N657"/>
      <c r="O657"/>
      <c r="P657"/>
      <c r="Q657"/>
      <c r="R657"/>
      <c r="S657"/>
      <c r="T657"/>
      <c r="U657"/>
      <c r="V657"/>
      <c r="W657"/>
      <c r="X657" s="376"/>
      <c r="Y657" s="376"/>
      <c r="Z657" s="376"/>
      <c r="AA657" s="376"/>
      <c r="AB657" s="376"/>
      <c r="AC657" s="376"/>
      <c r="AD657" s="376"/>
      <c r="AE657" s="376"/>
      <c r="AF657" s="376"/>
      <c r="AG657" s="376"/>
      <c r="AH657" s="376"/>
      <c r="AI657" s="376"/>
      <c r="AJ657" s="376"/>
      <c r="AK657" s="376"/>
      <c r="AL657" s="376"/>
      <c r="AM657" s="376"/>
      <c r="AN657" s="376"/>
      <c r="AO657" s="376"/>
      <c r="AP657" s="376"/>
      <c r="AQ657" s="376"/>
      <c r="AR657" s="376"/>
    </row>
    <row r="658" spans="2:71" outlineLevel="1">
      <c r="B658" s="19" t="s">
        <v>88</v>
      </c>
      <c r="C658" s="5" t="s">
        <v>163</v>
      </c>
      <c r="D658" s="17" t="s">
        <v>431</v>
      </c>
      <c r="E658" s="109" t="str">
        <f>EDID!E255</f>
        <v>00</v>
      </c>
      <c r="F658" s="179"/>
      <c r="G658"/>
      <c r="H658"/>
      <c r="I658"/>
      <c r="J658"/>
      <c r="K658"/>
      <c r="L658"/>
      <c r="M658"/>
      <c r="N658"/>
      <c r="O658"/>
      <c r="P658"/>
      <c r="Q658"/>
      <c r="R658"/>
      <c r="S658"/>
      <c r="T658"/>
      <c r="U658"/>
      <c r="V658"/>
      <c r="W658"/>
      <c r="X658" s="376"/>
      <c r="Y658" s="376"/>
      <c r="Z658" s="376"/>
      <c r="AA658" s="376"/>
      <c r="AB658" s="376"/>
      <c r="AC658" s="376"/>
      <c r="AD658" s="376"/>
      <c r="AE658" s="376"/>
      <c r="AF658" s="376"/>
      <c r="AG658" s="376"/>
      <c r="AH658" s="376"/>
      <c r="AI658" s="376"/>
      <c r="AJ658" s="376"/>
      <c r="AK658" s="376"/>
      <c r="AL658" s="376"/>
      <c r="AM658" s="376"/>
      <c r="AN658" s="376"/>
      <c r="AO658" s="376"/>
      <c r="AP658" s="376"/>
      <c r="AQ658" s="376"/>
      <c r="AR658" s="376"/>
    </row>
    <row r="659" spans="2:71" outlineLevel="1">
      <c r="B659" s="19" t="s">
        <v>88</v>
      </c>
      <c r="C659" s="5" t="s">
        <v>163</v>
      </c>
      <c r="D659" s="17" t="s">
        <v>432</v>
      </c>
      <c r="E659" s="109" t="str">
        <f>EDID!E256</f>
        <v>00</v>
      </c>
      <c r="F659" s="179"/>
      <c r="G659"/>
      <c r="H659"/>
      <c r="I659"/>
      <c r="J659"/>
      <c r="K659"/>
      <c r="L659"/>
      <c r="M659"/>
      <c r="N659"/>
      <c r="O659"/>
      <c r="P659"/>
      <c r="Q659"/>
      <c r="R659"/>
      <c r="S659"/>
      <c r="T659"/>
      <c r="U659"/>
      <c r="V659"/>
      <c r="W659"/>
      <c r="X659" s="376"/>
      <c r="Y659" s="376"/>
      <c r="Z659" s="376"/>
      <c r="AA659" s="376"/>
      <c r="AB659" s="376"/>
      <c r="AC659" s="376"/>
      <c r="AD659" s="376"/>
      <c r="AE659" s="376"/>
      <c r="AF659" s="376"/>
      <c r="AG659" s="376"/>
      <c r="AH659" s="376"/>
      <c r="AI659" s="376"/>
      <c r="AJ659" s="376"/>
      <c r="AK659" s="376"/>
      <c r="AL659" s="376"/>
      <c r="AM659" s="376"/>
      <c r="AN659" s="376"/>
      <c r="AO659" s="376"/>
      <c r="AP659" s="376"/>
      <c r="AQ659" s="376"/>
      <c r="AR659" s="376"/>
    </row>
    <row r="660" spans="2:71" outlineLevel="1">
      <c r="B660" s="19" t="s">
        <v>88</v>
      </c>
      <c r="C660" s="5" t="s">
        <v>163</v>
      </c>
      <c r="D660" s="17" t="s">
        <v>433</v>
      </c>
      <c r="E660" s="109" t="str">
        <f>EDID!E257</f>
        <v>00</v>
      </c>
      <c r="F660" s="179"/>
      <c r="G660"/>
      <c r="H660"/>
      <c r="I660"/>
      <c r="J660"/>
      <c r="K660"/>
      <c r="L660"/>
      <c r="M660"/>
      <c r="N660"/>
      <c r="O660"/>
      <c r="P660"/>
      <c r="Q660"/>
      <c r="R660"/>
      <c r="S660"/>
      <c r="T660"/>
      <c r="U660"/>
      <c r="V660"/>
      <c r="W660"/>
      <c r="X660" s="376"/>
      <c r="Y660" s="376"/>
      <c r="Z660" s="376"/>
      <c r="AA660" s="376"/>
      <c r="AB660" s="376"/>
      <c r="AC660" s="376"/>
      <c r="AD660" s="376"/>
      <c r="AE660" s="376"/>
      <c r="AF660" s="376"/>
      <c r="AG660" s="376"/>
      <c r="AH660" s="376"/>
      <c r="AI660" s="376"/>
      <c r="AJ660" s="376"/>
      <c r="AK660" s="376"/>
      <c r="AL660" s="376"/>
      <c r="AM660" s="376"/>
      <c r="AN660" s="376"/>
      <c r="AO660" s="376"/>
      <c r="AP660" s="376"/>
      <c r="AQ660" s="376"/>
      <c r="AR660" s="376"/>
    </row>
    <row r="661" spans="2:71" outlineLevel="1">
      <c r="B661" s="19" t="s">
        <v>88</v>
      </c>
      <c r="C661" s="5" t="s">
        <v>163</v>
      </c>
      <c r="D661" s="17" t="s">
        <v>434</v>
      </c>
      <c r="E661" s="109" t="str">
        <f>EDID!E258</f>
        <v>00</v>
      </c>
      <c r="F661" s="179"/>
      <c r="G661"/>
      <c r="H661"/>
      <c r="I661"/>
      <c r="J661"/>
      <c r="K661"/>
      <c r="L661"/>
      <c r="M661"/>
      <c r="N661"/>
      <c r="O661"/>
      <c r="P661"/>
      <c r="Q661"/>
      <c r="R661"/>
      <c r="S661"/>
      <c r="T661"/>
      <c r="U661"/>
      <c r="V661"/>
      <c r="W661"/>
      <c r="X661" s="376"/>
      <c r="Y661" s="376"/>
      <c r="Z661" s="376"/>
      <c r="AA661" s="376"/>
      <c r="AB661" s="376"/>
      <c r="AC661" s="376"/>
      <c r="AD661" s="376"/>
      <c r="AE661" s="376"/>
      <c r="AF661" s="376"/>
      <c r="AG661" s="376"/>
      <c r="AH661" s="376"/>
      <c r="AI661" s="376"/>
      <c r="AJ661" s="376"/>
      <c r="AK661" s="376"/>
      <c r="AL661" s="376"/>
      <c r="AM661" s="376"/>
      <c r="AN661" s="376"/>
      <c r="AO661" s="376"/>
      <c r="AP661" s="376"/>
      <c r="AQ661" s="376"/>
      <c r="AR661" s="376"/>
    </row>
    <row r="662" spans="2:71" outlineLevel="1">
      <c r="B662" s="19" t="s">
        <v>88</v>
      </c>
      <c r="C662" s="5" t="s">
        <v>163</v>
      </c>
      <c r="D662" s="17" t="s">
        <v>435</v>
      </c>
      <c r="E662" s="109" t="str">
        <f>EDID!E259</f>
        <v>BE</v>
      </c>
      <c r="F662" s="179"/>
      <c r="G662"/>
      <c r="H662"/>
      <c r="I662"/>
      <c r="J662"/>
      <c r="K662"/>
      <c r="L662"/>
      <c r="M662"/>
      <c r="N662"/>
      <c r="O662"/>
      <c r="P662"/>
      <c r="Q662"/>
      <c r="R662"/>
      <c r="S662"/>
      <c r="T662"/>
      <c r="U662"/>
      <c r="V662"/>
      <c r="W662"/>
      <c r="X662" s="376"/>
      <c r="Y662" s="376"/>
      <c r="Z662" s="376"/>
      <c r="AA662" s="376"/>
      <c r="AB662" s="376"/>
      <c r="AC662" s="376"/>
      <c r="AD662" s="376"/>
      <c r="AE662" s="376"/>
      <c r="AF662" s="376"/>
      <c r="AG662" s="376"/>
      <c r="AH662" s="376"/>
      <c r="AI662" s="376"/>
      <c r="AJ662" s="376"/>
      <c r="AK662" s="376"/>
      <c r="AL662" s="376"/>
      <c r="AM662" s="376"/>
      <c r="AN662" s="376"/>
      <c r="AO662" s="376"/>
      <c r="AP662" s="376"/>
      <c r="AQ662" s="376"/>
      <c r="AR662" s="376"/>
    </row>
    <row r="663" spans="2:71">
      <c r="B663" s="86" t="s">
        <v>15</v>
      </c>
      <c r="C663" s="90" t="s">
        <v>110</v>
      </c>
      <c r="D663" s="91"/>
      <c r="E663" s="124"/>
      <c r="F663" s="103"/>
      <c r="G663"/>
      <c r="H663"/>
      <c r="I663" s="2"/>
      <c r="Q663"/>
      <c r="R663"/>
      <c r="S663"/>
      <c r="T663"/>
      <c r="U663"/>
      <c r="V663"/>
      <c r="W663"/>
      <c r="X663" s="376"/>
      <c r="AH663" s="376"/>
    </row>
    <row r="664" spans="2:71">
      <c r="B664" s="97" t="str">
        <f>IF(Main_Parameters!$L$22="HDCP Disable","REMnd","WR8")</f>
        <v>REMnd</v>
      </c>
      <c r="C664" s="5"/>
      <c r="D664" s="17" t="s">
        <v>111</v>
      </c>
      <c r="E664" s="89" t="s">
        <v>123</v>
      </c>
      <c r="F664" s="39" t="s">
        <v>710</v>
      </c>
      <c r="G664"/>
      <c r="H664"/>
      <c r="I664"/>
      <c r="J664"/>
      <c r="K664"/>
      <c r="L664"/>
      <c r="M664"/>
      <c r="N664"/>
      <c r="O664"/>
      <c r="P664"/>
      <c r="Q664"/>
      <c r="R664"/>
      <c r="S664"/>
      <c r="T664"/>
      <c r="U664"/>
      <c r="V664"/>
      <c r="W664"/>
      <c r="X664" s="376"/>
      <c r="AH664" s="376"/>
    </row>
    <row r="665" spans="2:71">
      <c r="B665" s="97" t="str">
        <f>IF(Main_Parameters!$L$22="HDCP Disable","REMnd","WR8")</f>
        <v>REMnd</v>
      </c>
      <c r="C665" s="5" t="s">
        <v>115</v>
      </c>
      <c r="D665" s="17" t="s">
        <v>112</v>
      </c>
      <c r="E665" s="121" t="str">
        <f>DEC2HEX(Y665*2^7+Z665*2^6+AA665*2^5+AB665*2^4+AC665*2^3+AD665*2^2+AE665*2^1+AF665,2)</f>
        <v>24</v>
      </c>
      <c r="F665" s="39" t="s">
        <v>711</v>
      </c>
      <c r="G665"/>
      <c r="H665" s="102" t="s">
        <v>164</v>
      </c>
      <c r="I665" s="99"/>
      <c r="J665" s="102" t="s">
        <v>165</v>
      </c>
      <c r="K665" s="99"/>
      <c r="L665" s="105" t="s">
        <v>438</v>
      </c>
      <c r="M665" s="280" t="s">
        <v>436</v>
      </c>
      <c r="N665" s="100" t="s">
        <v>437</v>
      </c>
      <c r="O665" s="280" t="s">
        <v>439</v>
      </c>
      <c r="P665" s="102" t="s">
        <v>168</v>
      </c>
      <c r="Q665" s="99"/>
      <c r="R665" s="100" t="s">
        <v>440</v>
      </c>
      <c r="S665" s="280" t="s">
        <v>439</v>
      </c>
      <c r="T665" s="102" t="s">
        <v>170</v>
      </c>
      <c r="U665" s="99"/>
      <c r="V665" s="102" t="s">
        <v>171</v>
      </c>
      <c r="W665" s="99"/>
      <c r="X665" s="376"/>
      <c r="Y665" s="168">
        <v>0</v>
      </c>
      <c r="Z665" s="168">
        <v>0</v>
      </c>
      <c r="AA665" s="168">
        <f>IF(M665="AutoRes Off",0,1)</f>
        <v>1</v>
      </c>
      <c r="AB665" s="168">
        <f>IF(O665="57clk",0,1)</f>
        <v>0</v>
      </c>
      <c r="AC665" s="168">
        <v>0</v>
      </c>
      <c r="AD665" s="168">
        <f>IF(S665="No",0,1)</f>
        <v>1</v>
      </c>
      <c r="AE665" s="168">
        <v>0</v>
      </c>
      <c r="AF665" s="168">
        <v>0</v>
      </c>
      <c r="AH665" s="376"/>
    </row>
    <row r="666" spans="2:71">
      <c r="B666" s="97" t="str">
        <f>IF(Main_Parameters!$L$22="HDCP Disable","REMnd","WR8")</f>
        <v>REMnd</v>
      </c>
      <c r="C666" s="5"/>
      <c r="D666" s="17" t="s">
        <v>113</v>
      </c>
      <c r="E666" s="89" t="s">
        <v>149</v>
      </c>
      <c r="F666" s="39" t="s">
        <v>712</v>
      </c>
      <c r="G666"/>
      <c r="H666"/>
      <c r="I666"/>
      <c r="J666"/>
      <c r="K666"/>
      <c r="L666"/>
      <c r="M666"/>
      <c r="N666"/>
      <c r="O666"/>
      <c r="P666"/>
      <c r="Q666"/>
      <c r="R666"/>
      <c r="S666"/>
      <c r="T666"/>
      <c r="U666"/>
      <c r="V666"/>
      <c r="W666"/>
      <c r="X666" s="376"/>
      <c r="AH666" s="376"/>
    </row>
    <row r="667" spans="2:71">
      <c r="B667" s="97" t="str">
        <f>IF(Main_Parameters!$L$22="HDCP Disable","REMnd","WR8")</f>
        <v>REMnd</v>
      </c>
      <c r="C667" s="5"/>
      <c r="D667" s="17" t="s">
        <v>114</v>
      </c>
      <c r="E667" s="89" t="s">
        <v>150</v>
      </c>
      <c r="F667" s="39" t="s">
        <v>713</v>
      </c>
      <c r="G667"/>
      <c r="H667"/>
      <c r="I667"/>
      <c r="J667"/>
      <c r="K667"/>
      <c r="L667"/>
      <c r="M667"/>
      <c r="N667"/>
      <c r="O667"/>
      <c r="P667"/>
      <c r="Q667"/>
      <c r="R667"/>
      <c r="S667"/>
      <c r="T667"/>
      <c r="U667"/>
      <c r="V667"/>
      <c r="W667"/>
      <c r="X667" s="376"/>
      <c r="AH667" s="376"/>
    </row>
    <row r="668" spans="2:71">
      <c r="B668" s="86" t="s">
        <v>15</v>
      </c>
      <c r="C668" s="90" t="s">
        <v>1124</v>
      </c>
      <c r="D668" s="91"/>
      <c r="E668" s="124"/>
      <c r="F668" s="103"/>
      <c r="G668"/>
      <c r="H668"/>
      <c r="I668" s="2"/>
      <c r="Q668"/>
      <c r="R668"/>
      <c r="S668"/>
      <c r="T668"/>
      <c r="U668"/>
      <c r="V668"/>
      <c r="W668"/>
      <c r="X668" s="376"/>
      <c r="AH668" s="376"/>
    </row>
    <row r="669" spans="2:71">
      <c r="B669" s="97" t="str">
        <f>IF(Main_Parameters!$B$53=0,"REMnd","WR8")</f>
        <v>REMnd</v>
      </c>
      <c r="C669" s="5" t="s">
        <v>1117</v>
      </c>
      <c r="D669" s="17" t="s">
        <v>1114</v>
      </c>
      <c r="E669" s="122" t="str">
        <f>Main_Parameters!$C$186</f>
        <v>02</v>
      </c>
      <c r="F669" s="39"/>
      <c r="G669"/>
      <c r="H669"/>
      <c r="I669"/>
      <c r="J669"/>
      <c r="K669"/>
      <c r="L669"/>
      <c r="M669"/>
      <c r="N669"/>
      <c r="O669"/>
      <c r="P669"/>
      <c r="Q669"/>
      <c r="R669"/>
      <c r="S669"/>
      <c r="T669"/>
      <c r="U669"/>
      <c r="V669"/>
      <c r="W669"/>
      <c r="X669" s="376"/>
      <c r="Y669" s="376"/>
      <c r="Z669" s="376"/>
      <c r="AA669" s="376"/>
      <c r="AB669" s="376"/>
      <c r="AC669" s="376"/>
      <c r="AD669" s="376"/>
      <c r="AE669" s="376"/>
      <c r="AF669" s="376"/>
      <c r="AG669" s="376"/>
      <c r="AH669" s="376"/>
      <c r="AI669" s="376"/>
      <c r="AJ669" s="376"/>
      <c r="AK669" s="376"/>
      <c r="AL669" s="376"/>
      <c r="AM669" s="376"/>
      <c r="AN669" s="376"/>
      <c r="AO669" s="376"/>
      <c r="AP669" s="376"/>
      <c r="AQ669" s="376"/>
      <c r="AR669" s="376"/>
      <c r="AS669" s="376"/>
      <c r="AT669" s="376"/>
      <c r="AU669" s="376"/>
      <c r="AV669" s="376"/>
      <c r="AW669" s="376"/>
      <c r="AX669" s="376"/>
      <c r="AY669" s="376"/>
      <c r="AZ669" s="376"/>
      <c r="BA669" s="376"/>
      <c r="BB669" s="376"/>
      <c r="BC669" s="376"/>
      <c r="BD669" s="376"/>
      <c r="BE669" s="376"/>
      <c r="BF669"/>
      <c r="BG669"/>
      <c r="BH669"/>
      <c r="BI669"/>
      <c r="BJ669"/>
      <c r="BK669"/>
      <c r="BL669"/>
      <c r="BM669"/>
      <c r="BN669"/>
      <c r="BO669"/>
      <c r="BP669"/>
      <c r="BQ669"/>
      <c r="BR669"/>
      <c r="BS669"/>
    </row>
    <row r="670" spans="2:71">
      <c r="B670" s="97" t="str">
        <f>IF(Main_Parameters!$B$53=0,"REMnd","WR8")</f>
        <v>REMnd</v>
      </c>
      <c r="C670" s="5" t="s">
        <v>1118</v>
      </c>
      <c r="D670" s="17" t="s">
        <v>1115</v>
      </c>
      <c r="E670" s="122" t="str">
        <f>Main_Parameters!$C$187</f>
        <v>14</v>
      </c>
      <c r="F670" s="39"/>
      <c r="G670"/>
      <c r="H670"/>
      <c r="I670"/>
      <c r="J670"/>
      <c r="K670"/>
      <c r="L670"/>
      <c r="M670"/>
      <c r="N670"/>
      <c r="O670"/>
      <c r="P670"/>
      <c r="Q670"/>
      <c r="R670"/>
      <c r="S670"/>
      <c r="T670"/>
      <c r="U670"/>
      <c r="V670"/>
      <c r="W670"/>
      <c r="X670" s="376"/>
      <c r="Y670" s="376"/>
      <c r="Z670" s="376"/>
      <c r="AA670" s="376"/>
      <c r="AB670" s="376"/>
      <c r="AC670" s="376"/>
      <c r="AD670" s="376"/>
      <c r="AE670" s="376"/>
      <c r="AF670" s="376"/>
      <c r="AG670" s="376"/>
      <c r="AH670" s="376"/>
      <c r="AI670" s="376"/>
      <c r="AJ670" s="376"/>
      <c r="AK670" s="376"/>
      <c r="AL670" s="376"/>
      <c r="AM670" s="376"/>
    </row>
    <row r="671" spans="2:71">
      <c r="B671" s="19" t="s">
        <v>88</v>
      </c>
      <c r="C671" s="5" t="s">
        <v>1119</v>
      </c>
      <c r="D671" s="17" t="s">
        <v>1116</v>
      </c>
      <c r="E671" s="122" t="str">
        <f>DEC2HEX(AW671*2^7+AX671*2^6+AY671*2^5+AZ671*2^4+BA671*2^3+BB671*2^2+BC671*2^1+BD671*2^0,2)</f>
        <v>42</v>
      </c>
      <c r="F671" s="39"/>
      <c r="G671"/>
      <c r="H671" s="501" t="s">
        <v>1125</v>
      </c>
      <c r="I671" s="502"/>
      <c r="J671" s="503"/>
      <c r="K671" s="280">
        <v>1</v>
      </c>
      <c r="L671" s="501" t="s">
        <v>1126</v>
      </c>
      <c r="M671" s="502"/>
      <c r="N671" s="503"/>
      <c r="O671" s="280">
        <v>0</v>
      </c>
      <c r="P671" s="102" t="s">
        <v>168</v>
      </c>
      <c r="Q671" s="99"/>
      <c r="R671" s="102" t="s">
        <v>169</v>
      </c>
      <c r="S671" s="99"/>
      <c r="T671" s="501" t="s">
        <v>1127</v>
      </c>
      <c r="U671" s="502"/>
      <c r="V671" s="503"/>
      <c r="W671" s="262" t="str">
        <f>IF(Main_Parameters!$L$20="YCbCr422","Mode3","Mode2")</f>
        <v>Mode2</v>
      </c>
      <c r="X671" s="376"/>
      <c r="AH671" s="376"/>
      <c r="AW671" s="168">
        <v>0</v>
      </c>
      <c r="AX671" s="168">
        <f>K671</f>
        <v>1</v>
      </c>
      <c r="AY671" s="168">
        <v>0</v>
      </c>
      <c r="AZ671" s="168">
        <f>O671</f>
        <v>0</v>
      </c>
      <c r="BA671" s="168">
        <v>0</v>
      </c>
      <c r="BB671" s="168">
        <v>0</v>
      </c>
      <c r="BC671" s="168">
        <v>0</v>
      </c>
      <c r="BD671" s="168">
        <f>IF(W671="Mode2",2,3)</f>
        <v>2</v>
      </c>
    </row>
    <row r="672" spans="2:71">
      <c r="B672" s="97" t="str">
        <f>IF(Main_Parameters!$B$53=0,"REMnd","WR8")</f>
        <v>REMnd</v>
      </c>
      <c r="C672" s="5" t="s">
        <v>1120</v>
      </c>
      <c r="D672" s="17" t="s">
        <v>1121</v>
      </c>
      <c r="E672" s="122" t="str">
        <f>Main_Parameters!$C$189</f>
        <v>11</v>
      </c>
      <c r="F672" s="39"/>
      <c r="G672"/>
      <c r="H672"/>
      <c r="I672"/>
      <c r="J672"/>
      <c r="K672"/>
      <c r="L672"/>
      <c r="M672"/>
      <c r="N672"/>
      <c r="O672"/>
      <c r="P672"/>
      <c r="Q672"/>
      <c r="R672"/>
      <c r="S672"/>
      <c r="T672"/>
      <c r="U672"/>
      <c r="V672"/>
      <c r="W672"/>
      <c r="X672" s="376"/>
      <c r="Y672" s="376"/>
      <c r="Z672" s="376"/>
      <c r="AA672" s="376"/>
      <c r="AB672" s="376"/>
      <c r="AC672" s="376"/>
      <c r="AD672" s="376"/>
      <c r="AE672" s="376"/>
      <c r="AF672" s="376"/>
      <c r="AG672" s="376"/>
      <c r="AH672" s="376"/>
      <c r="AI672" s="376"/>
      <c r="AJ672" s="376"/>
      <c r="AK672" s="376"/>
      <c r="AL672" s="376"/>
      <c r="AM672" s="376"/>
      <c r="AN672" s="376"/>
      <c r="AO672" s="376"/>
      <c r="AP672" s="376"/>
      <c r="AQ672" s="376"/>
      <c r="AR672" s="376"/>
      <c r="AS672" s="376"/>
      <c r="AT672" s="376"/>
      <c r="AU672" s="376"/>
      <c r="AV672" s="376"/>
      <c r="AW672" s="376"/>
      <c r="AX672" s="376"/>
      <c r="AY672" s="376"/>
      <c r="AZ672" s="376"/>
      <c r="BA672" s="376"/>
      <c r="BB672" s="376"/>
      <c r="BC672" s="376"/>
    </row>
    <row r="673" spans="2:56" collapsed="1">
      <c r="B673" s="86" t="s">
        <v>15</v>
      </c>
      <c r="C673" s="90" t="s">
        <v>102</v>
      </c>
      <c r="D673" s="91"/>
      <c r="E673" s="124"/>
      <c r="F673" s="103"/>
      <c r="G673"/>
      <c r="H673"/>
      <c r="I673"/>
      <c r="J673"/>
      <c r="K673"/>
      <c r="L673"/>
      <c r="M673"/>
      <c r="N673"/>
      <c r="O673"/>
      <c r="P673"/>
      <c r="Q673"/>
      <c r="R673"/>
      <c r="S673"/>
      <c r="T673"/>
      <c r="U673"/>
      <c r="V673"/>
      <c r="W673"/>
      <c r="X673" s="376"/>
      <c r="AH673" s="376"/>
    </row>
    <row r="674" spans="2:56">
      <c r="B674" s="19" t="s">
        <v>88</v>
      </c>
      <c r="C674" s="8" t="s">
        <v>103</v>
      </c>
      <c r="D674" s="15" t="s">
        <v>105</v>
      </c>
      <c r="E674" s="121" t="str">
        <f>DEC2HEX(Y674*2^7+Z674*2^6+AA674*2^5+AB674*2^4+AC674*2^3+AD674*2^2+AE674*2^1+AF674,2)</f>
        <v>02</v>
      </c>
      <c r="F674" s="39"/>
      <c r="G674"/>
      <c r="H674" s="102" t="s">
        <v>164</v>
      </c>
      <c r="I674" s="99"/>
      <c r="J674" s="102" t="s">
        <v>165</v>
      </c>
      <c r="K674" s="99"/>
      <c r="L674" s="102" t="s">
        <v>166</v>
      </c>
      <c r="M674" s="99"/>
      <c r="N674" s="102" t="s">
        <v>167</v>
      </c>
      <c r="O674" s="99"/>
      <c r="P674" s="102" t="s">
        <v>168</v>
      </c>
      <c r="Q674" s="99"/>
      <c r="R674" s="101" t="s">
        <v>175</v>
      </c>
      <c r="S674" s="280" t="s">
        <v>177</v>
      </c>
      <c r="T674" s="493" t="s">
        <v>176</v>
      </c>
      <c r="U674" s="500"/>
      <c r="V674" s="494"/>
      <c r="W674" s="280" t="s">
        <v>178</v>
      </c>
      <c r="X674" s="376"/>
      <c r="Y674" s="168">
        <v>0</v>
      </c>
      <c r="Z674" s="168">
        <v>0</v>
      </c>
      <c r="AA674" s="168">
        <v>0</v>
      </c>
      <c r="AB674" s="168">
        <v>0</v>
      </c>
      <c r="AC674" s="168">
        <v>0</v>
      </c>
      <c r="AD674" s="168">
        <f>IF(S674="HotPlug",0,1)</f>
        <v>0</v>
      </c>
      <c r="AE674" s="168">
        <v>0</v>
      </c>
      <c r="AF674" s="168">
        <f>IF(W674="0ms",0,IF(W674="50ms",1,IF(W674="100ms",2,3)))</f>
        <v>2</v>
      </c>
      <c r="AH674" s="376"/>
    </row>
    <row r="675" spans="2:56">
      <c r="B675" s="19" t="s">
        <v>88</v>
      </c>
      <c r="C675" s="8" t="s">
        <v>104</v>
      </c>
      <c r="D675" s="15" t="s">
        <v>106</v>
      </c>
      <c r="E675" s="121" t="str">
        <f>DEC2HEX(Y675*2^7+Z675*2^6+AA675*2^5+AB675*2^4+AC675*2^3+AD675*2^2+AE675*2^1+AF675,2)</f>
        <v>10</v>
      </c>
      <c r="F675" s="39"/>
      <c r="G675"/>
      <c r="H675" s="102" t="s">
        <v>164</v>
      </c>
      <c r="I675" s="99"/>
      <c r="J675" s="102" t="s">
        <v>165</v>
      </c>
      <c r="K675" s="99"/>
      <c r="L675" s="102" t="s">
        <v>166</v>
      </c>
      <c r="M675" s="110"/>
      <c r="N675" s="104" t="s">
        <v>179</v>
      </c>
      <c r="O675" s="280" t="s">
        <v>2</v>
      </c>
      <c r="P675" s="102" t="s">
        <v>168</v>
      </c>
      <c r="Q675" s="99"/>
      <c r="R675" s="102" t="s">
        <v>169</v>
      </c>
      <c r="S675" s="99"/>
      <c r="T675" s="100" t="s">
        <v>170</v>
      </c>
      <c r="U675" s="493" t="s">
        <v>180</v>
      </c>
      <c r="V675" s="494"/>
      <c r="W675" s="280" t="s">
        <v>478</v>
      </c>
      <c r="X675" s="376"/>
      <c r="Y675" s="168">
        <v>0</v>
      </c>
      <c r="Z675" s="168">
        <v>0</v>
      </c>
      <c r="AA675" s="168">
        <v>0</v>
      </c>
      <c r="AB675" s="168">
        <f>IF(O675="Manual",0,1)</f>
        <v>1</v>
      </c>
      <c r="AC675" s="168">
        <v>0</v>
      </c>
      <c r="AD675" s="168">
        <v>0</v>
      </c>
      <c r="AE675" s="168">
        <v>0</v>
      </c>
      <c r="AF675" s="168">
        <f>IF(W675="L Out",0,1)</f>
        <v>0</v>
      </c>
      <c r="AH675" s="376"/>
    </row>
    <row r="676" spans="2:56">
      <c r="B676" s="86" t="s">
        <v>15</v>
      </c>
      <c r="C676" s="90" t="s">
        <v>116</v>
      </c>
      <c r="D676" s="91"/>
      <c r="E676" s="124"/>
      <c r="F676" s="103"/>
      <c r="G676"/>
      <c r="H676"/>
      <c r="I676" s="2"/>
      <c r="Q676"/>
      <c r="R676"/>
      <c r="S676"/>
      <c r="T676"/>
      <c r="U676"/>
      <c r="V676"/>
      <c r="W676"/>
      <c r="X676" s="376"/>
      <c r="AH676" s="376"/>
    </row>
    <row r="677" spans="2:56">
      <c r="B677" s="97" t="str">
        <f>IF(Main_Parameters!$M$4="Disable","REMnd","WR8")</f>
        <v>WR8</v>
      </c>
      <c r="C677" s="5" t="s">
        <v>117</v>
      </c>
      <c r="D677" s="17" t="s">
        <v>152</v>
      </c>
      <c r="E677" s="121" t="str">
        <f>DEC2HEX(Y677*2^7+Z677*2^6+AA677*2^5+AB677*2^4+AC677*2^3+AD677*2^2+AE677*2^1+AF677,2)</f>
        <v>00</v>
      </c>
      <c r="F677" s="39" t="s">
        <v>443</v>
      </c>
      <c r="G677"/>
      <c r="H677" s="102" t="s">
        <v>164</v>
      </c>
      <c r="I677" s="99"/>
      <c r="J677" s="102" t="s">
        <v>165</v>
      </c>
      <c r="K677" s="99"/>
      <c r="L677" s="102" t="s">
        <v>166</v>
      </c>
      <c r="M677" s="99"/>
      <c r="N677" s="100" t="s">
        <v>441</v>
      </c>
      <c r="O677" s="280" t="s">
        <v>445</v>
      </c>
      <c r="P677" s="102" t="s">
        <v>168</v>
      </c>
      <c r="Q677" s="99"/>
      <c r="R677" s="102" t="s">
        <v>169</v>
      </c>
      <c r="S677" s="99"/>
      <c r="T677" s="102" t="s">
        <v>170</v>
      </c>
      <c r="U677" s="99"/>
      <c r="V677" s="100" t="s">
        <v>442</v>
      </c>
      <c r="W677" s="280" t="s">
        <v>445</v>
      </c>
      <c r="X677" s="376"/>
      <c r="Y677" s="168">
        <v>0</v>
      </c>
      <c r="Z677" s="168">
        <v>0</v>
      </c>
      <c r="AA677" s="168">
        <v>0</v>
      </c>
      <c r="AB677" s="168">
        <f>IF(O677="OFF",0,1)</f>
        <v>0</v>
      </c>
      <c r="AC677" s="168">
        <v>0</v>
      </c>
      <c r="AD677" s="168">
        <v>0</v>
      </c>
      <c r="AE677" s="168">
        <v>0</v>
      </c>
      <c r="AF677" s="168">
        <f>IF(W677="OFF",0,1)</f>
        <v>0</v>
      </c>
      <c r="AH677" s="376"/>
    </row>
    <row r="678" spans="2:56">
      <c r="B678" s="97" t="str">
        <f>IF(Main_Parameters!$M$4="Disable","REMnd","WR8")</f>
        <v>WR8</v>
      </c>
      <c r="C678" s="5" t="s">
        <v>118</v>
      </c>
      <c r="D678" s="17" t="s">
        <v>153</v>
      </c>
      <c r="E678" s="121" t="str">
        <f>DEC2HEX(Y678*2^7+Z678*2^6+AA678*2^5+AB678*2^4+AC678*2^3+AD678*2^2+AE678*2^1+AF678,2)</f>
        <v>F3</v>
      </c>
      <c r="F678" s="39"/>
      <c r="G678"/>
      <c r="H678" s="100" t="s">
        <v>446</v>
      </c>
      <c r="I678" s="280" t="s">
        <v>455</v>
      </c>
      <c r="J678" s="100" t="s">
        <v>447</v>
      </c>
      <c r="K678" s="280" t="s">
        <v>455</v>
      </c>
      <c r="L678" s="100" t="s">
        <v>448</v>
      </c>
      <c r="M678" s="280" t="s">
        <v>455</v>
      </c>
      <c r="N678" s="100" t="s">
        <v>449</v>
      </c>
      <c r="O678" s="280" t="s">
        <v>455</v>
      </c>
      <c r="P678" s="100" t="s">
        <v>450</v>
      </c>
      <c r="Q678" s="280" t="s">
        <v>454</v>
      </c>
      <c r="R678" s="100" t="s">
        <v>451</v>
      </c>
      <c r="S678" s="280" t="s">
        <v>454</v>
      </c>
      <c r="T678" s="100" t="s">
        <v>452</v>
      </c>
      <c r="U678" s="280" t="s">
        <v>455</v>
      </c>
      <c r="V678" s="100" t="s">
        <v>453</v>
      </c>
      <c r="W678" s="280" t="s">
        <v>455</v>
      </c>
      <c r="X678" s="376"/>
      <c r="Y678" s="168">
        <f>IF(I678="Not Set",0,1)</f>
        <v>1</v>
      </c>
      <c r="Z678" s="168">
        <f>IF(K678="Not Set",0,1)</f>
        <v>1</v>
      </c>
      <c r="AA678" s="168">
        <f>IF(M678="Not Set",0,1)</f>
        <v>1</v>
      </c>
      <c r="AB678" s="168">
        <f>IF(O678="Not Set",0,1)</f>
        <v>1</v>
      </c>
      <c r="AC678" s="168">
        <f>IF(Q678="Not Set",0,1)</f>
        <v>0</v>
      </c>
      <c r="AD678" s="168">
        <f>IF(S678="Not Set",0,1)</f>
        <v>0</v>
      </c>
      <c r="AE678" s="168">
        <f>IF(U678="Not Set",0,1)</f>
        <v>1</v>
      </c>
      <c r="AF678" s="168">
        <f>IF(W678="Not Set",0,1)</f>
        <v>1</v>
      </c>
      <c r="AH678" s="376"/>
    </row>
    <row r="679" spans="2:56">
      <c r="B679" s="97" t="str">
        <f>IF(Main_Parameters!$M$4="Disable","REMnd","WR8")</f>
        <v>WR8</v>
      </c>
      <c r="C679" s="5" t="s">
        <v>119</v>
      </c>
      <c r="D679" s="17" t="s">
        <v>154</v>
      </c>
      <c r="E679" s="121" t="str">
        <f>DEC2HEX(Y679*2^7+Z679*2^6+AA679*2^5+AB679*2^4+AC679*2^3+AD679*2^2+AE679*2^1+AF679,2)</f>
        <v>02</v>
      </c>
      <c r="F679" s="39"/>
      <c r="G679"/>
      <c r="H679" s="102" t="s">
        <v>164</v>
      </c>
      <c r="I679" s="99"/>
      <c r="J679" s="102" t="s">
        <v>165</v>
      </c>
      <c r="K679" s="99"/>
      <c r="L679" s="102" t="s">
        <v>166</v>
      </c>
      <c r="M679" s="99"/>
      <c r="N679" s="102" t="s">
        <v>167</v>
      </c>
      <c r="O679" s="99"/>
      <c r="P679" s="102" t="s">
        <v>168</v>
      </c>
      <c r="Q679" s="99"/>
      <c r="R679" s="100" t="s">
        <v>458</v>
      </c>
      <c r="S679" s="280" t="s">
        <v>454</v>
      </c>
      <c r="T679" s="100" t="s">
        <v>457</v>
      </c>
      <c r="U679" s="280" t="s">
        <v>455</v>
      </c>
      <c r="V679" s="100" t="s">
        <v>456</v>
      </c>
      <c r="W679" s="280" t="s">
        <v>454</v>
      </c>
      <c r="X679" s="376"/>
      <c r="Y679" s="168">
        <v>0</v>
      </c>
      <c r="Z679" s="168">
        <v>0</v>
      </c>
      <c r="AA679" s="168">
        <v>0</v>
      </c>
      <c r="AB679" s="168">
        <v>0</v>
      </c>
      <c r="AC679" s="168">
        <v>0</v>
      </c>
      <c r="AD679" s="168">
        <f>IF(S679="Not Set",0,1)</f>
        <v>0</v>
      </c>
      <c r="AE679" s="168">
        <f>IF(U679="Not Set",0,1)</f>
        <v>1</v>
      </c>
      <c r="AF679" s="168">
        <f>IF(W679="Not Set",0,1)</f>
        <v>0</v>
      </c>
      <c r="AH679" s="376"/>
    </row>
    <row r="680" spans="2:56">
      <c r="B680" s="97" t="str">
        <f>IF(Main_Parameters!$M$4="Disable","REMnd","WR8")</f>
        <v>WR8</v>
      </c>
      <c r="C680" s="5" t="s">
        <v>120</v>
      </c>
      <c r="D680" s="17" t="s">
        <v>155</v>
      </c>
      <c r="E680" s="121" t="str">
        <f>DEC2HEX(Y680*2^7+Z680*2^6+AA680*2^5+AB680*2^4+AC680*2^3+AD680*2^2+AE680*2^1+AF680,2)</f>
        <v>0C</v>
      </c>
      <c r="F680" s="39"/>
      <c r="G680"/>
      <c r="H680" s="102" t="s">
        <v>164</v>
      </c>
      <c r="I680" s="99"/>
      <c r="J680" s="102" t="s">
        <v>165</v>
      </c>
      <c r="K680" s="99"/>
      <c r="L680" s="102" t="s">
        <v>166</v>
      </c>
      <c r="M680" s="99"/>
      <c r="N680" s="102" t="s">
        <v>167</v>
      </c>
      <c r="O680" s="99"/>
      <c r="P680" s="100" t="s">
        <v>459</v>
      </c>
      <c r="Q680" s="280" t="s">
        <v>461</v>
      </c>
      <c r="R680" s="100" t="s">
        <v>460</v>
      </c>
      <c r="S680" s="280" t="s">
        <v>462</v>
      </c>
      <c r="T680" s="102" t="s">
        <v>170</v>
      </c>
      <c r="U680" s="99"/>
      <c r="V680" s="102" t="s">
        <v>171</v>
      </c>
      <c r="W680" s="99"/>
      <c r="X680" s="376"/>
      <c r="Y680" s="168">
        <v>0</v>
      </c>
      <c r="Z680" s="168">
        <v>0</v>
      </c>
      <c r="AA680" s="168">
        <v>0</v>
      </c>
      <c r="AB680" s="168">
        <v>0</v>
      </c>
      <c r="AC680" s="168">
        <f>IF(Q680="Not Clear",0,1)</f>
        <v>1</v>
      </c>
      <c r="AD680" s="168">
        <f>IF(S680="Not Issue",0,1)</f>
        <v>1</v>
      </c>
      <c r="AE680" s="168">
        <v>0</v>
      </c>
      <c r="AF680" s="168">
        <v>0</v>
      </c>
      <c r="AH680" s="376"/>
    </row>
    <row r="681" spans="2:56" ht="15">
      <c r="B681" s="97" t="str">
        <f>IF(Main_Parameters!$M$4="Disable","REMnd","WR8")</f>
        <v>WR8</v>
      </c>
      <c r="C681" s="5" t="s">
        <v>121</v>
      </c>
      <c r="D681" s="17" t="s">
        <v>156</v>
      </c>
      <c r="E681" s="109" t="str">
        <f>DEC2HEX(AF681,2)</f>
        <v>05</v>
      </c>
      <c r="F681" s="39"/>
      <c r="G681"/>
      <c r="H681" s="107"/>
      <c r="I681" s="108"/>
      <c r="J681" s="108"/>
      <c r="K681" s="108"/>
      <c r="L681" s="108"/>
      <c r="M681" s="108"/>
      <c r="N681" s="108"/>
      <c r="O681" s="108"/>
      <c r="P681" s="108"/>
      <c r="Q681" s="108"/>
      <c r="R681" s="108"/>
      <c r="S681" s="108"/>
      <c r="T681" s="108"/>
      <c r="U681" s="106" t="s">
        <v>463</v>
      </c>
      <c r="V681" s="132" t="str">
        <f>IF(W681&gt;=0.1,IF(W681&lt;=25.5,"OK","NG"),"NG")</f>
        <v>OK</v>
      </c>
      <c r="W681" s="287">
        <v>0.5</v>
      </c>
      <c r="X681" s="376"/>
      <c r="AF681" s="168">
        <f>ROUNDUP(W681*10,0)</f>
        <v>5</v>
      </c>
      <c r="AH681" s="376"/>
    </row>
    <row r="682" spans="2:56" ht="15" customHeight="1">
      <c r="B682" s="97" t="str">
        <f>IF(Main_Parameters!$M$4="Disable","REMnd","WR8")</f>
        <v>WR8</v>
      </c>
      <c r="C682" s="5" t="s">
        <v>122</v>
      </c>
      <c r="D682" s="17" t="s">
        <v>157</v>
      </c>
      <c r="E682" s="121" t="str">
        <f>DEC2HEX(Y682*2^7+Z682*2^6+AA682*2^5+AB682*2^4+AC682*2^3+AD682*2^2+AE682*2^1+AF682,2)</f>
        <v>00</v>
      </c>
      <c r="F682" s="39"/>
      <c r="G682"/>
      <c r="H682" s="100" t="s">
        <v>464</v>
      </c>
      <c r="I682" s="280" t="s">
        <v>472</v>
      </c>
      <c r="J682" s="100" t="s">
        <v>465</v>
      </c>
      <c r="K682" s="280" t="s">
        <v>472</v>
      </c>
      <c r="L682" s="100" t="s">
        <v>466</v>
      </c>
      <c r="M682" s="280" t="s">
        <v>472</v>
      </c>
      <c r="N682" s="100" t="s">
        <v>467</v>
      </c>
      <c r="O682" s="280" t="s">
        <v>472</v>
      </c>
      <c r="P682" s="100" t="s">
        <v>468</v>
      </c>
      <c r="Q682" s="280" t="s">
        <v>472</v>
      </c>
      <c r="R682" s="100" t="s">
        <v>470</v>
      </c>
      <c r="S682" s="280" t="s">
        <v>472</v>
      </c>
      <c r="T682" s="100" t="s">
        <v>469</v>
      </c>
      <c r="U682" s="280" t="s">
        <v>472</v>
      </c>
      <c r="V682" s="100" t="s">
        <v>471</v>
      </c>
      <c r="W682" s="280" t="s">
        <v>472</v>
      </c>
      <c r="X682" s="376"/>
      <c r="Y682" s="168">
        <f>IF(I682="Not Mute",0,1)</f>
        <v>0</v>
      </c>
      <c r="Z682" s="168">
        <f>IF(K682="Not Mute",0,1)</f>
        <v>0</v>
      </c>
      <c r="AA682" s="168">
        <f>IF(M682="Not Mute",0,1)</f>
        <v>0</v>
      </c>
      <c r="AB682" s="168">
        <f>IF(O682="Not Mute",0,1)</f>
        <v>0</v>
      </c>
      <c r="AC682" s="168">
        <f>IF(Q682="Not Mute",0,1)</f>
        <v>0</v>
      </c>
      <c r="AD682" s="168">
        <f>IF(S682="Not Mute",0,1)</f>
        <v>0</v>
      </c>
      <c r="AE682" s="168">
        <f>IF(U682="Not Mute",0,1)</f>
        <v>0</v>
      </c>
      <c r="AF682" s="168">
        <f>IF(W682="Not Mute",0,1)</f>
        <v>0</v>
      </c>
      <c r="AH682" s="376"/>
    </row>
    <row r="683" spans="2:56">
      <c r="B683" s="97" t="str">
        <f>IF(Main_Parameters!$M$4="Disable","REMnd","WR8")</f>
        <v>WR8</v>
      </c>
      <c r="C683" s="5" t="s">
        <v>124</v>
      </c>
      <c r="D683" s="17" t="s">
        <v>158</v>
      </c>
      <c r="E683" s="121" t="str">
        <f>DEC2HEX(Y683*2^7+Z683*2^6+AA683*2^5+AB683*2^4+AC683*2^3+AD683*2^2+AE683*2^1+AF683,2)</f>
        <v>02</v>
      </c>
      <c r="F683" s="39"/>
      <c r="G683"/>
      <c r="H683" s="102" t="s">
        <v>164</v>
      </c>
      <c r="I683" s="99"/>
      <c r="J683" s="493" t="s">
        <v>474</v>
      </c>
      <c r="K683" s="500"/>
      <c r="L683" s="500"/>
      <c r="M683" s="500"/>
      <c r="N683" s="494"/>
      <c r="O683" s="280" t="s">
        <v>475</v>
      </c>
      <c r="P683" s="102" t="s">
        <v>168</v>
      </c>
      <c r="Q683" s="99"/>
      <c r="R683" s="102" t="s">
        <v>169</v>
      </c>
      <c r="S683" s="99"/>
      <c r="T683" s="493" t="s">
        <v>476</v>
      </c>
      <c r="U683" s="500"/>
      <c r="V683" s="494"/>
      <c r="W683" s="280" t="s">
        <v>477</v>
      </c>
      <c r="X683" s="376"/>
      <c r="Y683" s="168">
        <v>0</v>
      </c>
      <c r="Z683" s="168">
        <v>0</v>
      </c>
      <c r="AA683" s="168">
        <v>0</v>
      </c>
      <c r="AB683" s="168">
        <f>IF(O683="16b_8bDscd",0,IF(O683="16b_8+1Dscd",1,IF(O683="18b_6bDscd",2,IF(O683="18b_6+1Dscd",3,IF(O683="20b_4bDscd",4,IF(O683="20b_4+1Dscd",5,IF(O683="24b",6,7)))))))</f>
        <v>0</v>
      </c>
      <c r="AC683" s="168">
        <v>0</v>
      </c>
      <c r="AD683" s="168">
        <v>0</v>
      </c>
      <c r="AE683" s="168">
        <v>0</v>
      </c>
      <c r="AF683" s="168">
        <f>IF(W683="Right Jstfd",0,IF(W683="Left Jstfd",1,2))</f>
        <v>2</v>
      </c>
      <c r="AH683" s="376"/>
    </row>
    <row r="684" spans="2:56">
      <c r="B684" s="97" t="str">
        <f>IF(Main_Parameters!$M$4="Disable","REMnd","WR32")</f>
        <v>WR32</v>
      </c>
      <c r="C684" s="5" t="s">
        <v>1094</v>
      </c>
      <c r="D684" s="16" t="s">
        <v>743</v>
      </c>
      <c r="E684" s="109" t="str">
        <f>DEC2HEX(6.144*2^28/Main_Parameters!$C$72, 8)</f>
        <v>020C49BA</v>
      </c>
      <c r="F684" s="39"/>
      <c r="G684"/>
      <c r="H684"/>
      <c r="I684"/>
      <c r="J684"/>
      <c r="K684"/>
      <c r="L684"/>
      <c r="M684"/>
      <c r="N684"/>
      <c r="O684"/>
      <c r="P684"/>
      <c r="Q684"/>
      <c r="R684"/>
      <c r="S684"/>
      <c r="T684"/>
      <c r="U684"/>
      <c r="V684"/>
      <c r="W684"/>
      <c r="X684" s="376"/>
      <c r="AH684" s="376"/>
    </row>
    <row r="685" spans="2:56">
      <c r="B685" s="97" t="str">
        <f>IF(Main_Parameters!$M$4="Disable","REMnd","WR32")</f>
        <v>WR32</v>
      </c>
      <c r="C685" s="5" t="s">
        <v>1095</v>
      </c>
      <c r="D685" s="16" t="s">
        <v>744</v>
      </c>
      <c r="E685" s="109" t="str">
        <f>DEC2HEX(5.6448*2^28/Main_Parameters!$C$72, 8)</f>
        <v>01E1B089</v>
      </c>
      <c r="F685" s="39"/>
      <c r="G685"/>
      <c r="H685"/>
      <c r="I685"/>
      <c r="J685"/>
      <c r="K685"/>
      <c r="L685"/>
      <c r="M685"/>
      <c r="N685"/>
      <c r="O685"/>
      <c r="P685"/>
      <c r="Q685"/>
      <c r="R685"/>
      <c r="S685"/>
      <c r="T685"/>
      <c r="U685"/>
      <c r="V685"/>
      <c r="W685"/>
      <c r="X685" s="376"/>
      <c r="AH685" s="376"/>
    </row>
    <row r="686" spans="2:56">
      <c r="B686" s="97" t="str">
        <f>IF(Main_Parameters!$M$4="Disable","REMnd","WR8")</f>
        <v>WR8</v>
      </c>
      <c r="C686" s="5" t="s">
        <v>1096</v>
      </c>
      <c r="D686" s="17" t="s">
        <v>1097</v>
      </c>
      <c r="E686" s="122" t="str">
        <f>DEC2HEX(AW686*2^7+AX686*2^6+AY686*2^5+AZ686*2^4+BA686*2^3+BB686*2^2+BC686*2^1+BD686*2^0,2)</f>
        <v>00</v>
      </c>
      <c r="F686" s="39"/>
      <c r="G686"/>
      <c r="H686" s="102" t="s">
        <v>164</v>
      </c>
      <c r="I686" s="99"/>
      <c r="J686" s="102" t="s">
        <v>165</v>
      </c>
      <c r="K686" s="99"/>
      <c r="L686" s="102" t="s">
        <v>166</v>
      </c>
      <c r="M686" s="99"/>
      <c r="N686" s="102" t="s">
        <v>167</v>
      </c>
      <c r="O686" s="99"/>
      <c r="P686" s="102" t="s">
        <v>168</v>
      </c>
      <c r="Q686" s="99"/>
      <c r="R686" s="102" t="s">
        <v>169</v>
      </c>
      <c r="S686" s="99"/>
      <c r="T686" s="501" t="s">
        <v>1098</v>
      </c>
      <c r="U686" s="502"/>
      <c r="V686" s="503"/>
      <c r="W686" s="280" t="s">
        <v>1099</v>
      </c>
      <c r="X686" s="376"/>
      <c r="AH686" s="376"/>
      <c r="AW686" s="168">
        <v>0</v>
      </c>
      <c r="AX686" s="168">
        <v>0</v>
      </c>
      <c r="AY686" s="168">
        <v>0</v>
      </c>
      <c r="AZ686" s="168">
        <v>0</v>
      </c>
      <c r="BA686" s="168">
        <v>0</v>
      </c>
      <c r="BB686" s="168">
        <v>0</v>
      </c>
      <c r="BC686" s="168">
        <v>0</v>
      </c>
      <c r="BD686" s="168">
        <f>IF(W686="Normal Aud",0,IF(W686="HBR Aud",1,2))</f>
        <v>0</v>
      </c>
    </row>
    <row r="687" spans="2:56" ht="15" customHeight="1" collapsed="1">
      <c r="B687" s="86" t="s">
        <v>15</v>
      </c>
      <c r="C687" s="90" t="s">
        <v>836</v>
      </c>
      <c r="D687" s="91"/>
      <c r="E687" s="124"/>
      <c r="F687" s="103"/>
      <c r="G687"/>
      <c r="H687"/>
      <c r="I687"/>
      <c r="J687"/>
      <c r="K687"/>
      <c r="L687"/>
      <c r="M687"/>
      <c r="N687"/>
      <c r="O687"/>
      <c r="P687"/>
      <c r="Q687"/>
      <c r="R687"/>
      <c r="S687"/>
      <c r="T687"/>
      <c r="U687"/>
      <c r="V687"/>
      <c r="W687"/>
    </row>
    <row r="688" spans="2:56">
      <c r="B688" s="19" t="s">
        <v>88</v>
      </c>
      <c r="C688" s="5" t="s">
        <v>126</v>
      </c>
      <c r="D688" s="17" t="s">
        <v>159</v>
      </c>
      <c r="E688" s="89" t="s">
        <v>123</v>
      </c>
      <c r="F688" s="39"/>
      <c r="G688"/>
      <c r="J688" s="18"/>
    </row>
    <row r="689" spans="2:57">
      <c r="B689" s="86" t="s">
        <v>15</v>
      </c>
      <c r="C689" s="90" t="s">
        <v>1172</v>
      </c>
      <c r="D689" s="91"/>
      <c r="E689" s="124"/>
      <c r="F689" s="103"/>
      <c r="G689"/>
      <c r="H689"/>
      <c r="I689"/>
      <c r="J689"/>
      <c r="K689"/>
      <c r="L689"/>
      <c r="M689"/>
      <c r="N689"/>
      <c r="O689"/>
      <c r="P689"/>
      <c r="Q689"/>
      <c r="R689"/>
      <c r="S689"/>
      <c r="T689"/>
      <c r="U689"/>
      <c r="V689"/>
      <c r="W689"/>
    </row>
    <row r="690" spans="2:57" collapsed="1">
      <c r="B690" s="19" t="s">
        <v>745</v>
      </c>
      <c r="C690" s="5" t="s">
        <v>1170</v>
      </c>
      <c r="D690" s="17" t="s">
        <v>780</v>
      </c>
      <c r="E690" s="109" t="str">
        <f>Main_Parameters!$C$119</f>
        <v>0C37</v>
      </c>
      <c r="F690" s="39"/>
      <c r="G690"/>
      <c r="H690"/>
      <c r="I690"/>
      <c r="J690"/>
      <c r="K690"/>
      <c r="L690"/>
      <c r="M690"/>
      <c r="N690"/>
      <c r="O690"/>
      <c r="P690"/>
      <c r="Q690"/>
      <c r="R690"/>
      <c r="S690"/>
      <c r="T690"/>
      <c r="U690"/>
      <c r="V690"/>
      <c r="W690"/>
    </row>
    <row r="691" spans="2:57">
      <c r="B691" s="19" t="s">
        <v>161</v>
      </c>
      <c r="C691" s="5" t="s">
        <v>1171</v>
      </c>
      <c r="D691" s="17" t="s">
        <v>1148</v>
      </c>
      <c r="E691" s="109" t="str">
        <f>Main_Parameters!$C$121</f>
        <v>0000</v>
      </c>
      <c r="F691" s="39"/>
      <c r="G691"/>
      <c r="H691"/>
      <c r="I691" s="2"/>
    </row>
    <row r="692" spans="2:57">
      <c r="B692" s="136" t="s">
        <v>15</v>
      </c>
      <c r="C692" s="137" t="s">
        <v>1543</v>
      </c>
      <c r="D692" s="176"/>
      <c r="E692" s="177"/>
      <c r="F692" s="178"/>
      <c r="G692"/>
      <c r="H692"/>
      <c r="I692"/>
      <c r="J692"/>
      <c r="K692"/>
      <c r="L692"/>
      <c r="M692"/>
      <c r="N692"/>
      <c r="O692"/>
      <c r="P692"/>
      <c r="Q692"/>
      <c r="R692"/>
      <c r="S692"/>
      <c r="T692"/>
      <c r="U692"/>
    </row>
    <row r="693" spans="2:57" ht="15">
      <c r="B693" s="19" t="s">
        <v>75</v>
      </c>
      <c r="C693" s="254" t="s">
        <v>890</v>
      </c>
      <c r="D693" s="255" t="s">
        <v>891</v>
      </c>
      <c r="E693" s="122" t="str">
        <f>DEC2HEX(Y693*2^31+Z693*2^30+AA693*2^29+AB693*2^28+AC693*2^27+AD693*2^26+AE693*2^25+AF693*2^24+AG693*2^23+AH693*2^22+AI693*2^21+AJ693*2^20+AK693*2^19+AL693*2^18+AM693*2^17+AN693*2^16+AO693*2^15+AP693*2^14+AQ693*2^13+AR693*2^12+AS693*2^11+AT693*2^10+AU693*2^9+AV693*2^8+AW693*2^7+AX693*2^6+AY693*2^5+AZ693*2^4+BA693*2^3+BB693*2^2+BC693*2^1+BD693*2^0,8)</f>
        <v>00000006</v>
      </c>
      <c r="F693" s="179"/>
      <c r="G693"/>
      <c r="H693" s="265"/>
      <c r="I693" s="268"/>
      <c r="J693" s="268"/>
      <c r="K693" s="268"/>
      <c r="L693" s="268"/>
      <c r="M693" s="266"/>
      <c r="N693" s="258" t="s">
        <v>1226</v>
      </c>
      <c r="O693" s="150" t="s">
        <v>1269</v>
      </c>
      <c r="P693" s="258"/>
      <c r="Q693" s="360"/>
      <c r="R693" s="261" t="s">
        <v>1228</v>
      </c>
      <c r="S693" s="302" t="str">
        <f>Main_Parameters!$M$23</f>
        <v>L Active</v>
      </c>
      <c r="T693" s="261" t="s">
        <v>1227</v>
      </c>
      <c r="U693" s="302" t="str">
        <f>Main_Parameters!$M$24</f>
        <v>L Active</v>
      </c>
      <c r="V693" s="277"/>
      <c r="W693" s="261"/>
      <c r="X693" s="376"/>
      <c r="Y693" s="168">
        <v>0</v>
      </c>
      <c r="Z693" s="168">
        <v>0</v>
      </c>
      <c r="AA693" s="168">
        <v>0</v>
      </c>
      <c r="AB693" s="168">
        <v>0</v>
      </c>
      <c r="AC693" s="168">
        <v>0</v>
      </c>
      <c r="AD693" s="168">
        <v>0</v>
      </c>
      <c r="AE693" s="168">
        <v>0</v>
      </c>
      <c r="AF693" s="168">
        <v>0</v>
      </c>
      <c r="AG693" s="168">
        <v>0</v>
      </c>
      <c r="AH693" s="168">
        <v>0</v>
      </c>
      <c r="AI693" s="168">
        <v>0</v>
      </c>
      <c r="AJ693" s="168">
        <v>0</v>
      </c>
      <c r="AK693" s="168">
        <v>0</v>
      </c>
      <c r="AL693" s="168">
        <v>0</v>
      </c>
      <c r="AM693" s="168">
        <v>0</v>
      </c>
      <c r="AN693" s="168">
        <v>0</v>
      </c>
      <c r="AO693" s="168">
        <v>0</v>
      </c>
      <c r="AP693" s="168">
        <v>0</v>
      </c>
      <c r="AQ693" s="168">
        <v>0</v>
      </c>
      <c r="AR693" s="168">
        <v>0</v>
      </c>
      <c r="AS693" s="168">
        <v>0</v>
      </c>
      <c r="AT693" s="168">
        <v>0</v>
      </c>
      <c r="AU693" s="168">
        <v>0</v>
      </c>
      <c r="AV693" s="168">
        <v>0</v>
      </c>
      <c r="AW693" s="168">
        <v>0</v>
      </c>
      <c r="AX693" s="168">
        <v>0</v>
      </c>
      <c r="AY693" s="168">
        <v>0</v>
      </c>
      <c r="AZ693" s="168">
        <f>IF(O693="LP",1,0)</f>
        <v>0</v>
      </c>
      <c r="BA693" s="168">
        <v>0</v>
      </c>
      <c r="BB693" s="168">
        <f>IF(S693="H Active",0,1)</f>
        <v>1</v>
      </c>
      <c r="BC693" s="168">
        <f>IF(U693="H Active",0,1)</f>
        <v>1</v>
      </c>
      <c r="BD693" s="168">
        <v>0</v>
      </c>
      <c r="BE693" s="376"/>
    </row>
    <row r="694" spans="2:57" ht="15">
      <c r="B694" s="19" t="s">
        <v>75</v>
      </c>
      <c r="C694" s="254" t="s">
        <v>890</v>
      </c>
      <c r="D694" s="255" t="s">
        <v>952</v>
      </c>
      <c r="E694" s="122" t="str">
        <f>DEC2HEX(Y694*2^31+Z694*2^30+AA694*2^29+AB694*2^28+AC694*2^27+AD694*2^26+AE694*2^25+AF694*2^24+AG694*2^23+AH694*2^22+AI694*2^21+AJ694*2^20+AK694*2^19+AL694*2^18+AM694*2^17+AN694*2^16+AO694*2^15+AP694*2^14+AQ694*2^13+AR694*2^12+AS694*2^11+AT694*2^10+AU694*2^9+AV694*2^8+AW694*2^7+AX694*2^6+AY694*2^5+AZ694*2^4+BA694*2^3+BB694*2^2+BC694*2^1+BD694*2^0,8)</f>
        <v>00000006</v>
      </c>
      <c r="F694" s="179"/>
      <c r="G694"/>
      <c r="H694" s="265"/>
      <c r="I694" s="268"/>
      <c r="J694" s="268"/>
      <c r="K694" s="268"/>
      <c r="L694" s="268"/>
      <c r="M694" s="266"/>
      <c r="N694" s="261" t="s">
        <v>1226</v>
      </c>
      <c r="O694" s="223" t="s">
        <v>1269</v>
      </c>
      <c r="P694" s="258"/>
      <c r="Q694" s="259"/>
      <c r="R694" s="261" t="s">
        <v>1228</v>
      </c>
      <c r="S694" s="302" t="str">
        <f>Main_Parameters!$M$23</f>
        <v>L Active</v>
      </c>
      <c r="T694" s="261" t="s">
        <v>1227</v>
      </c>
      <c r="U694" s="302" t="str">
        <f>Main_Parameters!$M$24</f>
        <v>L Active</v>
      </c>
      <c r="V694" s="277"/>
      <c r="W694" s="261"/>
      <c r="X694" s="376"/>
      <c r="Y694" s="168">
        <v>0</v>
      </c>
      <c r="Z694" s="168">
        <v>0</v>
      </c>
      <c r="AA694" s="168">
        <v>0</v>
      </c>
      <c r="AB694" s="168">
        <v>0</v>
      </c>
      <c r="AC694" s="168">
        <v>0</v>
      </c>
      <c r="AD694" s="168">
        <v>0</v>
      </c>
      <c r="AE694" s="168">
        <v>0</v>
      </c>
      <c r="AF694" s="168">
        <v>0</v>
      </c>
      <c r="AG694" s="168">
        <v>0</v>
      </c>
      <c r="AH694" s="168">
        <v>0</v>
      </c>
      <c r="AI694" s="168">
        <v>0</v>
      </c>
      <c r="AJ694" s="168">
        <v>0</v>
      </c>
      <c r="AK694" s="168">
        <v>0</v>
      </c>
      <c r="AL694" s="168">
        <v>0</v>
      </c>
      <c r="AM694" s="168">
        <v>0</v>
      </c>
      <c r="AN694" s="168">
        <v>0</v>
      </c>
      <c r="AO694" s="168">
        <v>0</v>
      </c>
      <c r="AP694" s="168">
        <v>0</v>
      </c>
      <c r="AQ694" s="168">
        <v>0</v>
      </c>
      <c r="AR694" s="168">
        <v>0</v>
      </c>
      <c r="AS694" s="168">
        <v>0</v>
      </c>
      <c r="AT694" s="168">
        <v>0</v>
      </c>
      <c r="AU694" s="168">
        <v>0</v>
      </c>
      <c r="AV694" s="168">
        <v>0</v>
      </c>
      <c r="AW694" s="168">
        <v>0</v>
      </c>
      <c r="AX694" s="168">
        <v>0</v>
      </c>
      <c r="AY694" s="168">
        <v>0</v>
      </c>
      <c r="AZ694" s="168">
        <f>IF(O694="LP",1,0)</f>
        <v>0</v>
      </c>
      <c r="BA694" s="168">
        <v>0</v>
      </c>
      <c r="BB694" s="168">
        <f>IF(S694="H Active",0,1)</f>
        <v>1</v>
      </c>
      <c r="BC694" s="168">
        <f>IF(U694="H Active",0,1)</f>
        <v>1</v>
      </c>
      <c r="BD694" s="168">
        <v>0</v>
      </c>
      <c r="BE694" s="376"/>
    </row>
    <row r="695" spans="2:57" outlineLevel="1">
      <c r="B695" s="230" t="s">
        <v>828</v>
      </c>
      <c r="C695" s="231"/>
      <c r="D695" s="233">
        <v>1000000</v>
      </c>
      <c r="E695" s="233"/>
      <c r="F695" s="234"/>
      <c r="G695"/>
      <c r="H695"/>
      <c r="I695"/>
      <c r="J695"/>
      <c r="K695"/>
      <c r="L695"/>
      <c r="M695"/>
      <c r="N695"/>
      <c r="O695"/>
      <c r="P695"/>
      <c r="Q695"/>
      <c r="R695"/>
      <c r="S695"/>
      <c r="T695"/>
      <c r="U695"/>
      <c r="V695"/>
      <c r="W695"/>
    </row>
    <row r="696" spans="2:57" outlineLevel="1">
      <c r="B696" s="230" t="s">
        <v>1276</v>
      </c>
      <c r="C696" s="231" t="s">
        <v>1307</v>
      </c>
      <c r="D696" s="232"/>
      <c r="E696" s="233"/>
      <c r="F696" s="234"/>
      <c r="G696"/>
      <c r="H696"/>
      <c r="I696"/>
      <c r="J696"/>
      <c r="K696"/>
      <c r="L696"/>
      <c r="M696"/>
      <c r="N696"/>
      <c r="O696"/>
      <c r="P696"/>
      <c r="Q696"/>
      <c r="R696"/>
      <c r="S696"/>
      <c r="T696"/>
      <c r="U696"/>
      <c r="V696"/>
      <c r="W696"/>
    </row>
    <row r="697" spans="2:57" outlineLevel="1">
      <c r="B697" s="230" t="s">
        <v>73</v>
      </c>
      <c r="C697" s="231" t="s">
        <v>1278</v>
      </c>
      <c r="D697" s="232" t="s">
        <v>1279</v>
      </c>
      <c r="E697" s="233" t="s">
        <v>1303</v>
      </c>
      <c r="F697" s="234"/>
      <c r="G697"/>
      <c r="H697"/>
      <c r="I697"/>
      <c r="J697"/>
      <c r="K697"/>
      <c r="L697"/>
      <c r="M697"/>
      <c r="N697"/>
      <c r="O697"/>
      <c r="P697"/>
      <c r="Q697"/>
      <c r="R697"/>
      <c r="S697"/>
      <c r="T697"/>
      <c r="U697"/>
      <c r="V697"/>
      <c r="W697"/>
    </row>
    <row r="698" spans="2:57" outlineLevel="1">
      <c r="B698" s="230" t="s">
        <v>73</v>
      </c>
      <c r="C698" s="231" t="s">
        <v>1278</v>
      </c>
      <c r="D698" s="232" t="s">
        <v>1279</v>
      </c>
      <c r="E698" s="233" t="s">
        <v>1320</v>
      </c>
      <c r="F698" s="234"/>
      <c r="G698"/>
      <c r="H698"/>
      <c r="I698"/>
      <c r="J698"/>
      <c r="K698"/>
      <c r="L698"/>
      <c r="M698"/>
      <c r="N698"/>
      <c r="O698"/>
      <c r="P698"/>
      <c r="Q698"/>
      <c r="R698"/>
      <c r="S698"/>
      <c r="T698"/>
      <c r="U698"/>
      <c r="V698"/>
      <c r="W698"/>
    </row>
    <row r="699" spans="2:57" outlineLevel="1">
      <c r="B699" s="230" t="s">
        <v>828</v>
      </c>
      <c r="C699" s="231"/>
      <c r="D699" s="233">
        <v>200</v>
      </c>
      <c r="E699" s="233"/>
      <c r="F699" s="234"/>
      <c r="G699"/>
      <c r="H699"/>
      <c r="I699"/>
      <c r="J699"/>
      <c r="K699"/>
      <c r="L699"/>
      <c r="M699"/>
      <c r="N699"/>
      <c r="O699"/>
      <c r="P699"/>
      <c r="Q699"/>
      <c r="R699"/>
      <c r="S699"/>
      <c r="T699"/>
      <c r="U699"/>
      <c r="V699"/>
      <c r="W699"/>
    </row>
    <row r="700" spans="2:57" outlineLevel="1">
      <c r="B700" s="230" t="s">
        <v>1276</v>
      </c>
      <c r="C700" s="231" t="s">
        <v>1322</v>
      </c>
      <c r="D700" s="232"/>
      <c r="E700" s="233"/>
      <c r="F700" s="234"/>
      <c r="G700"/>
      <c r="H700"/>
      <c r="I700"/>
      <c r="J700"/>
      <c r="K700"/>
      <c r="L700"/>
      <c r="M700"/>
      <c r="N700"/>
      <c r="O700"/>
      <c r="P700"/>
      <c r="Q700"/>
      <c r="R700"/>
      <c r="S700"/>
      <c r="T700"/>
      <c r="U700"/>
      <c r="V700"/>
      <c r="W700"/>
    </row>
    <row r="701" spans="2:57" outlineLevel="1">
      <c r="B701" s="230" t="s">
        <v>73</v>
      </c>
      <c r="C701" s="231" t="s">
        <v>1278</v>
      </c>
      <c r="D701" s="232" t="s">
        <v>1279</v>
      </c>
      <c r="E701" s="233" t="s">
        <v>1303</v>
      </c>
      <c r="F701" s="234"/>
      <c r="G701"/>
      <c r="H701"/>
      <c r="I701"/>
      <c r="J701"/>
      <c r="K701"/>
      <c r="L701"/>
      <c r="M701"/>
      <c r="N701"/>
      <c r="O701"/>
      <c r="P701"/>
      <c r="Q701"/>
      <c r="R701"/>
      <c r="S701"/>
      <c r="T701"/>
      <c r="U701"/>
      <c r="V701"/>
      <c r="W701"/>
    </row>
    <row r="702" spans="2:57" outlineLevel="1">
      <c r="B702" s="230" t="s">
        <v>73</v>
      </c>
      <c r="C702" s="231" t="s">
        <v>1278</v>
      </c>
      <c r="D702" s="232" t="s">
        <v>1279</v>
      </c>
      <c r="E702" s="233" t="s">
        <v>1321</v>
      </c>
      <c r="F702" s="234"/>
      <c r="G702"/>
      <c r="H702"/>
      <c r="I702"/>
      <c r="J702"/>
      <c r="K702"/>
      <c r="L702"/>
      <c r="M702"/>
      <c r="N702"/>
      <c r="O702"/>
      <c r="P702"/>
      <c r="Q702"/>
      <c r="R702"/>
      <c r="S702"/>
      <c r="T702"/>
      <c r="U702"/>
      <c r="V702"/>
      <c r="W702"/>
    </row>
    <row r="703" spans="2:57" outlineLevel="1">
      <c r="B703" s="230" t="s">
        <v>828</v>
      </c>
      <c r="C703" s="231"/>
      <c r="D703" s="233">
        <v>200</v>
      </c>
      <c r="E703" s="233"/>
      <c r="F703" s="234"/>
      <c r="G703"/>
      <c r="H703"/>
      <c r="I703"/>
      <c r="J703"/>
      <c r="K703"/>
      <c r="L703"/>
      <c r="M703"/>
      <c r="N703"/>
      <c r="O703"/>
      <c r="P703"/>
      <c r="Q703"/>
      <c r="R703"/>
      <c r="S703"/>
      <c r="T703"/>
      <c r="U703"/>
      <c r="V703"/>
      <c r="W703"/>
    </row>
    <row r="704" spans="2:57" outlineLevel="1">
      <c r="B704" s="230" t="s">
        <v>1276</v>
      </c>
      <c r="C704" s="231" t="s">
        <v>1307</v>
      </c>
      <c r="D704" s="232"/>
      <c r="E704" s="233"/>
      <c r="F704" s="234"/>
      <c r="G704"/>
      <c r="H704"/>
      <c r="I704"/>
      <c r="J704"/>
      <c r="K704"/>
      <c r="L704"/>
      <c r="M704"/>
      <c r="N704"/>
      <c r="O704"/>
      <c r="P704"/>
      <c r="Q704"/>
      <c r="R704"/>
      <c r="S704"/>
      <c r="T704"/>
      <c r="U704"/>
      <c r="V704"/>
      <c r="W704"/>
    </row>
    <row r="705" spans="2:23" outlineLevel="1">
      <c r="B705" s="230" t="s">
        <v>73</v>
      </c>
      <c r="C705" s="231" t="s">
        <v>1278</v>
      </c>
      <c r="D705" s="232" t="s">
        <v>1279</v>
      </c>
      <c r="E705" s="233" t="s">
        <v>1303</v>
      </c>
      <c r="F705" s="234"/>
      <c r="G705"/>
      <c r="H705"/>
      <c r="I705"/>
      <c r="J705"/>
      <c r="K705"/>
      <c r="L705"/>
      <c r="M705"/>
      <c r="N705"/>
      <c r="O705"/>
      <c r="P705"/>
      <c r="Q705"/>
      <c r="R705"/>
      <c r="S705"/>
      <c r="T705"/>
      <c r="U705"/>
      <c r="V705"/>
      <c r="W705"/>
    </row>
    <row r="706" spans="2:23" outlineLevel="1">
      <c r="B706" s="230" t="s">
        <v>73</v>
      </c>
      <c r="C706" s="231" t="s">
        <v>1278</v>
      </c>
      <c r="D706" s="232" t="s">
        <v>1279</v>
      </c>
      <c r="E706" s="233" t="s">
        <v>1323</v>
      </c>
      <c r="F706" s="234"/>
      <c r="G706"/>
      <c r="H706"/>
      <c r="I706"/>
      <c r="J706"/>
      <c r="K706"/>
      <c r="L706"/>
      <c r="M706"/>
      <c r="N706"/>
      <c r="O706"/>
      <c r="P706"/>
      <c r="Q706"/>
      <c r="R706"/>
      <c r="S706"/>
      <c r="T706"/>
      <c r="U706"/>
      <c r="V706"/>
      <c r="W706"/>
    </row>
    <row r="707" spans="2:23" outlineLevel="1">
      <c r="B707" s="230" t="s">
        <v>828</v>
      </c>
      <c r="C707" s="231"/>
      <c r="D707" s="233">
        <v>200</v>
      </c>
      <c r="E707" s="233"/>
      <c r="F707" s="234"/>
      <c r="G707"/>
      <c r="H707"/>
      <c r="I707"/>
      <c r="J707"/>
      <c r="K707"/>
      <c r="L707"/>
      <c r="M707"/>
      <c r="N707"/>
      <c r="O707"/>
      <c r="P707"/>
      <c r="Q707"/>
      <c r="R707"/>
      <c r="S707"/>
      <c r="T707"/>
      <c r="U707"/>
      <c r="V707"/>
      <c r="W707"/>
    </row>
    <row r="708" spans="2:23" outlineLevel="1">
      <c r="B708" s="230" t="s">
        <v>1276</v>
      </c>
      <c r="C708" s="231" t="s">
        <v>1324</v>
      </c>
      <c r="D708" s="232"/>
      <c r="E708" s="233"/>
      <c r="F708" s="234"/>
      <c r="G708"/>
      <c r="H708"/>
      <c r="I708"/>
      <c r="J708"/>
      <c r="K708"/>
      <c r="L708"/>
      <c r="M708"/>
      <c r="N708"/>
      <c r="O708"/>
      <c r="P708"/>
      <c r="Q708"/>
      <c r="R708"/>
      <c r="S708"/>
      <c r="T708"/>
      <c r="U708"/>
      <c r="V708"/>
      <c r="W708"/>
    </row>
    <row r="709" spans="2:23" outlineLevel="1">
      <c r="B709" s="230" t="s">
        <v>73</v>
      </c>
      <c r="C709" s="231" t="s">
        <v>1278</v>
      </c>
      <c r="D709" s="232" t="s">
        <v>1279</v>
      </c>
      <c r="E709" s="233" t="s">
        <v>825</v>
      </c>
      <c r="F709" s="234"/>
      <c r="G709"/>
      <c r="H709"/>
      <c r="I709"/>
      <c r="J709"/>
      <c r="K709"/>
      <c r="L709"/>
      <c r="M709"/>
      <c r="N709"/>
      <c r="O709"/>
      <c r="P709"/>
      <c r="Q709"/>
      <c r="R709"/>
      <c r="S709"/>
      <c r="T709"/>
      <c r="U709"/>
      <c r="V709"/>
      <c r="W709"/>
    </row>
    <row r="710" spans="2:23" outlineLevel="1">
      <c r="B710" s="230" t="s">
        <v>73</v>
      </c>
      <c r="C710" s="231" t="s">
        <v>1278</v>
      </c>
      <c r="D710" s="232" t="s">
        <v>1279</v>
      </c>
      <c r="E710" s="233" t="s">
        <v>1325</v>
      </c>
      <c r="F710" s="234"/>
      <c r="G710"/>
      <c r="H710"/>
      <c r="I710"/>
      <c r="J710"/>
      <c r="K710"/>
      <c r="L710"/>
      <c r="M710"/>
      <c r="N710"/>
      <c r="O710"/>
      <c r="P710"/>
      <c r="Q710"/>
      <c r="R710"/>
      <c r="S710"/>
      <c r="T710"/>
      <c r="U710"/>
      <c r="V710"/>
      <c r="W710"/>
    </row>
    <row r="711" spans="2:23" outlineLevel="1">
      <c r="B711" s="230" t="s">
        <v>828</v>
      </c>
      <c r="C711" s="231"/>
      <c r="D711" s="233">
        <v>200</v>
      </c>
      <c r="E711" s="233"/>
      <c r="F711" s="234"/>
      <c r="G711"/>
      <c r="H711"/>
      <c r="I711"/>
      <c r="J711"/>
      <c r="K711"/>
      <c r="L711"/>
      <c r="M711"/>
      <c r="N711"/>
      <c r="O711"/>
      <c r="P711"/>
      <c r="Q711"/>
      <c r="R711"/>
      <c r="S711"/>
      <c r="T711"/>
      <c r="U711"/>
      <c r="V711"/>
      <c r="W711"/>
    </row>
    <row r="712" spans="2:23" outlineLevel="1">
      <c r="B712" s="230"/>
      <c r="C712" s="231"/>
      <c r="D712" s="232"/>
      <c r="E712" s="233"/>
      <c r="F712" s="234"/>
      <c r="G712"/>
      <c r="H712"/>
      <c r="I712"/>
      <c r="J712"/>
      <c r="K712"/>
      <c r="L712"/>
      <c r="M712"/>
      <c r="N712"/>
      <c r="O712"/>
      <c r="P712"/>
      <c r="Q712"/>
      <c r="R712"/>
      <c r="S712"/>
      <c r="T712"/>
      <c r="U712"/>
      <c r="V712"/>
      <c r="W712"/>
    </row>
    <row r="713" spans="2:23" outlineLevel="1">
      <c r="B713" s="235"/>
      <c r="C713" s="236"/>
      <c r="D713" s="237"/>
      <c r="E713" s="238"/>
      <c r="F713" s="234"/>
      <c r="G713"/>
      <c r="H713"/>
      <c r="I713"/>
      <c r="J713"/>
      <c r="K713"/>
      <c r="L713"/>
      <c r="M713"/>
      <c r="N713"/>
      <c r="O713"/>
      <c r="P713"/>
      <c r="Q713"/>
      <c r="R713"/>
      <c r="S713"/>
      <c r="T713"/>
      <c r="U713"/>
      <c r="V713"/>
      <c r="W713"/>
    </row>
    <row r="714" spans="2:23" outlineLevel="1">
      <c r="B714" s="230"/>
      <c r="C714" s="231"/>
      <c r="D714" s="232"/>
      <c r="E714" s="233"/>
      <c r="F714" s="234"/>
      <c r="G714"/>
      <c r="H714"/>
      <c r="I714"/>
      <c r="J714"/>
      <c r="K714"/>
      <c r="L714"/>
      <c r="M714"/>
      <c r="N714"/>
      <c r="O714"/>
      <c r="P714"/>
      <c r="Q714"/>
      <c r="R714"/>
      <c r="S714"/>
      <c r="T714"/>
      <c r="U714"/>
      <c r="V714"/>
      <c r="W714"/>
    </row>
    <row r="715" spans="2:23" outlineLevel="1">
      <c r="B715" s="235"/>
      <c r="C715" s="236"/>
      <c r="D715" s="237"/>
      <c r="E715" s="238"/>
      <c r="F715" s="234"/>
      <c r="G715"/>
      <c r="H715"/>
      <c r="I715"/>
      <c r="J715"/>
      <c r="K715"/>
      <c r="L715"/>
      <c r="M715"/>
      <c r="N715"/>
      <c r="O715"/>
      <c r="P715"/>
      <c r="Q715"/>
      <c r="R715"/>
      <c r="S715"/>
      <c r="T715"/>
      <c r="U715"/>
      <c r="V715"/>
      <c r="W715"/>
    </row>
    <row r="716" spans="2:23" outlineLevel="1">
      <c r="B716" s="230"/>
      <c r="C716" s="231"/>
      <c r="D716" s="232"/>
      <c r="E716" s="233"/>
      <c r="F716" s="234"/>
      <c r="G716"/>
      <c r="H716"/>
      <c r="I716"/>
      <c r="J716"/>
      <c r="K716"/>
      <c r="L716"/>
      <c r="M716"/>
      <c r="N716"/>
      <c r="O716"/>
      <c r="P716"/>
      <c r="Q716"/>
      <c r="R716"/>
      <c r="S716"/>
      <c r="T716"/>
      <c r="U716"/>
      <c r="V716"/>
      <c r="W716"/>
    </row>
    <row r="717" spans="2:23" outlineLevel="1">
      <c r="B717" s="235"/>
      <c r="C717" s="236"/>
      <c r="D717" s="237"/>
      <c r="E717" s="238"/>
      <c r="F717" s="234"/>
      <c r="G717"/>
      <c r="H717"/>
      <c r="I717"/>
      <c r="J717"/>
      <c r="K717"/>
      <c r="L717"/>
      <c r="M717"/>
      <c r="N717"/>
      <c r="O717"/>
      <c r="P717"/>
      <c r="Q717"/>
      <c r="R717"/>
      <c r="S717"/>
      <c r="T717"/>
      <c r="U717"/>
      <c r="V717"/>
      <c r="W717"/>
    </row>
    <row r="718" spans="2:23" outlineLevel="1">
      <c r="B718" s="230"/>
      <c r="C718" s="231"/>
      <c r="D718" s="232"/>
      <c r="E718" s="233"/>
      <c r="F718" s="234"/>
      <c r="G718"/>
      <c r="H718"/>
      <c r="I718"/>
      <c r="J718"/>
      <c r="K718"/>
      <c r="L718"/>
      <c r="M718"/>
      <c r="N718"/>
      <c r="O718"/>
      <c r="P718"/>
      <c r="Q718"/>
      <c r="R718"/>
      <c r="S718"/>
      <c r="T718"/>
      <c r="U718"/>
      <c r="V718"/>
      <c r="W718"/>
    </row>
    <row r="719" spans="2:23" outlineLevel="1">
      <c r="B719" s="235"/>
      <c r="C719" s="236"/>
      <c r="D719" s="237"/>
      <c r="E719" s="238"/>
      <c r="F719" s="234"/>
      <c r="G719"/>
      <c r="H719"/>
      <c r="I719"/>
      <c r="J719"/>
      <c r="K719"/>
      <c r="L719"/>
      <c r="M719"/>
      <c r="N719"/>
      <c r="O719"/>
      <c r="P719"/>
      <c r="Q719"/>
      <c r="R719"/>
      <c r="S719"/>
      <c r="T719"/>
      <c r="U719"/>
      <c r="V719"/>
      <c r="W719"/>
    </row>
    <row r="720" spans="2:23" outlineLevel="1">
      <c r="B720" s="230"/>
      <c r="C720" s="231"/>
      <c r="D720" s="232"/>
      <c r="E720" s="233"/>
      <c r="F720" s="234"/>
      <c r="G720"/>
      <c r="H720"/>
      <c r="I720"/>
      <c r="J720"/>
      <c r="K720"/>
      <c r="L720"/>
      <c r="M720"/>
      <c r="N720"/>
      <c r="O720"/>
      <c r="P720"/>
      <c r="Q720"/>
      <c r="R720"/>
      <c r="S720"/>
      <c r="T720"/>
      <c r="U720"/>
      <c r="V720"/>
      <c r="W720"/>
    </row>
    <row r="721" spans="2:23" outlineLevel="1">
      <c r="B721" s="235"/>
      <c r="C721" s="236"/>
      <c r="D721" s="237"/>
      <c r="E721" s="238"/>
      <c r="F721" s="234"/>
      <c r="G721"/>
      <c r="H721"/>
      <c r="I721"/>
      <c r="J721"/>
      <c r="K721"/>
      <c r="L721"/>
      <c r="M721"/>
      <c r="N721"/>
      <c r="O721"/>
      <c r="P721"/>
      <c r="Q721"/>
      <c r="R721"/>
      <c r="S721"/>
      <c r="T721"/>
      <c r="U721"/>
      <c r="V721"/>
      <c r="W721"/>
    </row>
    <row r="722" spans="2:23" outlineLevel="1">
      <c r="B722" s="230"/>
      <c r="C722" s="231"/>
      <c r="D722" s="232"/>
      <c r="E722" s="233"/>
      <c r="F722" s="234"/>
      <c r="G722"/>
      <c r="H722"/>
      <c r="I722"/>
      <c r="J722"/>
      <c r="K722"/>
      <c r="L722"/>
      <c r="M722"/>
      <c r="N722"/>
      <c r="O722"/>
      <c r="P722"/>
      <c r="Q722"/>
      <c r="R722"/>
      <c r="S722"/>
      <c r="T722"/>
      <c r="U722"/>
      <c r="V722"/>
      <c r="W722"/>
    </row>
    <row r="723" spans="2:23" outlineLevel="1">
      <c r="B723" s="235"/>
      <c r="C723" s="236"/>
      <c r="D723" s="237"/>
      <c r="E723" s="238"/>
      <c r="F723" s="234"/>
      <c r="G723"/>
      <c r="H723"/>
      <c r="I723"/>
      <c r="J723"/>
      <c r="K723"/>
      <c r="L723"/>
      <c r="M723"/>
      <c r="N723"/>
      <c r="O723"/>
      <c r="P723"/>
      <c r="Q723"/>
      <c r="R723"/>
      <c r="S723"/>
      <c r="T723"/>
      <c r="U723"/>
      <c r="V723"/>
      <c r="W723"/>
    </row>
    <row r="724" spans="2:23" outlineLevel="1">
      <c r="B724" s="230"/>
      <c r="C724" s="231"/>
      <c r="D724" s="232"/>
      <c r="E724" s="233"/>
      <c r="F724" s="234"/>
      <c r="G724"/>
      <c r="H724"/>
      <c r="I724"/>
      <c r="J724"/>
      <c r="K724"/>
      <c r="L724"/>
      <c r="M724"/>
      <c r="N724"/>
      <c r="O724"/>
      <c r="P724"/>
      <c r="Q724"/>
      <c r="R724"/>
      <c r="S724"/>
      <c r="T724"/>
      <c r="U724"/>
      <c r="V724"/>
      <c r="W724"/>
    </row>
    <row r="725" spans="2:23" outlineLevel="1">
      <c r="B725" s="235"/>
      <c r="C725" s="236"/>
      <c r="D725" s="237"/>
      <c r="E725" s="238"/>
      <c r="F725" s="234"/>
      <c r="G725"/>
      <c r="H725"/>
      <c r="I725"/>
      <c r="J725"/>
      <c r="K725"/>
      <c r="L725"/>
      <c r="M725"/>
      <c r="N725"/>
      <c r="O725"/>
      <c r="P725"/>
      <c r="Q725"/>
      <c r="R725"/>
      <c r="S725"/>
      <c r="T725"/>
      <c r="U725"/>
      <c r="V725"/>
      <c r="W725"/>
    </row>
    <row r="726" spans="2:23" outlineLevel="1">
      <c r="B726" s="230"/>
      <c r="C726" s="231"/>
      <c r="D726" s="232"/>
      <c r="E726" s="233"/>
      <c r="F726" s="234"/>
      <c r="G726"/>
      <c r="H726"/>
      <c r="I726"/>
      <c r="J726"/>
      <c r="K726"/>
      <c r="L726"/>
      <c r="M726"/>
      <c r="N726"/>
      <c r="O726"/>
      <c r="P726"/>
      <c r="Q726"/>
      <c r="R726"/>
      <c r="S726"/>
      <c r="T726"/>
      <c r="U726"/>
      <c r="V726"/>
      <c r="W726"/>
    </row>
    <row r="727" spans="2:23" outlineLevel="1">
      <c r="B727" s="235"/>
      <c r="C727" s="236"/>
      <c r="D727" s="237"/>
      <c r="E727" s="238"/>
      <c r="F727" s="234"/>
      <c r="G727"/>
      <c r="H727"/>
      <c r="I727"/>
      <c r="J727"/>
      <c r="K727"/>
      <c r="L727"/>
      <c r="M727"/>
      <c r="N727"/>
      <c r="O727"/>
      <c r="P727"/>
      <c r="Q727"/>
      <c r="R727"/>
      <c r="S727"/>
      <c r="T727"/>
      <c r="U727"/>
      <c r="V727"/>
      <c r="W727"/>
    </row>
    <row r="728" spans="2:23" outlineLevel="1">
      <c r="B728" s="230"/>
      <c r="C728" s="231"/>
      <c r="D728" s="232"/>
      <c r="E728" s="233"/>
      <c r="F728" s="234"/>
      <c r="G728"/>
      <c r="H728"/>
      <c r="I728"/>
      <c r="J728"/>
      <c r="K728"/>
      <c r="L728"/>
      <c r="M728"/>
      <c r="N728"/>
      <c r="O728"/>
      <c r="P728"/>
      <c r="Q728"/>
      <c r="R728"/>
      <c r="S728"/>
      <c r="T728"/>
      <c r="U728"/>
      <c r="V728"/>
      <c r="W728"/>
    </row>
    <row r="729" spans="2:23" outlineLevel="1">
      <c r="B729" s="235"/>
      <c r="C729" s="236"/>
      <c r="D729" s="237"/>
      <c r="E729" s="238"/>
      <c r="F729" s="234"/>
      <c r="G729"/>
      <c r="H729"/>
      <c r="I729"/>
      <c r="J729"/>
      <c r="K729"/>
      <c r="L729"/>
      <c r="M729"/>
      <c r="N729"/>
      <c r="O729"/>
      <c r="P729"/>
      <c r="Q729"/>
      <c r="R729"/>
      <c r="S729"/>
      <c r="T729"/>
      <c r="U729"/>
      <c r="V729"/>
      <c r="W729"/>
    </row>
    <row r="730" spans="2:23" outlineLevel="1">
      <c r="B730" s="230"/>
      <c r="C730" s="231"/>
      <c r="D730" s="232"/>
      <c r="E730" s="233"/>
      <c r="F730" s="234"/>
      <c r="G730"/>
      <c r="H730"/>
      <c r="I730"/>
      <c r="J730"/>
      <c r="K730"/>
      <c r="L730"/>
      <c r="M730"/>
      <c r="N730"/>
      <c r="O730"/>
      <c r="P730"/>
      <c r="Q730"/>
      <c r="R730"/>
      <c r="S730"/>
      <c r="T730"/>
      <c r="U730"/>
      <c r="V730"/>
      <c r="W730"/>
    </row>
    <row r="731" spans="2:23" outlineLevel="1">
      <c r="B731" s="235"/>
      <c r="C731" s="236"/>
      <c r="D731" s="237"/>
      <c r="E731" s="238"/>
      <c r="F731" s="234"/>
      <c r="G731"/>
      <c r="H731"/>
      <c r="I731"/>
      <c r="J731"/>
      <c r="K731"/>
      <c r="L731"/>
      <c r="M731"/>
      <c r="N731"/>
      <c r="O731"/>
      <c r="P731"/>
      <c r="Q731"/>
      <c r="R731"/>
      <c r="S731"/>
      <c r="T731"/>
      <c r="U731"/>
      <c r="V731"/>
      <c r="W731"/>
    </row>
    <row r="732" spans="2:23" outlineLevel="1">
      <c r="B732" s="230"/>
      <c r="C732" s="231"/>
      <c r="D732" s="232"/>
      <c r="E732" s="233"/>
      <c r="F732" s="234"/>
      <c r="G732"/>
      <c r="H732"/>
      <c r="I732"/>
      <c r="J732"/>
      <c r="K732"/>
      <c r="L732"/>
      <c r="M732"/>
      <c r="N732"/>
      <c r="O732"/>
      <c r="P732"/>
      <c r="Q732"/>
      <c r="R732"/>
      <c r="S732"/>
      <c r="T732"/>
      <c r="U732"/>
      <c r="V732"/>
      <c r="W732"/>
    </row>
    <row r="733" spans="2:23" outlineLevel="1">
      <c r="B733" s="235"/>
      <c r="C733" s="236"/>
      <c r="D733" s="237"/>
      <c r="E733" s="238"/>
      <c r="F733" s="234"/>
      <c r="G733"/>
      <c r="H733"/>
      <c r="I733"/>
      <c r="J733"/>
      <c r="K733"/>
      <c r="L733"/>
      <c r="M733"/>
      <c r="N733"/>
      <c r="O733"/>
      <c r="P733"/>
      <c r="Q733"/>
      <c r="R733"/>
      <c r="S733"/>
      <c r="T733"/>
      <c r="U733"/>
      <c r="V733"/>
      <c r="W733"/>
    </row>
    <row r="734" spans="2:23" outlineLevel="1">
      <c r="B734" s="230"/>
      <c r="C734" s="231"/>
      <c r="D734" s="232"/>
      <c r="E734" s="233"/>
      <c r="F734" s="234"/>
      <c r="G734"/>
      <c r="H734"/>
      <c r="I734"/>
      <c r="J734"/>
      <c r="K734"/>
      <c r="L734"/>
      <c r="M734"/>
      <c r="N734"/>
      <c r="O734"/>
      <c r="P734"/>
      <c r="Q734"/>
      <c r="R734"/>
      <c r="S734"/>
      <c r="T734"/>
      <c r="U734"/>
      <c r="V734"/>
      <c r="W734"/>
    </row>
    <row r="735" spans="2:23" outlineLevel="1">
      <c r="B735" s="235"/>
      <c r="C735" s="236"/>
      <c r="D735" s="237"/>
      <c r="E735" s="238"/>
      <c r="F735" s="234"/>
      <c r="G735"/>
      <c r="H735"/>
      <c r="I735"/>
      <c r="J735"/>
      <c r="K735"/>
      <c r="L735"/>
      <c r="M735"/>
      <c r="N735"/>
      <c r="O735"/>
      <c r="P735"/>
      <c r="Q735"/>
      <c r="R735"/>
      <c r="S735"/>
      <c r="T735"/>
      <c r="U735"/>
      <c r="V735"/>
      <c r="W735"/>
    </row>
    <row r="736" spans="2:23" outlineLevel="1">
      <c r="B736" s="230"/>
      <c r="C736" s="231"/>
      <c r="D736" s="232"/>
      <c r="E736" s="233"/>
      <c r="F736" s="234"/>
      <c r="G736"/>
      <c r="H736"/>
      <c r="I736"/>
      <c r="J736"/>
      <c r="K736"/>
      <c r="L736"/>
      <c r="M736"/>
      <c r="N736"/>
      <c r="O736"/>
      <c r="P736"/>
      <c r="Q736"/>
      <c r="R736"/>
      <c r="S736"/>
      <c r="T736"/>
      <c r="U736"/>
      <c r="V736"/>
      <c r="W736"/>
    </row>
    <row r="737" spans="2:23" outlineLevel="1">
      <c r="B737" s="235"/>
      <c r="C737" s="236"/>
      <c r="D737" s="237"/>
      <c r="E737" s="238"/>
      <c r="F737" s="234"/>
      <c r="G737"/>
      <c r="H737"/>
      <c r="I737"/>
      <c r="J737"/>
      <c r="K737"/>
      <c r="L737"/>
      <c r="M737"/>
      <c r="N737"/>
      <c r="O737"/>
      <c r="P737"/>
      <c r="Q737"/>
      <c r="R737"/>
      <c r="S737"/>
      <c r="T737"/>
      <c r="U737"/>
      <c r="V737"/>
      <c r="W737"/>
    </row>
    <row r="738" spans="2:23" outlineLevel="1">
      <c r="B738" s="230"/>
      <c r="C738" s="231"/>
      <c r="D738" s="232"/>
      <c r="E738" s="233"/>
      <c r="F738" s="234"/>
      <c r="G738"/>
      <c r="H738"/>
      <c r="I738"/>
      <c r="J738"/>
      <c r="K738"/>
      <c r="L738"/>
      <c r="M738"/>
      <c r="N738"/>
      <c r="O738"/>
      <c r="P738"/>
      <c r="Q738"/>
      <c r="R738"/>
      <c r="S738"/>
      <c r="T738"/>
      <c r="U738"/>
      <c r="V738"/>
      <c r="W738"/>
    </row>
    <row r="739" spans="2:23" outlineLevel="1">
      <c r="B739" s="235"/>
      <c r="C739" s="236"/>
      <c r="D739" s="237"/>
      <c r="E739" s="238"/>
      <c r="F739" s="234"/>
      <c r="G739"/>
      <c r="H739"/>
      <c r="I739"/>
      <c r="J739"/>
      <c r="K739"/>
      <c r="L739"/>
      <c r="M739"/>
      <c r="N739"/>
      <c r="O739"/>
      <c r="P739"/>
      <c r="Q739"/>
      <c r="R739"/>
      <c r="S739"/>
      <c r="T739"/>
      <c r="U739"/>
      <c r="V739"/>
      <c r="W739"/>
    </row>
    <row r="740" spans="2:23" outlineLevel="1">
      <c r="B740" s="230"/>
      <c r="C740" s="231"/>
      <c r="D740" s="232"/>
      <c r="E740" s="233"/>
      <c r="F740" s="234"/>
      <c r="G740"/>
      <c r="H740"/>
      <c r="I740"/>
      <c r="J740"/>
      <c r="K740"/>
      <c r="L740"/>
      <c r="M740"/>
      <c r="N740"/>
      <c r="O740"/>
      <c r="P740"/>
      <c r="Q740"/>
      <c r="R740"/>
      <c r="S740"/>
      <c r="T740"/>
      <c r="U740"/>
      <c r="V740"/>
      <c r="W740"/>
    </row>
    <row r="741" spans="2:23" outlineLevel="1">
      <c r="B741" s="235"/>
      <c r="C741" s="236"/>
      <c r="D741" s="237"/>
      <c r="E741" s="238"/>
      <c r="F741" s="234"/>
      <c r="G741"/>
      <c r="H741"/>
      <c r="I741"/>
      <c r="J741"/>
      <c r="K741"/>
      <c r="L741"/>
      <c r="M741"/>
      <c r="N741"/>
      <c r="O741"/>
      <c r="P741"/>
      <c r="Q741"/>
      <c r="R741"/>
      <c r="S741"/>
      <c r="T741"/>
      <c r="U741"/>
      <c r="V741"/>
      <c r="W741"/>
    </row>
    <row r="742" spans="2:23" outlineLevel="1">
      <c r="B742" s="230"/>
      <c r="C742" s="231"/>
      <c r="D742" s="232"/>
      <c r="E742" s="233"/>
      <c r="F742" s="234"/>
      <c r="G742"/>
      <c r="H742"/>
      <c r="I742"/>
      <c r="J742"/>
      <c r="K742"/>
      <c r="L742"/>
      <c r="M742"/>
      <c r="N742"/>
      <c r="O742"/>
      <c r="P742"/>
      <c r="Q742"/>
      <c r="R742"/>
      <c r="S742"/>
      <c r="T742"/>
      <c r="U742"/>
      <c r="V742"/>
      <c r="W742"/>
    </row>
    <row r="743" spans="2:23" outlineLevel="1">
      <c r="B743" s="235"/>
      <c r="C743" s="236"/>
      <c r="D743" s="237"/>
      <c r="E743" s="238"/>
      <c r="F743" s="234"/>
      <c r="G743"/>
      <c r="H743"/>
      <c r="I743"/>
      <c r="J743"/>
      <c r="K743"/>
      <c r="L743"/>
      <c r="M743"/>
      <c r="N743"/>
      <c r="O743"/>
      <c r="P743"/>
      <c r="Q743"/>
      <c r="R743"/>
      <c r="S743"/>
      <c r="T743"/>
      <c r="U743"/>
      <c r="V743"/>
      <c r="W743"/>
    </row>
    <row r="744" spans="2:23" outlineLevel="1">
      <c r="B744" s="230"/>
      <c r="C744" s="231"/>
      <c r="D744" s="232"/>
      <c r="E744" s="233"/>
      <c r="F744" s="234"/>
      <c r="G744"/>
      <c r="H744"/>
      <c r="I744"/>
      <c r="J744"/>
      <c r="K744"/>
      <c r="L744"/>
      <c r="M744"/>
      <c r="N744"/>
      <c r="O744"/>
      <c r="P744"/>
      <c r="Q744"/>
      <c r="R744"/>
      <c r="S744"/>
      <c r="T744"/>
      <c r="U744"/>
      <c r="V744"/>
      <c r="W744"/>
    </row>
    <row r="745" spans="2:23" outlineLevel="1">
      <c r="B745" s="235"/>
      <c r="C745" s="236"/>
      <c r="D745" s="237"/>
      <c r="E745" s="238"/>
      <c r="F745" s="234"/>
      <c r="G745"/>
      <c r="H745"/>
      <c r="I745"/>
      <c r="J745"/>
      <c r="K745"/>
      <c r="L745"/>
      <c r="M745"/>
      <c r="N745"/>
      <c r="O745"/>
      <c r="P745"/>
      <c r="Q745"/>
      <c r="R745"/>
      <c r="S745"/>
      <c r="T745"/>
      <c r="U745"/>
      <c r="V745"/>
      <c r="W745"/>
    </row>
    <row r="746" spans="2:23" outlineLevel="1">
      <c r="B746" s="230"/>
      <c r="C746" s="231"/>
      <c r="D746" s="232"/>
      <c r="E746" s="233"/>
      <c r="F746" s="234"/>
      <c r="G746"/>
      <c r="H746"/>
      <c r="I746"/>
      <c r="J746"/>
      <c r="K746"/>
      <c r="L746"/>
      <c r="M746"/>
      <c r="N746"/>
      <c r="O746"/>
      <c r="P746"/>
      <c r="Q746"/>
      <c r="R746"/>
      <c r="S746"/>
      <c r="T746"/>
      <c r="U746"/>
      <c r="V746"/>
      <c r="W746"/>
    </row>
    <row r="747" spans="2:23" outlineLevel="1">
      <c r="B747" s="235"/>
      <c r="C747" s="236"/>
      <c r="D747" s="237"/>
      <c r="E747" s="238"/>
      <c r="F747" s="234"/>
      <c r="G747"/>
      <c r="H747"/>
      <c r="I747"/>
      <c r="J747"/>
      <c r="K747"/>
      <c r="L747"/>
      <c r="M747"/>
      <c r="N747"/>
      <c r="O747"/>
      <c r="P747"/>
      <c r="Q747"/>
      <c r="R747"/>
      <c r="S747"/>
      <c r="T747"/>
      <c r="U747"/>
      <c r="V747"/>
      <c r="W747"/>
    </row>
    <row r="748" spans="2:23" outlineLevel="1">
      <c r="B748" s="230"/>
      <c r="C748" s="231"/>
      <c r="D748" s="232"/>
      <c r="E748" s="233"/>
      <c r="F748" s="234"/>
      <c r="G748"/>
      <c r="H748"/>
      <c r="I748"/>
      <c r="J748"/>
      <c r="K748"/>
      <c r="L748"/>
      <c r="M748"/>
      <c r="N748"/>
      <c r="O748"/>
      <c r="P748"/>
      <c r="Q748"/>
      <c r="R748"/>
      <c r="S748"/>
      <c r="T748"/>
      <c r="U748"/>
      <c r="V748"/>
      <c r="W748"/>
    </row>
    <row r="749" spans="2:23" outlineLevel="1">
      <c r="B749" s="235"/>
      <c r="C749" s="236"/>
      <c r="D749" s="237"/>
      <c r="E749" s="238"/>
      <c r="F749" s="234"/>
      <c r="G749"/>
      <c r="H749"/>
      <c r="I749"/>
      <c r="J749"/>
      <c r="K749"/>
      <c r="L749"/>
      <c r="M749"/>
      <c r="N749"/>
      <c r="O749"/>
      <c r="P749"/>
      <c r="Q749"/>
      <c r="R749"/>
      <c r="S749"/>
      <c r="T749"/>
      <c r="U749"/>
      <c r="V749"/>
      <c r="W749"/>
    </row>
    <row r="750" spans="2:23" outlineLevel="1">
      <c r="B750" s="230"/>
      <c r="C750" s="231"/>
      <c r="D750" s="232"/>
      <c r="E750" s="233"/>
      <c r="F750" s="234"/>
      <c r="G750"/>
      <c r="H750"/>
      <c r="I750"/>
      <c r="J750"/>
      <c r="K750"/>
      <c r="L750"/>
      <c r="M750"/>
      <c r="N750"/>
      <c r="O750"/>
      <c r="P750"/>
      <c r="Q750"/>
      <c r="R750"/>
      <c r="S750"/>
      <c r="T750"/>
      <c r="U750"/>
      <c r="V750"/>
      <c r="W750"/>
    </row>
    <row r="751" spans="2:23" outlineLevel="1">
      <c r="B751" s="235"/>
      <c r="C751" s="236"/>
      <c r="D751" s="237"/>
      <c r="E751" s="238"/>
      <c r="F751" s="234"/>
      <c r="G751"/>
      <c r="H751"/>
      <c r="I751"/>
      <c r="J751"/>
      <c r="K751"/>
      <c r="L751"/>
      <c r="M751"/>
      <c r="N751"/>
      <c r="O751"/>
      <c r="P751"/>
      <c r="Q751"/>
      <c r="R751"/>
      <c r="S751"/>
      <c r="T751"/>
      <c r="U751"/>
      <c r="V751"/>
      <c r="W751"/>
    </row>
    <row r="752" spans="2:23" outlineLevel="1">
      <c r="B752" s="230"/>
      <c r="C752" s="231"/>
      <c r="D752" s="232"/>
      <c r="E752" s="233"/>
      <c r="F752" s="234"/>
      <c r="G752"/>
      <c r="H752"/>
      <c r="I752"/>
      <c r="J752"/>
      <c r="K752"/>
      <c r="L752"/>
      <c r="M752"/>
      <c r="N752"/>
      <c r="O752"/>
      <c r="P752"/>
      <c r="Q752"/>
      <c r="R752"/>
      <c r="S752"/>
      <c r="T752"/>
      <c r="U752"/>
      <c r="V752"/>
      <c r="W752"/>
    </row>
    <row r="753" spans="2:23" outlineLevel="1">
      <c r="B753" s="235"/>
      <c r="C753" s="236"/>
      <c r="D753" s="237"/>
      <c r="E753" s="238"/>
      <c r="F753" s="234"/>
      <c r="G753"/>
      <c r="H753"/>
      <c r="I753"/>
      <c r="J753"/>
      <c r="K753"/>
      <c r="L753"/>
      <c r="M753"/>
      <c r="N753"/>
      <c r="O753"/>
      <c r="P753"/>
      <c r="Q753"/>
      <c r="R753"/>
      <c r="S753"/>
      <c r="T753"/>
      <c r="U753"/>
      <c r="V753"/>
      <c r="W753"/>
    </row>
    <row r="754" spans="2:23" outlineLevel="1">
      <c r="B754" s="230"/>
      <c r="C754" s="231"/>
      <c r="D754" s="232"/>
      <c r="E754" s="233"/>
      <c r="F754" s="234"/>
      <c r="G754"/>
      <c r="H754"/>
      <c r="I754"/>
      <c r="J754"/>
      <c r="K754"/>
      <c r="L754"/>
      <c r="M754"/>
      <c r="N754"/>
      <c r="O754"/>
      <c r="P754"/>
      <c r="Q754"/>
      <c r="R754"/>
      <c r="S754"/>
      <c r="T754"/>
      <c r="U754"/>
      <c r="V754"/>
      <c r="W754"/>
    </row>
    <row r="755" spans="2:23" outlineLevel="1">
      <c r="B755" s="235"/>
      <c r="C755" s="236"/>
      <c r="D755" s="237"/>
      <c r="E755" s="238"/>
      <c r="F755" s="234"/>
      <c r="G755"/>
      <c r="H755"/>
      <c r="I755"/>
      <c r="J755"/>
      <c r="K755"/>
      <c r="L755"/>
      <c r="M755"/>
      <c r="N755"/>
      <c r="O755"/>
      <c r="P755"/>
      <c r="Q755"/>
      <c r="R755"/>
      <c r="S755"/>
      <c r="T755"/>
      <c r="U755"/>
      <c r="V755"/>
      <c r="W755"/>
    </row>
    <row r="756" spans="2:23" outlineLevel="1">
      <c r="B756" s="230"/>
      <c r="C756" s="231"/>
      <c r="D756" s="232"/>
      <c r="E756" s="233"/>
      <c r="F756" s="234"/>
      <c r="G756"/>
      <c r="H756"/>
      <c r="I756"/>
      <c r="J756"/>
      <c r="K756"/>
      <c r="L756"/>
      <c r="M756"/>
      <c r="N756"/>
      <c r="O756"/>
      <c r="P756"/>
      <c r="Q756"/>
      <c r="R756"/>
      <c r="S756"/>
      <c r="T756"/>
      <c r="U756"/>
      <c r="V756"/>
      <c r="W756"/>
    </row>
    <row r="757" spans="2:23" outlineLevel="1">
      <c r="B757" s="235"/>
      <c r="C757" s="236"/>
      <c r="D757" s="237"/>
      <c r="E757" s="238"/>
      <c r="F757" s="234"/>
      <c r="G757"/>
      <c r="H757"/>
      <c r="I757"/>
      <c r="J757"/>
      <c r="K757"/>
      <c r="L757"/>
      <c r="M757"/>
      <c r="N757"/>
      <c r="O757"/>
      <c r="P757"/>
      <c r="Q757"/>
      <c r="R757"/>
      <c r="S757"/>
      <c r="T757"/>
      <c r="U757"/>
      <c r="V757"/>
      <c r="W757"/>
    </row>
    <row r="758" spans="2:23" outlineLevel="1">
      <c r="B758" s="230"/>
      <c r="C758" s="231"/>
      <c r="D758" s="232"/>
      <c r="E758" s="233"/>
      <c r="F758" s="234"/>
      <c r="G758"/>
      <c r="H758"/>
      <c r="I758"/>
      <c r="J758"/>
      <c r="K758"/>
      <c r="L758"/>
      <c r="M758"/>
      <c r="N758"/>
      <c r="O758"/>
      <c r="P758"/>
      <c r="Q758"/>
      <c r="R758"/>
      <c r="S758"/>
      <c r="T758"/>
      <c r="U758"/>
      <c r="V758"/>
      <c r="W758"/>
    </row>
    <row r="759" spans="2:23" outlineLevel="1">
      <c r="B759" s="235"/>
      <c r="C759" s="236"/>
      <c r="D759" s="237"/>
      <c r="E759" s="238"/>
      <c r="F759" s="234"/>
      <c r="G759"/>
      <c r="H759"/>
      <c r="I759"/>
      <c r="J759"/>
      <c r="K759"/>
      <c r="L759"/>
      <c r="M759"/>
      <c r="N759"/>
      <c r="O759"/>
      <c r="P759"/>
      <c r="Q759"/>
      <c r="R759"/>
      <c r="S759"/>
      <c r="T759"/>
      <c r="U759"/>
      <c r="V759"/>
      <c r="W759"/>
    </row>
    <row r="760" spans="2:23" outlineLevel="1">
      <c r="B760" s="230"/>
      <c r="C760" s="231"/>
      <c r="D760" s="232"/>
      <c r="E760" s="233"/>
      <c r="F760" s="234"/>
      <c r="G760"/>
      <c r="H760"/>
      <c r="I760"/>
      <c r="J760"/>
      <c r="K760"/>
      <c r="L760"/>
      <c r="M760"/>
      <c r="N760"/>
      <c r="O760"/>
      <c r="P760"/>
      <c r="Q760"/>
      <c r="R760"/>
      <c r="S760"/>
      <c r="T760"/>
      <c r="U760"/>
      <c r="V760"/>
      <c r="W760"/>
    </row>
    <row r="761" spans="2:23" outlineLevel="1">
      <c r="B761" s="235"/>
      <c r="C761" s="236"/>
      <c r="D761" s="237"/>
      <c r="E761" s="238"/>
      <c r="F761" s="234"/>
      <c r="G761"/>
      <c r="H761"/>
      <c r="I761"/>
      <c r="J761"/>
      <c r="K761"/>
      <c r="L761"/>
      <c r="M761"/>
      <c r="N761"/>
      <c r="O761"/>
      <c r="P761"/>
      <c r="Q761"/>
      <c r="R761"/>
      <c r="S761"/>
      <c r="T761"/>
      <c r="U761"/>
      <c r="V761"/>
      <c r="W761"/>
    </row>
    <row r="762" spans="2:23" outlineLevel="1">
      <c r="B762" s="230"/>
      <c r="C762" s="231"/>
      <c r="D762" s="232"/>
      <c r="E762" s="233"/>
      <c r="F762" s="234"/>
      <c r="G762"/>
      <c r="H762"/>
      <c r="I762"/>
      <c r="J762"/>
      <c r="K762"/>
      <c r="L762"/>
      <c r="M762"/>
      <c r="N762"/>
      <c r="O762"/>
      <c r="P762"/>
      <c r="Q762"/>
      <c r="R762"/>
      <c r="S762"/>
      <c r="T762"/>
      <c r="U762"/>
      <c r="V762"/>
      <c r="W762"/>
    </row>
    <row r="763" spans="2:23" outlineLevel="1">
      <c r="B763" s="235"/>
      <c r="C763" s="236"/>
      <c r="D763" s="237"/>
      <c r="E763" s="238"/>
      <c r="F763" s="234"/>
      <c r="G763"/>
      <c r="H763"/>
      <c r="I763"/>
      <c r="J763"/>
      <c r="K763"/>
      <c r="L763"/>
      <c r="M763"/>
      <c r="N763"/>
      <c r="O763"/>
      <c r="P763"/>
      <c r="Q763"/>
      <c r="R763"/>
      <c r="S763"/>
      <c r="T763"/>
      <c r="U763"/>
      <c r="V763"/>
      <c r="W763"/>
    </row>
    <row r="764" spans="2:23" outlineLevel="1">
      <c r="B764" s="230"/>
      <c r="C764" s="231"/>
      <c r="D764" s="232"/>
      <c r="E764" s="233"/>
      <c r="F764" s="234"/>
      <c r="G764"/>
      <c r="H764"/>
      <c r="I764"/>
      <c r="J764"/>
      <c r="K764"/>
      <c r="L764"/>
      <c r="M764"/>
      <c r="N764"/>
      <c r="O764"/>
      <c r="P764"/>
      <c r="Q764"/>
      <c r="R764"/>
      <c r="S764"/>
      <c r="T764"/>
      <c r="U764"/>
      <c r="V764"/>
      <c r="W764"/>
    </row>
    <row r="765" spans="2:23" outlineLevel="1">
      <c r="B765" s="235"/>
      <c r="C765" s="236"/>
      <c r="D765" s="237"/>
      <c r="E765" s="238"/>
      <c r="F765" s="234"/>
      <c r="G765"/>
      <c r="H765"/>
      <c r="I765"/>
      <c r="J765"/>
      <c r="K765"/>
      <c r="L765"/>
      <c r="M765"/>
      <c r="N765"/>
      <c r="O765"/>
      <c r="P765"/>
      <c r="Q765"/>
      <c r="R765"/>
      <c r="S765"/>
      <c r="T765"/>
      <c r="U765"/>
      <c r="V765"/>
      <c r="W765"/>
    </row>
    <row r="766" spans="2:23" outlineLevel="1">
      <c r="B766" s="230"/>
      <c r="C766" s="231"/>
      <c r="D766" s="232"/>
      <c r="E766" s="233"/>
      <c r="F766" s="234"/>
      <c r="G766"/>
      <c r="H766"/>
      <c r="I766"/>
      <c r="J766"/>
      <c r="K766"/>
      <c r="L766"/>
      <c r="M766"/>
      <c r="N766"/>
      <c r="O766"/>
      <c r="P766"/>
      <c r="Q766"/>
      <c r="R766"/>
      <c r="S766"/>
      <c r="T766"/>
      <c r="U766"/>
      <c r="V766"/>
      <c r="W766"/>
    </row>
    <row r="767" spans="2:23" outlineLevel="1">
      <c r="B767" s="235"/>
      <c r="C767" s="236"/>
      <c r="D767" s="237"/>
      <c r="E767" s="238"/>
      <c r="F767" s="234"/>
      <c r="G767"/>
      <c r="H767"/>
      <c r="I767"/>
      <c r="J767"/>
      <c r="K767"/>
      <c r="L767"/>
      <c r="M767"/>
      <c r="N767"/>
      <c r="O767"/>
      <c r="P767"/>
      <c r="Q767"/>
      <c r="R767"/>
      <c r="S767"/>
      <c r="T767"/>
      <c r="U767"/>
      <c r="V767"/>
      <c r="W767"/>
    </row>
    <row r="768" spans="2:23" outlineLevel="1">
      <c r="B768" s="230"/>
      <c r="C768" s="231"/>
      <c r="D768" s="232"/>
      <c r="E768" s="233"/>
      <c r="F768" s="234"/>
      <c r="G768"/>
      <c r="H768"/>
      <c r="I768"/>
      <c r="J768"/>
      <c r="K768"/>
      <c r="L768"/>
      <c r="M768"/>
      <c r="N768"/>
      <c r="O768"/>
      <c r="P768"/>
      <c r="Q768"/>
      <c r="R768"/>
      <c r="S768"/>
      <c r="T768"/>
      <c r="U768"/>
      <c r="V768"/>
      <c r="W768"/>
    </row>
    <row r="769" spans="2:23" outlineLevel="1">
      <c r="B769" s="235"/>
      <c r="C769" s="236"/>
      <c r="D769" s="237"/>
      <c r="E769" s="238"/>
      <c r="F769" s="234"/>
      <c r="G769"/>
      <c r="H769"/>
      <c r="I769"/>
      <c r="J769"/>
      <c r="K769"/>
      <c r="L769"/>
      <c r="M769"/>
      <c r="N769"/>
      <c r="O769"/>
      <c r="P769"/>
      <c r="Q769"/>
      <c r="R769"/>
      <c r="S769"/>
      <c r="T769"/>
      <c r="U769"/>
      <c r="V769"/>
      <c r="W769"/>
    </row>
    <row r="770" spans="2:23" outlineLevel="1">
      <c r="B770" s="230"/>
      <c r="C770" s="231"/>
      <c r="D770" s="232"/>
      <c r="E770" s="233"/>
      <c r="F770" s="234"/>
      <c r="G770"/>
      <c r="H770"/>
      <c r="I770"/>
      <c r="J770"/>
      <c r="K770"/>
      <c r="L770"/>
      <c r="M770"/>
      <c r="N770"/>
      <c r="O770"/>
      <c r="P770"/>
      <c r="Q770"/>
      <c r="R770"/>
      <c r="S770"/>
      <c r="T770"/>
      <c r="U770"/>
      <c r="V770"/>
      <c r="W770"/>
    </row>
    <row r="771" spans="2:23" outlineLevel="1">
      <c r="B771" s="235"/>
      <c r="C771" s="236"/>
      <c r="D771" s="237"/>
      <c r="E771" s="238"/>
      <c r="F771" s="234"/>
      <c r="G771"/>
      <c r="H771"/>
      <c r="I771"/>
      <c r="J771"/>
      <c r="K771"/>
      <c r="L771"/>
      <c r="M771"/>
      <c r="N771"/>
      <c r="O771"/>
      <c r="P771"/>
      <c r="Q771"/>
      <c r="R771"/>
      <c r="S771"/>
      <c r="T771"/>
      <c r="U771"/>
      <c r="V771"/>
      <c r="W771"/>
    </row>
    <row r="772" spans="2:23" outlineLevel="1">
      <c r="B772" s="230"/>
      <c r="C772" s="231"/>
      <c r="D772" s="232"/>
      <c r="E772" s="233"/>
      <c r="F772" s="234"/>
      <c r="G772"/>
      <c r="H772"/>
      <c r="I772"/>
      <c r="J772"/>
      <c r="K772"/>
      <c r="L772"/>
      <c r="M772"/>
      <c r="N772"/>
      <c r="O772"/>
      <c r="P772"/>
      <c r="Q772"/>
      <c r="R772"/>
      <c r="S772"/>
      <c r="T772"/>
      <c r="U772"/>
      <c r="V772"/>
      <c r="W772"/>
    </row>
    <row r="773" spans="2:23" outlineLevel="1">
      <c r="B773" s="235"/>
      <c r="C773" s="236"/>
      <c r="D773" s="237"/>
      <c r="E773" s="238"/>
      <c r="F773" s="234"/>
      <c r="G773"/>
      <c r="H773"/>
      <c r="I773"/>
      <c r="J773"/>
      <c r="K773"/>
      <c r="L773"/>
      <c r="M773"/>
      <c r="N773"/>
      <c r="O773"/>
      <c r="P773"/>
      <c r="Q773"/>
      <c r="R773"/>
      <c r="S773"/>
      <c r="T773"/>
      <c r="U773"/>
      <c r="V773"/>
      <c r="W773"/>
    </row>
    <row r="774" spans="2:23" outlineLevel="1">
      <c r="B774" s="230"/>
      <c r="C774" s="231"/>
      <c r="D774" s="232"/>
      <c r="E774" s="233"/>
      <c r="F774" s="234"/>
      <c r="G774"/>
      <c r="H774"/>
      <c r="I774"/>
      <c r="J774"/>
      <c r="K774"/>
      <c r="L774"/>
      <c r="M774"/>
      <c r="N774"/>
      <c r="O774"/>
      <c r="P774"/>
      <c r="Q774"/>
      <c r="R774"/>
      <c r="S774"/>
      <c r="T774"/>
      <c r="U774"/>
      <c r="V774"/>
      <c r="W774"/>
    </row>
    <row r="775" spans="2:23" outlineLevel="1">
      <c r="B775" s="235"/>
      <c r="C775" s="236"/>
      <c r="D775" s="237"/>
      <c r="E775" s="238"/>
      <c r="F775" s="234"/>
      <c r="G775"/>
      <c r="H775"/>
      <c r="I775"/>
      <c r="J775"/>
      <c r="K775"/>
      <c r="L775"/>
      <c r="M775"/>
      <c r="N775"/>
      <c r="O775"/>
      <c r="P775"/>
      <c r="Q775"/>
      <c r="R775"/>
      <c r="S775"/>
      <c r="T775"/>
      <c r="U775"/>
      <c r="V775"/>
      <c r="W775"/>
    </row>
    <row r="776" spans="2:23" outlineLevel="1">
      <c r="B776" s="230"/>
      <c r="C776" s="231"/>
      <c r="D776" s="232"/>
      <c r="E776" s="233"/>
      <c r="F776" s="234"/>
      <c r="G776"/>
      <c r="H776"/>
      <c r="I776"/>
      <c r="J776"/>
      <c r="K776"/>
      <c r="L776"/>
      <c r="M776"/>
      <c r="N776"/>
      <c r="O776"/>
      <c r="P776"/>
      <c r="Q776"/>
      <c r="R776"/>
      <c r="S776"/>
      <c r="T776"/>
      <c r="U776"/>
      <c r="V776"/>
      <c r="W776"/>
    </row>
    <row r="777" spans="2:23" outlineLevel="1">
      <c r="B777" s="235"/>
      <c r="C777" s="236"/>
      <c r="D777" s="237"/>
      <c r="E777" s="238"/>
      <c r="F777" s="234"/>
      <c r="G777"/>
      <c r="H777"/>
      <c r="I777"/>
      <c r="J777"/>
      <c r="K777"/>
      <c r="L777"/>
      <c r="M777"/>
      <c r="N777"/>
      <c r="O777"/>
      <c r="P777"/>
      <c r="Q777"/>
      <c r="R777"/>
      <c r="S777"/>
      <c r="T777"/>
      <c r="U777"/>
      <c r="V777"/>
      <c r="W777"/>
    </row>
    <row r="778" spans="2:23" outlineLevel="1">
      <c r="B778" s="230"/>
      <c r="C778" s="231"/>
      <c r="D778" s="232"/>
      <c r="E778" s="233"/>
      <c r="F778" s="234"/>
      <c r="G778"/>
      <c r="H778"/>
      <c r="I778"/>
      <c r="J778"/>
      <c r="K778"/>
      <c r="L778"/>
      <c r="M778"/>
      <c r="N778"/>
      <c r="O778"/>
      <c r="P778"/>
      <c r="Q778"/>
      <c r="R778"/>
      <c r="S778"/>
      <c r="T778"/>
      <c r="U778"/>
      <c r="V778"/>
      <c r="W778"/>
    </row>
    <row r="779" spans="2:23" outlineLevel="1">
      <c r="B779" s="235"/>
      <c r="C779" s="236"/>
      <c r="D779" s="237"/>
      <c r="E779" s="238"/>
      <c r="F779" s="234"/>
      <c r="G779"/>
      <c r="H779"/>
      <c r="I779"/>
      <c r="J779"/>
      <c r="K779"/>
      <c r="L779"/>
      <c r="M779"/>
      <c r="N779"/>
      <c r="O779"/>
      <c r="P779"/>
      <c r="Q779"/>
      <c r="R779"/>
      <c r="S779"/>
      <c r="T779"/>
      <c r="U779"/>
      <c r="V779"/>
      <c r="W779"/>
    </row>
    <row r="780" spans="2:23" outlineLevel="1">
      <c r="B780" s="230"/>
      <c r="C780" s="231"/>
      <c r="D780" s="232"/>
      <c r="E780" s="233"/>
      <c r="F780" s="234"/>
      <c r="G780"/>
      <c r="H780"/>
      <c r="I780"/>
      <c r="J780"/>
      <c r="K780"/>
      <c r="L780"/>
      <c r="M780"/>
      <c r="N780"/>
      <c r="O780"/>
      <c r="P780"/>
      <c r="Q780"/>
      <c r="R780"/>
      <c r="S780"/>
      <c r="T780"/>
      <c r="U780"/>
      <c r="V780"/>
      <c r="W780"/>
    </row>
    <row r="781" spans="2:23" outlineLevel="1">
      <c r="B781" s="235"/>
      <c r="C781" s="236"/>
      <c r="D781" s="237"/>
      <c r="E781" s="238"/>
      <c r="F781" s="234"/>
      <c r="G781"/>
      <c r="H781"/>
      <c r="I781"/>
      <c r="J781"/>
      <c r="K781"/>
      <c r="L781"/>
      <c r="M781"/>
      <c r="N781"/>
      <c r="O781"/>
      <c r="P781"/>
      <c r="Q781"/>
      <c r="R781"/>
      <c r="S781"/>
      <c r="T781"/>
      <c r="U781"/>
      <c r="V781"/>
      <c r="W781"/>
    </row>
    <row r="782" spans="2:23" outlineLevel="1">
      <c r="B782" s="230"/>
      <c r="C782" s="231"/>
      <c r="D782" s="232"/>
      <c r="E782" s="233"/>
      <c r="F782" s="234"/>
      <c r="G782"/>
      <c r="H782"/>
      <c r="I782"/>
      <c r="J782"/>
      <c r="K782"/>
      <c r="L782"/>
      <c r="M782"/>
      <c r="N782"/>
      <c r="O782"/>
      <c r="P782"/>
      <c r="Q782"/>
      <c r="R782"/>
      <c r="S782"/>
      <c r="T782"/>
      <c r="U782"/>
      <c r="V782"/>
      <c r="W782"/>
    </row>
    <row r="783" spans="2:23" outlineLevel="1">
      <c r="B783" s="235"/>
      <c r="C783" s="236"/>
      <c r="D783" s="237"/>
      <c r="E783" s="238"/>
      <c r="F783" s="234"/>
      <c r="G783"/>
      <c r="H783"/>
      <c r="I783"/>
      <c r="J783"/>
      <c r="K783"/>
      <c r="L783"/>
      <c r="M783"/>
      <c r="N783"/>
      <c r="O783"/>
      <c r="P783"/>
      <c r="Q783"/>
      <c r="R783"/>
      <c r="S783"/>
      <c r="T783"/>
      <c r="U783"/>
      <c r="V783"/>
      <c r="W783"/>
    </row>
    <row r="784" spans="2:23" outlineLevel="1">
      <c r="B784" s="230"/>
      <c r="C784" s="231"/>
      <c r="D784" s="232"/>
      <c r="E784" s="233"/>
      <c r="F784" s="234"/>
      <c r="G784"/>
      <c r="H784"/>
      <c r="I784"/>
      <c r="J784"/>
      <c r="K784"/>
      <c r="L784"/>
      <c r="M784"/>
      <c r="N784"/>
      <c r="O784"/>
      <c r="P784"/>
      <c r="Q784"/>
      <c r="R784"/>
      <c r="S784"/>
      <c r="T784"/>
      <c r="U784"/>
      <c r="V784"/>
      <c r="W784"/>
    </row>
    <row r="785" spans="2:23" outlineLevel="1">
      <c r="B785" s="235"/>
      <c r="C785" s="236"/>
      <c r="D785" s="237"/>
      <c r="E785" s="238"/>
      <c r="F785" s="234"/>
      <c r="G785"/>
      <c r="H785"/>
      <c r="I785"/>
      <c r="J785"/>
      <c r="K785"/>
      <c r="L785"/>
      <c r="M785"/>
      <c r="N785"/>
      <c r="O785"/>
      <c r="P785"/>
      <c r="Q785"/>
      <c r="R785"/>
      <c r="S785"/>
      <c r="T785"/>
      <c r="U785"/>
      <c r="V785"/>
      <c r="W785"/>
    </row>
    <row r="786" spans="2:23" outlineLevel="1">
      <c r="B786" s="230"/>
      <c r="C786" s="231"/>
      <c r="D786" s="232"/>
      <c r="E786" s="233"/>
      <c r="F786" s="234"/>
      <c r="G786"/>
      <c r="H786"/>
      <c r="I786"/>
      <c r="J786"/>
      <c r="K786"/>
      <c r="L786"/>
      <c r="M786"/>
      <c r="N786"/>
      <c r="O786"/>
      <c r="P786"/>
      <c r="Q786"/>
      <c r="R786"/>
      <c r="S786"/>
      <c r="T786"/>
      <c r="U786"/>
      <c r="V786"/>
      <c r="W786"/>
    </row>
    <row r="787" spans="2:23" outlineLevel="1">
      <c r="B787" s="235"/>
      <c r="C787" s="236"/>
      <c r="D787" s="237"/>
      <c r="E787" s="238"/>
      <c r="F787" s="234"/>
      <c r="G787"/>
      <c r="H787"/>
      <c r="I787"/>
      <c r="J787"/>
      <c r="K787"/>
      <c r="L787"/>
      <c r="M787"/>
      <c r="N787"/>
      <c r="O787"/>
      <c r="P787"/>
      <c r="Q787"/>
      <c r="R787"/>
      <c r="S787"/>
      <c r="T787"/>
      <c r="U787"/>
      <c r="V787"/>
      <c r="W787"/>
    </row>
    <row r="788" spans="2:23" outlineLevel="1">
      <c r="B788" s="230"/>
      <c r="C788" s="231"/>
      <c r="D788" s="232"/>
      <c r="E788" s="233"/>
      <c r="F788" s="234"/>
      <c r="G788"/>
      <c r="H788"/>
      <c r="I788"/>
      <c r="J788"/>
      <c r="K788"/>
      <c r="L788"/>
      <c r="M788"/>
      <c r="N788"/>
      <c r="O788"/>
      <c r="P788"/>
      <c r="Q788"/>
      <c r="R788"/>
      <c r="S788"/>
      <c r="T788"/>
      <c r="U788"/>
      <c r="V788"/>
      <c r="W788"/>
    </row>
    <row r="789" spans="2:23" outlineLevel="1">
      <c r="B789" s="235"/>
      <c r="C789" s="236"/>
      <c r="D789" s="237"/>
      <c r="E789" s="238"/>
      <c r="F789" s="234"/>
      <c r="G789"/>
      <c r="H789"/>
      <c r="I789"/>
      <c r="J789"/>
      <c r="K789"/>
      <c r="L789"/>
      <c r="M789"/>
      <c r="N789"/>
      <c r="O789"/>
      <c r="P789"/>
      <c r="Q789"/>
      <c r="R789"/>
      <c r="S789"/>
      <c r="T789"/>
      <c r="U789"/>
      <c r="V789"/>
      <c r="W789"/>
    </row>
    <row r="790" spans="2:23" outlineLevel="1">
      <c r="B790" s="230"/>
      <c r="C790" s="231"/>
      <c r="D790" s="232"/>
      <c r="E790" s="233"/>
      <c r="F790" s="234"/>
      <c r="G790"/>
      <c r="H790"/>
      <c r="I790"/>
      <c r="J790"/>
      <c r="K790"/>
      <c r="L790"/>
      <c r="M790"/>
      <c r="N790"/>
      <c r="O790"/>
      <c r="P790"/>
      <c r="Q790"/>
      <c r="R790"/>
      <c r="S790"/>
      <c r="T790"/>
      <c r="U790"/>
      <c r="V790"/>
      <c r="W790"/>
    </row>
    <row r="791" spans="2:23" outlineLevel="1">
      <c r="B791" s="235"/>
      <c r="C791" s="236"/>
      <c r="D791" s="237"/>
      <c r="E791" s="238"/>
      <c r="F791" s="234"/>
      <c r="G791"/>
      <c r="H791"/>
      <c r="I791"/>
      <c r="J791"/>
      <c r="K791"/>
      <c r="L791"/>
      <c r="M791"/>
      <c r="N791"/>
      <c r="O791"/>
      <c r="P791"/>
      <c r="Q791"/>
      <c r="R791"/>
      <c r="S791"/>
      <c r="T791"/>
      <c r="U791"/>
      <c r="V791"/>
      <c r="W791"/>
    </row>
    <row r="792" spans="2:23" outlineLevel="1">
      <c r="B792" s="230"/>
      <c r="C792" s="231"/>
      <c r="D792" s="232"/>
      <c r="E792" s="233"/>
      <c r="F792" s="234"/>
      <c r="G792"/>
      <c r="H792"/>
      <c r="I792"/>
      <c r="J792"/>
      <c r="K792"/>
      <c r="L792"/>
      <c r="M792"/>
      <c r="N792"/>
      <c r="O792"/>
      <c r="P792"/>
      <c r="Q792"/>
      <c r="R792"/>
      <c r="S792"/>
      <c r="T792"/>
      <c r="U792"/>
      <c r="V792"/>
      <c r="W792"/>
    </row>
    <row r="793" spans="2:23" outlineLevel="1">
      <c r="B793" s="235"/>
      <c r="C793" s="236"/>
      <c r="D793" s="237"/>
      <c r="E793" s="238"/>
      <c r="F793" s="234"/>
      <c r="G793"/>
      <c r="H793"/>
      <c r="I793"/>
      <c r="J793"/>
      <c r="K793"/>
      <c r="L793"/>
      <c r="M793"/>
      <c r="N793"/>
      <c r="O793"/>
      <c r="P793"/>
      <c r="Q793"/>
      <c r="R793"/>
      <c r="S793"/>
      <c r="T793"/>
      <c r="U793"/>
      <c r="V793"/>
      <c r="W793"/>
    </row>
    <row r="794" spans="2:23" outlineLevel="1">
      <c r="B794" s="230"/>
      <c r="C794" s="231"/>
      <c r="D794" s="232"/>
      <c r="E794" s="233"/>
      <c r="F794" s="234"/>
      <c r="G794"/>
      <c r="H794"/>
      <c r="I794"/>
      <c r="J794"/>
      <c r="K794"/>
      <c r="L794"/>
      <c r="M794"/>
      <c r="N794"/>
      <c r="O794"/>
      <c r="P794"/>
      <c r="Q794"/>
      <c r="R794"/>
      <c r="S794"/>
      <c r="T794"/>
      <c r="U794"/>
      <c r="V794"/>
      <c r="W794"/>
    </row>
    <row r="795" spans="2:23" outlineLevel="1">
      <c r="B795" s="235"/>
      <c r="C795" s="236"/>
      <c r="D795" s="237"/>
      <c r="E795" s="238"/>
      <c r="F795" s="234"/>
      <c r="G795"/>
      <c r="H795"/>
      <c r="I795"/>
      <c r="J795"/>
      <c r="K795"/>
      <c r="L795"/>
      <c r="M795"/>
      <c r="N795"/>
      <c r="O795"/>
      <c r="P795"/>
      <c r="Q795"/>
      <c r="R795"/>
      <c r="S795"/>
      <c r="T795"/>
      <c r="U795"/>
      <c r="V795"/>
      <c r="W795"/>
    </row>
    <row r="796" spans="2:23" outlineLevel="1">
      <c r="B796" s="230"/>
      <c r="C796" s="231"/>
      <c r="D796" s="232"/>
      <c r="E796" s="233"/>
      <c r="F796" s="234"/>
      <c r="G796"/>
      <c r="H796"/>
      <c r="I796"/>
      <c r="J796"/>
      <c r="K796"/>
      <c r="L796"/>
      <c r="M796"/>
      <c r="N796"/>
      <c r="O796"/>
      <c r="P796"/>
      <c r="Q796"/>
      <c r="R796"/>
      <c r="S796"/>
      <c r="T796"/>
      <c r="U796"/>
      <c r="V796"/>
      <c r="W796"/>
    </row>
    <row r="797" spans="2:23" outlineLevel="1">
      <c r="B797" s="235"/>
      <c r="C797" s="236"/>
      <c r="D797" s="237"/>
      <c r="E797" s="238"/>
      <c r="F797" s="234"/>
      <c r="G797"/>
      <c r="H797"/>
      <c r="I797"/>
      <c r="J797"/>
      <c r="K797"/>
      <c r="L797"/>
      <c r="M797"/>
      <c r="N797"/>
      <c r="O797"/>
      <c r="P797"/>
      <c r="Q797"/>
      <c r="R797"/>
      <c r="S797"/>
      <c r="T797"/>
      <c r="U797"/>
      <c r="V797"/>
      <c r="W797"/>
    </row>
    <row r="798" spans="2:23" outlineLevel="1">
      <c r="B798" s="230"/>
      <c r="C798" s="231"/>
      <c r="D798" s="232"/>
      <c r="E798" s="233"/>
      <c r="F798" s="234"/>
      <c r="G798"/>
      <c r="H798"/>
      <c r="I798"/>
      <c r="J798"/>
      <c r="K798"/>
      <c r="L798"/>
      <c r="M798"/>
      <c r="N798"/>
      <c r="O798"/>
      <c r="P798"/>
      <c r="Q798"/>
      <c r="R798"/>
      <c r="S798"/>
      <c r="T798"/>
      <c r="U798"/>
      <c r="V798"/>
      <c r="W798"/>
    </row>
    <row r="799" spans="2:23" outlineLevel="1">
      <c r="B799" s="235"/>
      <c r="C799" s="236"/>
      <c r="D799" s="237"/>
      <c r="E799" s="238"/>
      <c r="F799" s="234"/>
      <c r="G799"/>
      <c r="H799"/>
      <c r="I799"/>
      <c r="J799"/>
      <c r="K799"/>
      <c r="L799"/>
      <c r="M799"/>
      <c r="N799"/>
      <c r="O799"/>
      <c r="P799"/>
      <c r="Q799"/>
      <c r="R799"/>
      <c r="S799"/>
      <c r="T799"/>
      <c r="U799"/>
      <c r="V799"/>
      <c r="W799"/>
    </row>
    <row r="800" spans="2:23" outlineLevel="1">
      <c r="B800" s="230"/>
      <c r="C800" s="231"/>
      <c r="D800" s="232"/>
      <c r="E800" s="233"/>
      <c r="F800" s="234"/>
      <c r="G800"/>
      <c r="H800"/>
      <c r="I800"/>
      <c r="J800"/>
      <c r="K800"/>
      <c r="L800"/>
      <c r="M800"/>
      <c r="N800"/>
      <c r="O800"/>
      <c r="P800"/>
      <c r="Q800"/>
      <c r="R800"/>
      <c r="S800"/>
      <c r="T800"/>
      <c r="U800"/>
      <c r="V800"/>
      <c r="W800"/>
    </row>
    <row r="801" spans="2:23" outlineLevel="1">
      <c r="B801" s="235"/>
      <c r="C801" s="236"/>
      <c r="D801" s="237"/>
      <c r="E801" s="238"/>
      <c r="F801" s="234"/>
      <c r="G801"/>
      <c r="H801"/>
      <c r="I801"/>
      <c r="J801"/>
      <c r="K801"/>
      <c r="L801"/>
      <c r="M801"/>
      <c r="N801"/>
      <c r="O801"/>
      <c r="P801"/>
      <c r="Q801"/>
      <c r="R801"/>
      <c r="S801"/>
      <c r="T801"/>
      <c r="U801"/>
      <c r="V801"/>
      <c r="W801"/>
    </row>
    <row r="802" spans="2:23" outlineLevel="1">
      <c r="B802" s="230"/>
      <c r="C802" s="231"/>
      <c r="D802" s="232"/>
      <c r="E802" s="233"/>
      <c r="F802" s="234"/>
      <c r="G802"/>
      <c r="H802"/>
      <c r="I802"/>
      <c r="J802"/>
      <c r="K802"/>
      <c r="L802"/>
      <c r="M802"/>
      <c r="N802"/>
      <c r="O802"/>
      <c r="P802"/>
      <c r="Q802"/>
      <c r="R802"/>
      <c r="S802"/>
      <c r="T802"/>
      <c r="U802"/>
      <c r="V802"/>
      <c r="W802"/>
    </row>
    <row r="803" spans="2:23" outlineLevel="1">
      <c r="B803" s="235"/>
      <c r="C803" s="236"/>
      <c r="D803" s="237"/>
      <c r="E803" s="238"/>
      <c r="F803" s="234"/>
      <c r="G803"/>
      <c r="H803"/>
      <c r="I803"/>
      <c r="J803"/>
      <c r="K803"/>
      <c r="L803"/>
      <c r="M803"/>
      <c r="N803"/>
      <c r="O803"/>
      <c r="P803"/>
      <c r="Q803"/>
      <c r="R803"/>
      <c r="S803"/>
      <c r="T803"/>
      <c r="U803"/>
      <c r="V803"/>
      <c r="W803"/>
    </row>
    <row r="804" spans="2:23" outlineLevel="1">
      <c r="B804" s="230"/>
      <c r="C804" s="231"/>
      <c r="D804" s="232"/>
      <c r="E804" s="233"/>
      <c r="F804" s="234"/>
      <c r="G804"/>
      <c r="H804"/>
      <c r="I804"/>
      <c r="J804"/>
      <c r="K804"/>
      <c r="L804"/>
      <c r="M804"/>
      <c r="N804"/>
      <c r="O804"/>
      <c r="P804"/>
      <c r="Q804"/>
      <c r="R804"/>
      <c r="S804"/>
      <c r="T804"/>
      <c r="U804"/>
      <c r="V804"/>
      <c r="W804"/>
    </row>
    <row r="805" spans="2:23" outlineLevel="1">
      <c r="B805" s="235"/>
      <c r="C805" s="236"/>
      <c r="D805" s="237"/>
      <c r="E805" s="238"/>
      <c r="F805" s="234"/>
      <c r="G805"/>
      <c r="H805"/>
      <c r="I805"/>
      <c r="J805"/>
      <c r="K805"/>
      <c r="L805"/>
      <c r="M805"/>
      <c r="N805"/>
      <c r="O805"/>
      <c r="P805"/>
      <c r="Q805"/>
      <c r="R805"/>
      <c r="S805"/>
      <c r="T805"/>
      <c r="U805"/>
      <c r="V805"/>
      <c r="W805"/>
    </row>
    <row r="806" spans="2:23" outlineLevel="1">
      <c r="B806" s="230"/>
      <c r="C806" s="231"/>
      <c r="D806" s="232"/>
      <c r="E806" s="233"/>
      <c r="F806" s="234"/>
      <c r="G806"/>
      <c r="H806"/>
      <c r="I806"/>
      <c r="J806"/>
      <c r="K806"/>
      <c r="L806"/>
      <c r="M806"/>
      <c r="N806"/>
      <c r="O806"/>
      <c r="P806"/>
      <c r="Q806"/>
      <c r="R806"/>
      <c r="S806"/>
      <c r="T806"/>
      <c r="U806"/>
      <c r="V806"/>
      <c r="W806"/>
    </row>
    <row r="807" spans="2:23" outlineLevel="1">
      <c r="B807" s="235"/>
      <c r="C807" s="236"/>
      <c r="D807" s="237"/>
      <c r="E807" s="238"/>
      <c r="F807" s="234"/>
      <c r="G807"/>
      <c r="H807"/>
      <c r="I807"/>
      <c r="J807"/>
      <c r="K807"/>
      <c r="L807"/>
      <c r="M807"/>
      <c r="N807"/>
      <c r="O807"/>
      <c r="P807"/>
      <c r="Q807"/>
      <c r="R807"/>
      <c r="S807"/>
      <c r="T807"/>
      <c r="U807"/>
      <c r="V807"/>
      <c r="W807"/>
    </row>
    <row r="808" spans="2:23" outlineLevel="1">
      <c r="B808" s="230"/>
      <c r="C808" s="231"/>
      <c r="D808" s="232"/>
      <c r="E808" s="233"/>
      <c r="F808" s="234"/>
      <c r="G808"/>
      <c r="H808"/>
      <c r="I808"/>
      <c r="J808"/>
      <c r="K808"/>
      <c r="L808"/>
      <c r="M808"/>
      <c r="N808"/>
      <c r="O808"/>
      <c r="P808"/>
      <c r="Q808"/>
      <c r="R808"/>
      <c r="S808"/>
      <c r="T808"/>
      <c r="U808"/>
      <c r="V808"/>
      <c r="W808"/>
    </row>
    <row r="809" spans="2:23" outlineLevel="1">
      <c r="B809" s="235"/>
      <c r="C809" s="236"/>
      <c r="D809" s="237"/>
      <c r="E809" s="238"/>
      <c r="F809" s="234"/>
      <c r="G809"/>
      <c r="H809"/>
      <c r="I809"/>
      <c r="J809"/>
      <c r="K809"/>
      <c r="L809"/>
      <c r="M809"/>
      <c r="N809"/>
      <c r="O809"/>
      <c r="P809"/>
      <c r="Q809"/>
      <c r="R809"/>
      <c r="S809"/>
      <c r="T809"/>
      <c r="U809"/>
      <c r="V809"/>
      <c r="W809"/>
    </row>
    <row r="810" spans="2:23" outlineLevel="1">
      <c r="B810" s="230"/>
      <c r="C810" s="231"/>
      <c r="D810" s="232"/>
      <c r="E810" s="233"/>
      <c r="F810" s="234"/>
      <c r="G810"/>
      <c r="H810"/>
      <c r="I810"/>
      <c r="J810"/>
      <c r="K810"/>
      <c r="L810"/>
      <c r="M810"/>
      <c r="N810"/>
      <c r="O810"/>
      <c r="P810"/>
      <c r="Q810"/>
      <c r="R810"/>
      <c r="S810"/>
      <c r="T810"/>
      <c r="U810"/>
      <c r="V810"/>
      <c r="W810"/>
    </row>
    <row r="811" spans="2:23" outlineLevel="1">
      <c r="B811" s="235"/>
      <c r="C811" s="236"/>
      <c r="D811" s="237"/>
      <c r="E811" s="238"/>
      <c r="F811" s="234"/>
      <c r="G811"/>
      <c r="H811"/>
      <c r="I811"/>
      <c r="J811"/>
      <c r="K811"/>
      <c r="L811"/>
      <c r="M811"/>
      <c r="N811"/>
      <c r="O811"/>
      <c r="P811"/>
      <c r="Q811"/>
      <c r="R811"/>
      <c r="S811"/>
      <c r="T811"/>
      <c r="U811"/>
      <c r="V811"/>
      <c r="W811"/>
    </row>
    <row r="812" spans="2:23" outlineLevel="1">
      <c r="B812" s="230"/>
      <c r="C812" s="231"/>
      <c r="D812" s="232"/>
      <c r="E812" s="233"/>
      <c r="F812" s="234"/>
      <c r="G812"/>
      <c r="H812"/>
      <c r="I812"/>
      <c r="J812"/>
      <c r="K812"/>
      <c r="L812"/>
      <c r="M812"/>
      <c r="N812"/>
      <c r="O812"/>
      <c r="P812"/>
      <c r="Q812"/>
      <c r="R812"/>
      <c r="S812"/>
      <c r="T812"/>
      <c r="U812"/>
      <c r="V812"/>
      <c r="W812"/>
    </row>
    <row r="813" spans="2:23" outlineLevel="1">
      <c r="B813" s="235"/>
      <c r="C813" s="236"/>
      <c r="D813" s="237"/>
      <c r="E813" s="238"/>
      <c r="F813" s="234"/>
      <c r="G813"/>
      <c r="H813"/>
      <c r="I813"/>
      <c r="J813"/>
      <c r="K813"/>
      <c r="L813"/>
      <c r="M813"/>
      <c r="N813"/>
      <c r="O813"/>
      <c r="P813"/>
      <c r="Q813"/>
      <c r="R813"/>
      <c r="S813"/>
      <c r="T813"/>
      <c r="U813"/>
      <c r="V813"/>
      <c r="W813"/>
    </row>
    <row r="814" spans="2:23" outlineLevel="1">
      <c r="B814" s="230"/>
      <c r="C814" s="231"/>
      <c r="D814" s="232"/>
      <c r="E814" s="233"/>
      <c r="F814" s="234"/>
      <c r="G814"/>
      <c r="H814"/>
      <c r="I814"/>
      <c r="J814"/>
      <c r="K814"/>
      <c r="L814"/>
      <c r="M814"/>
      <c r="N814"/>
      <c r="O814"/>
      <c r="P814"/>
      <c r="Q814"/>
      <c r="R814"/>
      <c r="S814"/>
      <c r="T814"/>
      <c r="U814"/>
      <c r="V814"/>
      <c r="W814"/>
    </row>
    <row r="815" spans="2:23" outlineLevel="1">
      <c r="B815" s="235"/>
      <c r="C815" s="236"/>
      <c r="D815" s="237"/>
      <c r="E815" s="238"/>
      <c r="F815" s="234"/>
      <c r="G815"/>
      <c r="H815"/>
      <c r="I815"/>
      <c r="J815"/>
      <c r="K815"/>
      <c r="L815"/>
      <c r="M815"/>
      <c r="N815"/>
      <c r="O815"/>
      <c r="P815"/>
      <c r="Q815"/>
      <c r="R815"/>
      <c r="S815"/>
      <c r="T815"/>
      <c r="U815"/>
      <c r="V815"/>
      <c r="W815"/>
    </row>
    <row r="816" spans="2:23" outlineLevel="1">
      <c r="B816" s="230"/>
      <c r="C816" s="231"/>
      <c r="D816" s="232"/>
      <c r="E816" s="233"/>
      <c r="F816" s="234"/>
      <c r="G816"/>
      <c r="H816"/>
      <c r="I816"/>
      <c r="J816"/>
      <c r="K816"/>
      <c r="L816"/>
      <c r="M816"/>
      <c r="N816"/>
      <c r="O816"/>
      <c r="P816"/>
      <c r="Q816"/>
      <c r="R816"/>
      <c r="S816"/>
      <c r="T816"/>
      <c r="U816"/>
      <c r="V816"/>
      <c r="W816"/>
    </row>
    <row r="817" spans="2:23" outlineLevel="1">
      <c r="B817" s="235"/>
      <c r="C817" s="236"/>
      <c r="D817" s="237"/>
      <c r="E817" s="238"/>
      <c r="F817" s="234"/>
      <c r="G817"/>
      <c r="H817"/>
      <c r="I817"/>
      <c r="J817"/>
      <c r="K817"/>
      <c r="L817"/>
      <c r="M817"/>
      <c r="N817"/>
      <c r="O817"/>
      <c r="P817"/>
      <c r="Q817"/>
      <c r="R817"/>
      <c r="S817"/>
      <c r="T817"/>
      <c r="U817"/>
      <c r="V817"/>
      <c r="W817"/>
    </row>
    <row r="818" spans="2:23" outlineLevel="1">
      <c r="B818" s="230"/>
      <c r="C818" s="231"/>
      <c r="D818" s="232"/>
      <c r="E818" s="233"/>
      <c r="F818" s="234"/>
      <c r="G818"/>
      <c r="H818"/>
      <c r="I818"/>
      <c r="J818"/>
      <c r="K818"/>
      <c r="L818"/>
      <c r="M818"/>
      <c r="N818"/>
      <c r="O818"/>
      <c r="P818"/>
      <c r="Q818"/>
      <c r="R818"/>
      <c r="S818"/>
      <c r="T818"/>
      <c r="U818"/>
      <c r="V818"/>
      <c r="W818"/>
    </row>
    <row r="819" spans="2:23" outlineLevel="1">
      <c r="B819" s="235"/>
      <c r="C819" s="236"/>
      <c r="D819" s="237"/>
      <c r="E819" s="238"/>
      <c r="F819" s="234"/>
      <c r="G819"/>
      <c r="H819"/>
      <c r="I819"/>
      <c r="J819"/>
      <c r="K819"/>
      <c r="L819"/>
      <c r="M819"/>
      <c r="N819"/>
      <c r="O819"/>
      <c r="P819"/>
      <c r="Q819"/>
      <c r="R819"/>
      <c r="S819"/>
      <c r="T819"/>
      <c r="U819"/>
      <c r="V819"/>
      <c r="W819"/>
    </row>
    <row r="820" spans="2:23" outlineLevel="1">
      <c r="B820" s="230"/>
      <c r="C820" s="231"/>
      <c r="D820" s="232"/>
      <c r="E820" s="233"/>
      <c r="F820" s="234"/>
      <c r="G820"/>
      <c r="H820"/>
      <c r="I820"/>
      <c r="J820"/>
      <c r="K820"/>
      <c r="L820"/>
      <c r="M820"/>
      <c r="N820"/>
      <c r="O820"/>
      <c r="P820"/>
      <c r="Q820"/>
      <c r="R820"/>
      <c r="S820"/>
      <c r="T820"/>
      <c r="U820"/>
      <c r="V820"/>
      <c r="W820"/>
    </row>
    <row r="821" spans="2:23" outlineLevel="1">
      <c r="B821" s="235"/>
      <c r="C821" s="236"/>
      <c r="D821" s="237"/>
      <c r="E821" s="238"/>
      <c r="F821" s="234"/>
      <c r="G821"/>
      <c r="H821"/>
      <c r="I821"/>
      <c r="J821"/>
      <c r="K821"/>
      <c r="L821"/>
      <c r="M821"/>
      <c r="N821"/>
      <c r="O821"/>
      <c r="P821"/>
      <c r="Q821"/>
      <c r="R821"/>
      <c r="S821"/>
      <c r="T821"/>
      <c r="U821"/>
      <c r="V821"/>
      <c r="W821"/>
    </row>
    <row r="822" spans="2:23" outlineLevel="1">
      <c r="B822" s="230"/>
      <c r="C822" s="231"/>
      <c r="D822" s="232"/>
      <c r="E822" s="233"/>
      <c r="F822" s="234"/>
      <c r="G822"/>
      <c r="H822"/>
      <c r="I822"/>
      <c r="J822"/>
      <c r="K822"/>
      <c r="L822"/>
      <c r="M822"/>
      <c r="N822"/>
      <c r="O822"/>
      <c r="P822"/>
      <c r="Q822"/>
      <c r="R822"/>
      <c r="S822"/>
      <c r="T822"/>
      <c r="U822"/>
      <c r="V822"/>
      <c r="W822"/>
    </row>
    <row r="823" spans="2:23" outlineLevel="1">
      <c r="B823" s="235"/>
      <c r="C823" s="236"/>
      <c r="D823" s="237"/>
      <c r="E823" s="238"/>
      <c r="F823" s="234"/>
      <c r="G823"/>
      <c r="H823"/>
      <c r="I823"/>
      <c r="J823"/>
      <c r="K823"/>
      <c r="L823"/>
      <c r="M823"/>
      <c r="N823"/>
      <c r="O823"/>
      <c r="P823"/>
      <c r="Q823"/>
      <c r="R823"/>
      <c r="S823"/>
      <c r="T823"/>
      <c r="U823"/>
      <c r="V823"/>
      <c r="W823"/>
    </row>
    <row r="824" spans="2:23" outlineLevel="1">
      <c r="B824" s="230"/>
      <c r="C824" s="231"/>
      <c r="D824" s="232"/>
      <c r="E824" s="233"/>
      <c r="F824" s="234"/>
      <c r="G824"/>
      <c r="H824"/>
      <c r="I824"/>
      <c r="J824"/>
      <c r="K824"/>
      <c r="L824"/>
      <c r="M824"/>
      <c r="N824"/>
      <c r="O824"/>
      <c r="P824"/>
      <c r="Q824"/>
      <c r="R824"/>
      <c r="S824"/>
      <c r="T824"/>
      <c r="U824"/>
      <c r="V824"/>
      <c r="W824"/>
    </row>
    <row r="825" spans="2:23" outlineLevel="1">
      <c r="B825" s="235"/>
      <c r="C825" s="236"/>
      <c r="D825" s="237"/>
      <c r="E825" s="238"/>
      <c r="F825" s="234"/>
      <c r="G825"/>
      <c r="H825"/>
      <c r="I825"/>
      <c r="J825"/>
      <c r="K825"/>
      <c r="L825"/>
      <c r="M825"/>
      <c r="N825"/>
      <c r="O825"/>
      <c r="P825"/>
      <c r="Q825"/>
      <c r="R825"/>
      <c r="S825"/>
      <c r="T825"/>
      <c r="U825"/>
      <c r="V825"/>
      <c r="W825"/>
    </row>
    <row r="826" spans="2:23" outlineLevel="1">
      <c r="B826" s="230"/>
      <c r="C826" s="231"/>
      <c r="D826" s="232"/>
      <c r="E826" s="233"/>
      <c r="F826" s="234"/>
      <c r="G826"/>
      <c r="H826"/>
      <c r="I826"/>
      <c r="J826"/>
      <c r="K826"/>
      <c r="L826"/>
      <c r="M826"/>
      <c r="N826"/>
      <c r="O826"/>
      <c r="P826"/>
      <c r="Q826"/>
      <c r="R826"/>
      <c r="S826"/>
      <c r="T826"/>
      <c r="U826"/>
      <c r="V826"/>
      <c r="W826"/>
    </row>
    <row r="827" spans="2:23" outlineLevel="1">
      <c r="B827" s="235"/>
      <c r="C827" s="236"/>
      <c r="D827" s="237"/>
      <c r="E827" s="238"/>
      <c r="F827" s="234"/>
      <c r="G827"/>
      <c r="H827"/>
      <c r="I827"/>
      <c r="J827"/>
      <c r="K827"/>
      <c r="L827"/>
      <c r="M827"/>
      <c r="N827"/>
      <c r="O827"/>
      <c r="P827"/>
      <c r="Q827"/>
      <c r="R827"/>
      <c r="S827"/>
      <c r="T827"/>
      <c r="U827"/>
      <c r="V827"/>
      <c r="W827"/>
    </row>
    <row r="828" spans="2:23" outlineLevel="1">
      <c r="B828" s="230"/>
      <c r="C828" s="231"/>
      <c r="D828" s="232"/>
      <c r="E828" s="233"/>
      <c r="F828" s="234"/>
      <c r="G828"/>
      <c r="H828"/>
      <c r="I828"/>
      <c r="J828"/>
      <c r="K828"/>
      <c r="L828"/>
      <c r="M828"/>
      <c r="N828"/>
      <c r="O828"/>
      <c r="P828"/>
      <c r="Q828"/>
      <c r="R828"/>
      <c r="S828"/>
      <c r="T828"/>
      <c r="U828"/>
      <c r="V828"/>
      <c r="W828"/>
    </row>
    <row r="829" spans="2:23" outlineLevel="1">
      <c r="B829" s="235"/>
      <c r="C829" s="236"/>
      <c r="D829" s="237"/>
      <c r="E829" s="238"/>
      <c r="F829" s="234"/>
      <c r="G829"/>
      <c r="H829"/>
      <c r="I829"/>
      <c r="J829"/>
      <c r="K829"/>
      <c r="L829"/>
      <c r="M829"/>
      <c r="N829"/>
      <c r="O829"/>
      <c r="P829"/>
      <c r="Q829"/>
      <c r="R829"/>
      <c r="S829"/>
      <c r="T829"/>
      <c r="U829"/>
      <c r="V829"/>
      <c r="W829"/>
    </row>
    <row r="830" spans="2:23" outlineLevel="1">
      <c r="B830" s="230"/>
      <c r="C830" s="231"/>
      <c r="D830" s="232"/>
      <c r="E830" s="233"/>
      <c r="F830" s="234"/>
      <c r="G830"/>
      <c r="H830"/>
      <c r="I830"/>
      <c r="J830"/>
      <c r="K830"/>
      <c r="L830"/>
      <c r="M830"/>
      <c r="N830"/>
      <c r="O830"/>
      <c r="P830"/>
      <c r="Q830"/>
      <c r="R830"/>
      <c r="S830"/>
      <c r="T830"/>
      <c r="U830"/>
      <c r="V830"/>
      <c r="W830"/>
    </row>
    <row r="831" spans="2:23" outlineLevel="1">
      <c r="B831" s="235"/>
      <c r="C831" s="236"/>
      <c r="D831" s="237"/>
      <c r="E831" s="238"/>
      <c r="F831" s="234"/>
      <c r="G831"/>
      <c r="H831"/>
      <c r="I831"/>
      <c r="J831"/>
      <c r="K831"/>
      <c r="L831"/>
      <c r="M831"/>
      <c r="N831"/>
      <c r="O831"/>
      <c r="P831"/>
      <c r="Q831"/>
      <c r="R831"/>
      <c r="S831"/>
      <c r="T831"/>
      <c r="U831"/>
      <c r="V831"/>
      <c r="W831"/>
    </row>
    <row r="832" spans="2:23" outlineLevel="1">
      <c r="B832" s="230"/>
      <c r="C832" s="231"/>
      <c r="D832" s="232"/>
      <c r="E832" s="233"/>
      <c r="F832" s="234"/>
      <c r="G832"/>
      <c r="H832"/>
      <c r="I832"/>
      <c r="J832"/>
      <c r="K832"/>
      <c r="L832"/>
      <c r="M832"/>
      <c r="N832"/>
      <c r="O832"/>
      <c r="P832"/>
      <c r="Q832"/>
      <c r="R832"/>
      <c r="S832"/>
      <c r="T832"/>
      <c r="U832"/>
      <c r="V832"/>
      <c r="W832"/>
    </row>
    <row r="833" spans="2:23" outlineLevel="1">
      <c r="B833" s="235"/>
      <c r="C833" s="236"/>
      <c r="D833" s="237"/>
      <c r="E833" s="238"/>
      <c r="F833" s="234"/>
      <c r="G833"/>
      <c r="H833"/>
      <c r="I833"/>
      <c r="J833"/>
      <c r="K833"/>
      <c r="L833"/>
      <c r="M833"/>
      <c r="N833"/>
      <c r="O833"/>
      <c r="P833"/>
      <c r="Q833"/>
      <c r="R833"/>
      <c r="S833"/>
      <c r="T833"/>
      <c r="U833"/>
      <c r="V833"/>
      <c r="W833"/>
    </row>
    <row r="834" spans="2:23" outlineLevel="1">
      <c r="B834" s="230"/>
      <c r="C834" s="231"/>
      <c r="D834" s="232"/>
      <c r="E834" s="233"/>
      <c r="F834" s="234"/>
      <c r="G834"/>
      <c r="H834"/>
      <c r="I834"/>
      <c r="J834"/>
      <c r="K834"/>
      <c r="L834"/>
      <c r="M834"/>
      <c r="N834"/>
      <c r="O834"/>
      <c r="P834"/>
      <c r="Q834"/>
      <c r="R834"/>
      <c r="S834"/>
      <c r="T834"/>
      <c r="U834"/>
      <c r="V834"/>
      <c r="W834"/>
    </row>
    <row r="835" spans="2:23" outlineLevel="1">
      <c r="B835" s="235"/>
      <c r="C835" s="236"/>
      <c r="D835" s="237"/>
      <c r="E835" s="238"/>
      <c r="F835" s="234"/>
      <c r="G835"/>
      <c r="H835"/>
      <c r="I835"/>
      <c r="J835"/>
      <c r="K835"/>
      <c r="L835"/>
      <c r="M835"/>
      <c r="N835"/>
      <c r="O835"/>
      <c r="P835"/>
      <c r="Q835"/>
      <c r="R835"/>
      <c r="S835"/>
      <c r="T835"/>
      <c r="U835"/>
      <c r="V835"/>
      <c r="W835"/>
    </row>
    <row r="836" spans="2:23" outlineLevel="1">
      <c r="B836" s="230"/>
      <c r="C836" s="231"/>
      <c r="D836" s="232"/>
      <c r="E836" s="233"/>
      <c r="F836" s="234"/>
      <c r="G836"/>
      <c r="H836"/>
      <c r="I836"/>
      <c r="J836"/>
      <c r="K836"/>
      <c r="L836"/>
      <c r="M836"/>
      <c r="N836"/>
      <c r="O836"/>
      <c r="P836"/>
      <c r="Q836"/>
      <c r="R836"/>
      <c r="S836"/>
      <c r="T836"/>
      <c r="U836"/>
      <c r="V836"/>
      <c r="W836"/>
    </row>
    <row r="837" spans="2:23" outlineLevel="1">
      <c r="B837" s="235"/>
      <c r="C837" s="236"/>
      <c r="D837" s="237"/>
      <c r="E837" s="238"/>
      <c r="F837" s="234"/>
      <c r="G837"/>
      <c r="H837"/>
      <c r="I837"/>
      <c r="J837"/>
      <c r="K837"/>
      <c r="L837"/>
      <c r="M837"/>
      <c r="N837"/>
      <c r="O837"/>
      <c r="P837"/>
      <c r="Q837"/>
      <c r="R837"/>
      <c r="S837"/>
      <c r="T837"/>
      <c r="U837"/>
      <c r="V837"/>
      <c r="W837"/>
    </row>
    <row r="838" spans="2:23" outlineLevel="1">
      <c r="B838" s="230"/>
      <c r="C838" s="231"/>
      <c r="D838" s="232"/>
      <c r="E838" s="233"/>
      <c r="F838" s="234"/>
      <c r="G838"/>
      <c r="H838"/>
      <c r="I838"/>
      <c r="J838"/>
      <c r="K838"/>
      <c r="L838"/>
      <c r="M838"/>
      <c r="N838"/>
      <c r="O838"/>
      <c r="P838"/>
      <c r="Q838"/>
      <c r="R838"/>
      <c r="S838"/>
      <c r="T838"/>
      <c r="U838"/>
      <c r="V838"/>
      <c r="W838"/>
    </row>
    <row r="839" spans="2:23" outlineLevel="1">
      <c r="B839" s="235"/>
      <c r="C839" s="236"/>
      <c r="D839" s="237"/>
      <c r="E839" s="238"/>
      <c r="F839" s="234"/>
      <c r="G839"/>
      <c r="H839"/>
      <c r="I839"/>
      <c r="J839"/>
      <c r="K839"/>
      <c r="L839"/>
      <c r="M839"/>
      <c r="N839"/>
      <c r="O839"/>
      <c r="P839"/>
      <c r="Q839"/>
      <c r="R839"/>
      <c r="S839"/>
      <c r="T839"/>
      <c r="U839"/>
      <c r="V839"/>
      <c r="W839"/>
    </row>
    <row r="840" spans="2:23" outlineLevel="1">
      <c r="B840" s="230"/>
      <c r="C840" s="231"/>
      <c r="D840" s="232"/>
      <c r="E840" s="233"/>
      <c r="F840" s="234"/>
      <c r="G840"/>
      <c r="H840"/>
      <c r="I840"/>
      <c r="J840"/>
      <c r="K840"/>
      <c r="L840"/>
      <c r="M840"/>
      <c r="N840"/>
      <c r="O840"/>
      <c r="P840"/>
      <c r="Q840"/>
      <c r="R840"/>
      <c r="S840"/>
      <c r="T840"/>
      <c r="U840"/>
      <c r="V840"/>
      <c r="W840"/>
    </row>
    <row r="841" spans="2:23" outlineLevel="1">
      <c r="B841" s="235"/>
      <c r="C841" s="236"/>
      <c r="D841" s="237"/>
      <c r="E841" s="238"/>
      <c r="F841" s="234"/>
      <c r="G841"/>
      <c r="H841"/>
      <c r="I841"/>
      <c r="J841"/>
      <c r="K841"/>
      <c r="L841"/>
      <c r="M841"/>
      <c r="N841"/>
      <c r="O841"/>
      <c r="P841"/>
      <c r="Q841"/>
      <c r="R841"/>
      <c r="S841"/>
      <c r="T841"/>
      <c r="U841"/>
      <c r="V841"/>
      <c r="W841"/>
    </row>
    <row r="842" spans="2:23" outlineLevel="1">
      <c r="B842" s="230"/>
      <c r="C842" s="231"/>
      <c r="D842" s="232"/>
      <c r="E842" s="233"/>
      <c r="F842" s="234"/>
      <c r="G842"/>
      <c r="H842"/>
      <c r="I842"/>
      <c r="J842"/>
      <c r="K842"/>
      <c r="L842"/>
      <c r="M842"/>
      <c r="N842"/>
      <c r="O842"/>
      <c r="P842"/>
      <c r="Q842"/>
      <c r="R842"/>
      <c r="S842"/>
      <c r="T842"/>
      <c r="U842"/>
      <c r="V842"/>
      <c r="W842"/>
    </row>
    <row r="843" spans="2:23" outlineLevel="1">
      <c r="B843" s="235"/>
      <c r="C843" s="236"/>
      <c r="D843" s="237"/>
      <c r="E843" s="238"/>
      <c r="F843" s="234"/>
      <c r="G843"/>
      <c r="H843"/>
      <c r="I843"/>
      <c r="J843"/>
      <c r="K843"/>
      <c r="L843"/>
      <c r="M843"/>
      <c r="N843"/>
      <c r="O843"/>
      <c r="P843"/>
      <c r="Q843"/>
      <c r="R843"/>
      <c r="S843"/>
      <c r="T843"/>
      <c r="U843"/>
      <c r="V843"/>
      <c r="W843"/>
    </row>
    <row r="844" spans="2:23" outlineLevel="1">
      <c r="B844" s="230"/>
      <c r="C844" s="231"/>
      <c r="D844" s="232"/>
      <c r="E844" s="233"/>
      <c r="F844" s="234"/>
      <c r="G844"/>
      <c r="H844"/>
      <c r="I844"/>
      <c r="J844"/>
      <c r="K844"/>
      <c r="L844"/>
      <c r="M844"/>
      <c r="N844"/>
      <c r="O844"/>
      <c r="P844"/>
      <c r="Q844"/>
      <c r="R844"/>
      <c r="S844"/>
      <c r="T844"/>
      <c r="U844"/>
      <c r="V844"/>
      <c r="W844"/>
    </row>
    <row r="845" spans="2:23" outlineLevel="1">
      <c r="B845" s="235"/>
      <c r="C845" s="236"/>
      <c r="D845" s="237"/>
      <c r="E845" s="238"/>
      <c r="F845" s="234"/>
      <c r="G845"/>
      <c r="H845"/>
      <c r="I845"/>
      <c r="J845"/>
      <c r="K845"/>
      <c r="L845"/>
      <c r="M845"/>
      <c r="N845"/>
      <c r="O845"/>
      <c r="P845"/>
      <c r="Q845"/>
      <c r="R845"/>
      <c r="S845"/>
      <c r="T845"/>
      <c r="U845"/>
      <c r="V845"/>
      <c r="W845"/>
    </row>
    <row r="846" spans="2:23" outlineLevel="1">
      <c r="B846" s="230"/>
      <c r="C846" s="231"/>
      <c r="D846" s="232"/>
      <c r="E846" s="233"/>
      <c r="F846" s="234"/>
      <c r="G846"/>
      <c r="H846"/>
      <c r="I846"/>
      <c r="J846"/>
      <c r="K846"/>
      <c r="L846"/>
      <c r="M846"/>
      <c r="N846"/>
      <c r="O846"/>
      <c r="P846"/>
      <c r="Q846"/>
      <c r="R846"/>
      <c r="S846"/>
      <c r="T846"/>
      <c r="U846"/>
      <c r="V846"/>
      <c r="W846"/>
    </row>
    <row r="847" spans="2:23" outlineLevel="1">
      <c r="B847" s="235"/>
      <c r="C847" s="236"/>
      <c r="D847" s="237"/>
      <c r="E847" s="238"/>
      <c r="F847" s="234"/>
      <c r="G847"/>
      <c r="H847"/>
      <c r="I847"/>
      <c r="J847"/>
      <c r="K847"/>
      <c r="L847"/>
      <c r="M847"/>
      <c r="N847"/>
      <c r="O847"/>
      <c r="P847"/>
      <c r="Q847"/>
      <c r="R847"/>
      <c r="S847"/>
      <c r="T847"/>
      <c r="U847"/>
      <c r="V847"/>
      <c r="W847"/>
    </row>
    <row r="848" spans="2:23" outlineLevel="1">
      <c r="B848" s="230"/>
      <c r="C848" s="231"/>
      <c r="D848" s="232"/>
      <c r="E848" s="233"/>
      <c r="F848" s="234"/>
      <c r="G848"/>
      <c r="H848"/>
      <c r="I848"/>
      <c r="J848"/>
      <c r="K848"/>
      <c r="L848"/>
      <c r="M848"/>
      <c r="N848"/>
      <c r="O848"/>
      <c r="P848"/>
      <c r="Q848"/>
      <c r="R848"/>
      <c r="S848"/>
      <c r="T848"/>
      <c r="U848"/>
      <c r="V848"/>
      <c r="W848"/>
    </row>
    <row r="849" spans="2:23" outlineLevel="1">
      <c r="B849" s="235"/>
      <c r="C849" s="236"/>
      <c r="D849" s="237"/>
      <c r="E849" s="238"/>
      <c r="F849" s="234"/>
      <c r="G849"/>
      <c r="H849"/>
      <c r="I849"/>
      <c r="J849"/>
      <c r="K849"/>
      <c r="L849"/>
      <c r="M849"/>
      <c r="N849"/>
      <c r="O849"/>
      <c r="P849"/>
      <c r="Q849"/>
      <c r="R849"/>
      <c r="S849"/>
      <c r="T849"/>
      <c r="U849"/>
      <c r="V849"/>
      <c r="W849"/>
    </row>
    <row r="850" spans="2:23" outlineLevel="1">
      <c r="B850" s="230"/>
      <c r="C850" s="231"/>
      <c r="D850" s="232"/>
      <c r="E850" s="233"/>
      <c r="F850" s="234"/>
      <c r="G850"/>
      <c r="H850"/>
      <c r="I850"/>
      <c r="J850"/>
      <c r="K850"/>
      <c r="L850"/>
      <c r="M850"/>
      <c r="N850"/>
      <c r="O850"/>
      <c r="P850"/>
      <c r="Q850"/>
      <c r="R850"/>
      <c r="S850"/>
      <c r="T850"/>
      <c r="U850"/>
      <c r="V850"/>
      <c r="W850"/>
    </row>
    <row r="851" spans="2:23" outlineLevel="1">
      <c r="B851" s="235"/>
      <c r="C851" s="236"/>
      <c r="D851" s="237"/>
      <c r="E851" s="238"/>
      <c r="F851" s="234"/>
      <c r="G851"/>
      <c r="H851"/>
      <c r="I851"/>
      <c r="J851"/>
      <c r="K851"/>
      <c r="L851"/>
      <c r="M851"/>
      <c r="N851"/>
      <c r="O851"/>
      <c r="P851"/>
      <c r="Q851"/>
      <c r="R851"/>
      <c r="S851"/>
      <c r="T851"/>
      <c r="U851"/>
      <c r="V851"/>
      <c r="W851"/>
    </row>
    <row r="852" spans="2:23" outlineLevel="1">
      <c r="B852" s="230"/>
      <c r="C852" s="231"/>
      <c r="D852" s="232"/>
      <c r="E852" s="233"/>
      <c r="F852" s="234"/>
      <c r="G852"/>
      <c r="H852"/>
      <c r="I852"/>
      <c r="J852"/>
      <c r="K852"/>
      <c r="L852"/>
      <c r="M852"/>
      <c r="N852"/>
      <c r="O852"/>
      <c r="P852"/>
      <c r="Q852"/>
      <c r="R852"/>
      <c r="S852"/>
      <c r="T852"/>
      <c r="U852"/>
      <c r="V852"/>
      <c r="W852"/>
    </row>
    <row r="853" spans="2:23" outlineLevel="1">
      <c r="B853" s="235"/>
      <c r="C853" s="236"/>
      <c r="D853" s="237"/>
      <c r="E853" s="238"/>
      <c r="F853" s="234"/>
      <c r="G853"/>
      <c r="H853"/>
      <c r="I853"/>
      <c r="J853"/>
      <c r="K853"/>
      <c r="L853"/>
      <c r="M853"/>
      <c r="N853"/>
      <c r="O853"/>
      <c r="P853"/>
      <c r="Q853"/>
      <c r="R853"/>
      <c r="S853"/>
      <c r="T853"/>
      <c r="U853"/>
      <c r="V853"/>
      <c r="W853"/>
    </row>
    <row r="854" spans="2:23" outlineLevel="1">
      <c r="B854" s="230"/>
      <c r="C854" s="231"/>
      <c r="D854" s="232"/>
      <c r="E854" s="233"/>
      <c r="F854" s="234"/>
      <c r="G854"/>
      <c r="H854"/>
      <c r="I854"/>
      <c r="J854"/>
      <c r="K854"/>
      <c r="L854"/>
      <c r="M854"/>
      <c r="N854"/>
      <c r="O854"/>
      <c r="P854"/>
      <c r="Q854"/>
      <c r="R854"/>
      <c r="S854"/>
      <c r="T854"/>
      <c r="U854"/>
      <c r="V854"/>
      <c r="W854"/>
    </row>
    <row r="855" spans="2:23" outlineLevel="1">
      <c r="B855" s="235"/>
      <c r="C855" s="236"/>
      <c r="D855" s="237"/>
      <c r="E855" s="238"/>
      <c r="F855" s="234"/>
      <c r="G855"/>
      <c r="H855"/>
      <c r="I855"/>
      <c r="J855"/>
      <c r="K855"/>
      <c r="L855"/>
      <c r="M855"/>
      <c r="N855"/>
      <c r="O855"/>
      <c r="P855"/>
      <c r="Q855"/>
      <c r="R855"/>
      <c r="S855"/>
      <c r="T855"/>
      <c r="U855"/>
      <c r="V855"/>
      <c r="W855"/>
    </row>
    <row r="856" spans="2:23" outlineLevel="1">
      <c r="B856" s="230"/>
      <c r="C856" s="231"/>
      <c r="D856" s="232"/>
      <c r="E856" s="233"/>
      <c r="F856" s="234"/>
      <c r="G856"/>
      <c r="H856"/>
      <c r="I856"/>
      <c r="J856"/>
      <c r="K856"/>
      <c r="L856"/>
      <c r="M856"/>
      <c r="N856"/>
      <c r="O856"/>
      <c r="P856"/>
      <c r="Q856"/>
      <c r="R856"/>
      <c r="S856"/>
      <c r="T856"/>
      <c r="U856"/>
      <c r="V856"/>
      <c r="W856"/>
    </row>
    <row r="857" spans="2:23" outlineLevel="1">
      <c r="B857" s="235"/>
      <c r="C857" s="236"/>
      <c r="D857" s="237"/>
      <c r="E857" s="238"/>
      <c r="F857" s="234"/>
      <c r="G857"/>
      <c r="H857"/>
      <c r="I857"/>
      <c r="J857"/>
      <c r="K857"/>
      <c r="L857"/>
      <c r="M857"/>
      <c r="N857"/>
      <c r="O857"/>
      <c r="P857"/>
      <c r="Q857"/>
      <c r="R857"/>
      <c r="S857"/>
      <c r="T857"/>
      <c r="U857"/>
      <c r="V857"/>
      <c r="W857"/>
    </row>
    <row r="858" spans="2:23" outlineLevel="1">
      <c r="B858" s="230"/>
      <c r="C858" s="231"/>
      <c r="D858" s="232"/>
      <c r="E858" s="233"/>
      <c r="F858" s="234"/>
      <c r="G858"/>
      <c r="H858"/>
      <c r="I858"/>
      <c r="J858"/>
      <c r="K858"/>
      <c r="L858"/>
      <c r="M858"/>
      <c r="N858"/>
      <c r="O858"/>
      <c r="P858"/>
      <c r="Q858"/>
      <c r="R858"/>
      <c r="S858"/>
      <c r="T858"/>
      <c r="U858"/>
      <c r="V858"/>
      <c r="W858"/>
    </row>
    <row r="859" spans="2:23" outlineLevel="1">
      <c r="B859" s="235"/>
      <c r="C859" s="236"/>
      <c r="D859" s="237"/>
      <c r="E859" s="238"/>
      <c r="F859" s="234"/>
      <c r="G859"/>
      <c r="H859"/>
      <c r="I859"/>
      <c r="J859"/>
      <c r="K859"/>
      <c r="L859"/>
      <c r="M859"/>
      <c r="N859"/>
      <c r="O859"/>
      <c r="P859"/>
      <c r="Q859"/>
      <c r="R859"/>
      <c r="S859"/>
      <c r="T859"/>
      <c r="U859"/>
      <c r="V859"/>
      <c r="W859"/>
    </row>
    <row r="860" spans="2:23" outlineLevel="1">
      <c r="B860" s="230"/>
      <c r="C860" s="231"/>
      <c r="D860" s="232"/>
      <c r="E860" s="233"/>
      <c r="F860" s="234"/>
      <c r="G860"/>
      <c r="H860"/>
      <c r="I860"/>
      <c r="J860"/>
      <c r="K860"/>
      <c r="L860"/>
      <c r="M860"/>
      <c r="N860"/>
      <c r="O860"/>
      <c r="P860"/>
      <c r="Q860"/>
      <c r="R860"/>
      <c r="S860"/>
      <c r="T860"/>
      <c r="U860"/>
      <c r="V860"/>
      <c r="W860"/>
    </row>
    <row r="861" spans="2:23" outlineLevel="1">
      <c r="B861" s="235"/>
      <c r="C861" s="236"/>
      <c r="D861" s="237"/>
      <c r="E861" s="238"/>
      <c r="F861" s="234"/>
      <c r="G861"/>
      <c r="H861"/>
      <c r="I861"/>
      <c r="J861"/>
      <c r="K861"/>
      <c r="L861"/>
      <c r="M861"/>
      <c r="N861"/>
      <c r="O861"/>
      <c r="P861"/>
      <c r="Q861"/>
      <c r="R861"/>
      <c r="S861"/>
      <c r="T861"/>
      <c r="U861"/>
      <c r="V861"/>
      <c r="W861"/>
    </row>
    <row r="862" spans="2:23" outlineLevel="1">
      <c r="B862" s="230"/>
      <c r="C862" s="231"/>
      <c r="D862" s="232"/>
      <c r="E862" s="233"/>
      <c r="F862" s="234"/>
      <c r="G862"/>
      <c r="H862"/>
      <c r="I862"/>
      <c r="J862"/>
      <c r="K862"/>
      <c r="L862"/>
      <c r="M862"/>
      <c r="N862"/>
      <c r="O862"/>
      <c r="P862"/>
      <c r="Q862"/>
      <c r="R862"/>
      <c r="S862"/>
      <c r="T862"/>
      <c r="U862"/>
      <c r="V862"/>
      <c r="W862"/>
    </row>
    <row r="863" spans="2:23" outlineLevel="1">
      <c r="B863" s="235"/>
      <c r="C863" s="236"/>
      <c r="D863" s="237"/>
      <c r="E863" s="238"/>
      <c r="F863" s="234"/>
      <c r="G863"/>
      <c r="H863"/>
      <c r="I863"/>
      <c r="J863"/>
      <c r="K863"/>
      <c r="L863"/>
      <c r="M863"/>
      <c r="N863"/>
      <c r="O863"/>
      <c r="P863"/>
      <c r="Q863"/>
      <c r="R863"/>
      <c r="S863"/>
      <c r="T863"/>
      <c r="U863"/>
      <c r="V863"/>
      <c r="W863"/>
    </row>
    <row r="864" spans="2:23" outlineLevel="1">
      <c r="B864" s="230"/>
      <c r="C864" s="231"/>
      <c r="D864" s="232"/>
      <c r="E864" s="233"/>
      <c r="F864" s="234"/>
      <c r="G864"/>
      <c r="H864"/>
      <c r="I864"/>
      <c r="J864"/>
      <c r="K864"/>
      <c r="L864"/>
      <c r="M864"/>
      <c r="N864"/>
      <c r="O864"/>
      <c r="P864"/>
      <c r="Q864"/>
      <c r="R864"/>
      <c r="S864"/>
      <c r="T864"/>
      <c r="U864"/>
      <c r="V864"/>
      <c r="W864"/>
    </row>
    <row r="865" spans="2:23" outlineLevel="1">
      <c r="B865" s="235"/>
      <c r="C865" s="236"/>
      <c r="D865" s="237"/>
      <c r="E865" s="238"/>
      <c r="F865" s="234"/>
      <c r="G865"/>
      <c r="H865"/>
      <c r="I865"/>
      <c r="J865"/>
      <c r="K865"/>
      <c r="L865"/>
      <c r="M865"/>
      <c r="N865"/>
      <c r="O865"/>
      <c r="P865"/>
      <c r="Q865"/>
      <c r="R865"/>
      <c r="S865"/>
      <c r="T865"/>
      <c r="U865"/>
      <c r="V865"/>
      <c r="W865"/>
    </row>
    <row r="866" spans="2:23" outlineLevel="1">
      <c r="B866" s="230"/>
      <c r="C866" s="231"/>
      <c r="D866" s="232"/>
      <c r="E866" s="233"/>
      <c r="F866" s="234"/>
      <c r="G866"/>
      <c r="H866"/>
      <c r="I866"/>
      <c r="J866"/>
      <c r="K866"/>
      <c r="L866"/>
      <c r="M866"/>
      <c r="N866"/>
      <c r="O866"/>
      <c r="P866"/>
      <c r="Q866"/>
      <c r="R866"/>
      <c r="S866"/>
      <c r="T866"/>
      <c r="U866"/>
      <c r="V866"/>
      <c r="W866"/>
    </row>
    <row r="867" spans="2:23" outlineLevel="1">
      <c r="B867" s="235"/>
      <c r="C867" s="236"/>
      <c r="D867" s="237"/>
      <c r="E867" s="238"/>
      <c r="F867" s="234"/>
      <c r="G867"/>
      <c r="H867"/>
      <c r="I867"/>
      <c r="J867"/>
      <c r="K867"/>
      <c r="L867"/>
      <c r="M867"/>
      <c r="N867"/>
      <c r="O867"/>
      <c r="P867"/>
      <c r="Q867"/>
      <c r="R867"/>
      <c r="S867"/>
      <c r="T867"/>
      <c r="U867"/>
      <c r="V867"/>
      <c r="W867"/>
    </row>
    <row r="868" spans="2:23" outlineLevel="1">
      <c r="B868" s="230"/>
      <c r="C868" s="231"/>
      <c r="D868" s="232"/>
      <c r="E868" s="233"/>
      <c r="F868" s="234"/>
      <c r="G868"/>
      <c r="H868"/>
      <c r="I868"/>
      <c r="J868"/>
      <c r="K868"/>
      <c r="L868"/>
      <c r="M868"/>
      <c r="N868"/>
      <c r="O868"/>
      <c r="P868"/>
      <c r="Q868"/>
      <c r="R868"/>
      <c r="S868"/>
      <c r="T868"/>
      <c r="U868"/>
      <c r="V868"/>
      <c r="W868"/>
    </row>
    <row r="869" spans="2:23" outlineLevel="1">
      <c r="B869" s="235"/>
      <c r="C869" s="236"/>
      <c r="D869" s="237"/>
      <c r="E869" s="238"/>
      <c r="F869" s="234"/>
      <c r="G869"/>
      <c r="H869"/>
      <c r="I869"/>
      <c r="J869"/>
      <c r="K869"/>
      <c r="L869"/>
      <c r="M869"/>
      <c r="N869"/>
      <c r="O869"/>
      <c r="P869"/>
      <c r="Q869"/>
      <c r="R869"/>
      <c r="S869"/>
      <c r="T869"/>
      <c r="U869"/>
      <c r="V869"/>
      <c r="W869"/>
    </row>
    <row r="870" spans="2:23" outlineLevel="1">
      <c r="B870" s="230"/>
      <c r="C870" s="231"/>
      <c r="D870" s="232"/>
      <c r="E870" s="233"/>
      <c r="F870" s="234"/>
      <c r="G870"/>
      <c r="H870"/>
      <c r="I870"/>
      <c r="J870"/>
      <c r="K870"/>
      <c r="L870"/>
      <c r="M870"/>
      <c r="N870"/>
      <c r="O870"/>
      <c r="P870"/>
      <c r="Q870"/>
      <c r="R870"/>
      <c r="S870"/>
      <c r="T870"/>
      <c r="U870"/>
      <c r="V870"/>
      <c r="W870"/>
    </row>
    <row r="871" spans="2:23" outlineLevel="1">
      <c r="B871" s="235"/>
      <c r="C871" s="236"/>
      <c r="D871" s="237"/>
      <c r="E871" s="238"/>
      <c r="F871" s="234"/>
      <c r="G871"/>
      <c r="H871"/>
      <c r="I871"/>
      <c r="J871"/>
      <c r="K871"/>
      <c r="L871"/>
      <c r="M871"/>
      <c r="N871"/>
      <c r="O871"/>
      <c r="P871"/>
      <c r="Q871"/>
      <c r="R871"/>
      <c r="S871"/>
      <c r="T871"/>
      <c r="U871"/>
      <c r="V871"/>
      <c r="W871"/>
    </row>
    <row r="872" spans="2:23" outlineLevel="1">
      <c r="B872" s="230"/>
      <c r="C872" s="231"/>
      <c r="D872" s="232"/>
      <c r="E872" s="233"/>
      <c r="F872" s="234"/>
      <c r="G872"/>
      <c r="H872"/>
      <c r="I872"/>
      <c r="J872"/>
      <c r="K872"/>
      <c r="L872"/>
      <c r="M872"/>
      <c r="N872"/>
      <c r="O872"/>
      <c r="P872"/>
      <c r="Q872"/>
      <c r="R872"/>
      <c r="S872"/>
      <c r="T872"/>
      <c r="U872"/>
      <c r="V872"/>
      <c r="W872"/>
    </row>
    <row r="873" spans="2:23" outlineLevel="1">
      <c r="B873" s="235"/>
      <c r="C873" s="236"/>
      <c r="D873" s="237"/>
      <c r="E873" s="238"/>
      <c r="F873" s="234"/>
      <c r="G873"/>
      <c r="H873"/>
      <c r="I873"/>
      <c r="J873"/>
      <c r="K873"/>
      <c r="L873"/>
      <c r="M873"/>
      <c r="N873"/>
      <c r="O873"/>
      <c r="P873"/>
      <c r="Q873"/>
      <c r="R873"/>
      <c r="S873"/>
      <c r="T873"/>
      <c r="U873"/>
      <c r="V873"/>
      <c r="W873"/>
    </row>
    <row r="874" spans="2:23" outlineLevel="1">
      <c r="B874" s="230"/>
      <c r="C874" s="231"/>
      <c r="D874" s="232"/>
      <c r="E874" s="233"/>
      <c r="F874" s="234"/>
      <c r="G874"/>
      <c r="H874"/>
      <c r="I874"/>
      <c r="J874"/>
      <c r="K874"/>
      <c r="L874"/>
      <c r="M874"/>
      <c r="N874"/>
      <c r="O874"/>
      <c r="P874"/>
      <c r="Q874"/>
      <c r="R874"/>
      <c r="S874"/>
      <c r="T874"/>
      <c r="U874"/>
      <c r="V874"/>
      <c r="W874"/>
    </row>
    <row r="875" spans="2:23" outlineLevel="1">
      <c r="B875" s="235"/>
      <c r="C875" s="236"/>
      <c r="D875" s="237"/>
      <c r="E875" s="238"/>
      <c r="F875" s="234"/>
      <c r="G875"/>
      <c r="H875"/>
      <c r="I875"/>
      <c r="J875"/>
      <c r="K875"/>
      <c r="L875"/>
      <c r="M875"/>
      <c r="N875"/>
      <c r="O875"/>
      <c r="P875"/>
      <c r="Q875"/>
      <c r="R875"/>
      <c r="S875"/>
      <c r="T875"/>
      <c r="U875"/>
      <c r="V875"/>
      <c r="W875"/>
    </row>
    <row r="876" spans="2:23" outlineLevel="1">
      <c r="B876" s="230"/>
      <c r="C876" s="231"/>
      <c r="D876" s="232"/>
      <c r="E876" s="233"/>
      <c r="F876" s="234"/>
      <c r="G876"/>
      <c r="H876"/>
      <c r="I876"/>
      <c r="J876"/>
      <c r="K876"/>
      <c r="L876"/>
      <c r="M876"/>
      <c r="N876"/>
      <c r="O876"/>
      <c r="P876"/>
      <c r="Q876"/>
      <c r="R876"/>
      <c r="S876"/>
      <c r="T876"/>
      <c r="U876"/>
      <c r="V876"/>
      <c r="W876"/>
    </row>
    <row r="877" spans="2:23" outlineLevel="1">
      <c r="B877" s="235"/>
      <c r="C877" s="236"/>
      <c r="D877" s="237"/>
      <c r="E877" s="238"/>
      <c r="F877" s="234"/>
      <c r="G877"/>
      <c r="H877"/>
      <c r="I877"/>
      <c r="J877"/>
      <c r="K877"/>
      <c r="L877"/>
      <c r="M877"/>
      <c r="N877"/>
      <c r="O877"/>
      <c r="P877"/>
      <c r="Q877"/>
      <c r="R877"/>
      <c r="S877"/>
      <c r="T877"/>
      <c r="U877"/>
      <c r="V877"/>
      <c r="W877"/>
    </row>
    <row r="878" spans="2:23" outlineLevel="1">
      <c r="B878" s="230"/>
      <c r="C878" s="231"/>
      <c r="D878" s="232"/>
      <c r="E878" s="233"/>
      <c r="F878" s="234"/>
      <c r="G878"/>
      <c r="H878"/>
      <c r="I878"/>
      <c r="J878"/>
      <c r="K878"/>
      <c r="L878"/>
      <c r="M878"/>
      <c r="N878"/>
      <c r="O878"/>
      <c r="P878"/>
      <c r="Q878"/>
      <c r="R878"/>
      <c r="S878"/>
      <c r="T878"/>
      <c r="U878"/>
      <c r="V878"/>
      <c r="W878"/>
    </row>
    <row r="879" spans="2:23" outlineLevel="1">
      <c r="B879" s="235"/>
      <c r="C879" s="236"/>
      <c r="D879" s="237"/>
      <c r="E879" s="238"/>
      <c r="F879" s="234"/>
      <c r="G879"/>
      <c r="H879"/>
      <c r="I879"/>
      <c r="J879"/>
      <c r="K879"/>
      <c r="L879"/>
      <c r="M879"/>
      <c r="N879"/>
      <c r="O879"/>
      <c r="P879"/>
      <c r="Q879"/>
      <c r="R879"/>
      <c r="S879"/>
      <c r="T879"/>
      <c r="U879"/>
      <c r="V879"/>
      <c r="W879"/>
    </row>
    <row r="880" spans="2:23" outlineLevel="1">
      <c r="B880" s="230"/>
      <c r="C880" s="231"/>
      <c r="D880" s="232"/>
      <c r="E880" s="233"/>
      <c r="F880" s="234"/>
      <c r="G880"/>
      <c r="H880"/>
      <c r="I880"/>
      <c r="J880"/>
      <c r="K880"/>
      <c r="L880"/>
      <c r="M880"/>
      <c r="N880"/>
      <c r="O880"/>
      <c r="P880"/>
      <c r="Q880"/>
      <c r="R880"/>
      <c r="S880"/>
      <c r="T880"/>
      <c r="U880"/>
      <c r="V880"/>
      <c r="W880"/>
    </row>
    <row r="881" spans="2:23" outlineLevel="1">
      <c r="B881" s="235"/>
      <c r="C881" s="236"/>
      <c r="D881" s="237"/>
      <c r="E881" s="238"/>
      <c r="F881" s="234"/>
      <c r="G881"/>
      <c r="H881"/>
      <c r="I881"/>
      <c r="J881"/>
      <c r="K881"/>
      <c r="L881"/>
      <c r="M881"/>
      <c r="N881"/>
      <c r="O881"/>
      <c r="P881"/>
      <c r="Q881"/>
      <c r="R881"/>
      <c r="S881"/>
      <c r="T881"/>
      <c r="U881"/>
      <c r="V881"/>
      <c r="W881"/>
    </row>
    <row r="882" spans="2:23" outlineLevel="1">
      <c r="B882" s="230"/>
      <c r="C882" s="231"/>
      <c r="D882" s="232"/>
      <c r="E882" s="233"/>
      <c r="F882" s="234"/>
      <c r="G882"/>
      <c r="H882"/>
      <c r="I882"/>
      <c r="J882"/>
      <c r="K882"/>
      <c r="L882"/>
      <c r="M882"/>
      <c r="N882"/>
      <c r="O882"/>
      <c r="P882"/>
      <c r="Q882"/>
      <c r="R882"/>
      <c r="S882"/>
      <c r="T882"/>
      <c r="U882"/>
      <c r="V882"/>
      <c r="W882"/>
    </row>
    <row r="883" spans="2:23" outlineLevel="1">
      <c r="B883" s="235"/>
      <c r="C883" s="236"/>
      <c r="D883" s="237"/>
      <c r="E883" s="238"/>
      <c r="F883" s="234"/>
      <c r="G883"/>
      <c r="H883"/>
      <c r="I883"/>
      <c r="J883"/>
      <c r="K883"/>
      <c r="L883"/>
      <c r="M883"/>
      <c r="N883"/>
      <c r="O883"/>
      <c r="P883"/>
      <c r="Q883"/>
      <c r="R883"/>
      <c r="S883"/>
      <c r="T883"/>
      <c r="U883"/>
      <c r="V883"/>
      <c r="W883"/>
    </row>
    <row r="884" spans="2:23" outlineLevel="1">
      <c r="B884" s="230"/>
      <c r="C884" s="231"/>
      <c r="D884" s="232"/>
      <c r="E884" s="233"/>
      <c r="F884" s="234"/>
      <c r="G884"/>
      <c r="H884"/>
      <c r="I884"/>
      <c r="J884"/>
      <c r="K884"/>
      <c r="L884"/>
      <c r="M884"/>
      <c r="N884"/>
      <c r="O884"/>
      <c r="P884"/>
      <c r="Q884"/>
      <c r="R884"/>
      <c r="S884"/>
      <c r="T884"/>
      <c r="U884"/>
      <c r="V884"/>
      <c r="W884"/>
    </row>
    <row r="885" spans="2:23" outlineLevel="1">
      <c r="B885" s="235"/>
      <c r="C885" s="236"/>
      <c r="D885" s="237"/>
      <c r="E885" s="238"/>
      <c r="F885" s="234"/>
      <c r="G885"/>
      <c r="H885"/>
      <c r="I885"/>
      <c r="J885"/>
      <c r="K885"/>
      <c r="L885"/>
      <c r="M885"/>
      <c r="N885"/>
      <c r="O885"/>
      <c r="P885"/>
      <c r="Q885"/>
      <c r="R885"/>
      <c r="S885"/>
      <c r="T885"/>
      <c r="U885"/>
      <c r="V885"/>
      <c r="W885"/>
    </row>
    <row r="886" spans="2:23" outlineLevel="1">
      <c r="B886" s="230"/>
      <c r="C886" s="231"/>
      <c r="D886" s="232"/>
      <c r="E886" s="233"/>
      <c r="F886" s="234"/>
      <c r="G886"/>
      <c r="H886"/>
      <c r="I886"/>
      <c r="J886"/>
      <c r="K886"/>
      <c r="L886"/>
      <c r="M886"/>
      <c r="N886"/>
      <c r="O886"/>
      <c r="P886"/>
      <c r="Q886"/>
      <c r="R886"/>
      <c r="S886"/>
      <c r="T886"/>
      <c r="U886"/>
      <c r="V886"/>
      <c r="W886"/>
    </row>
    <row r="887" spans="2:23" outlineLevel="1">
      <c r="B887" s="235"/>
      <c r="C887" s="236"/>
      <c r="D887" s="237"/>
      <c r="E887" s="238"/>
      <c r="F887" s="234"/>
      <c r="G887"/>
      <c r="H887"/>
      <c r="I887"/>
      <c r="J887"/>
      <c r="K887"/>
      <c r="L887"/>
      <c r="M887"/>
      <c r="N887"/>
      <c r="O887"/>
      <c r="P887"/>
      <c r="Q887"/>
      <c r="R887"/>
      <c r="S887"/>
      <c r="T887"/>
      <c r="U887"/>
      <c r="V887"/>
      <c r="W887"/>
    </row>
    <row r="888" spans="2:23" outlineLevel="1">
      <c r="B888" s="230"/>
      <c r="C888" s="231"/>
      <c r="D888" s="232"/>
      <c r="E888" s="233"/>
      <c r="F888" s="234"/>
      <c r="G888"/>
      <c r="H888"/>
      <c r="I888"/>
      <c r="J888"/>
      <c r="K888"/>
      <c r="L888"/>
      <c r="M888"/>
      <c r="N888"/>
      <c r="O888"/>
      <c r="P888"/>
      <c r="Q888"/>
      <c r="R888"/>
      <c r="S888"/>
      <c r="T888"/>
      <c r="U888"/>
      <c r="V888"/>
      <c r="W888"/>
    </row>
    <row r="889" spans="2:23" outlineLevel="1">
      <c r="B889" s="235"/>
      <c r="C889" s="236"/>
      <c r="D889" s="237"/>
      <c r="E889" s="238"/>
      <c r="F889" s="234"/>
      <c r="G889"/>
      <c r="H889"/>
      <c r="I889"/>
      <c r="J889"/>
      <c r="K889"/>
      <c r="L889"/>
      <c r="M889"/>
      <c r="N889"/>
      <c r="O889"/>
      <c r="P889"/>
      <c r="Q889"/>
      <c r="R889"/>
      <c r="S889"/>
      <c r="T889"/>
      <c r="U889"/>
      <c r="V889"/>
      <c r="W889"/>
    </row>
    <row r="890" spans="2:23" outlineLevel="1">
      <c r="B890" s="230"/>
      <c r="C890" s="231"/>
      <c r="D890" s="232"/>
      <c r="E890" s="233"/>
      <c r="F890" s="234"/>
      <c r="G890"/>
      <c r="H890"/>
      <c r="I890"/>
      <c r="J890"/>
      <c r="K890"/>
      <c r="L890"/>
      <c r="M890"/>
      <c r="N890"/>
      <c r="O890"/>
      <c r="P890"/>
      <c r="Q890"/>
      <c r="R890"/>
      <c r="S890"/>
      <c r="T890"/>
      <c r="U890"/>
      <c r="V890"/>
      <c r="W890"/>
    </row>
    <row r="891" spans="2:23" outlineLevel="1">
      <c r="B891" s="235"/>
      <c r="C891" s="236"/>
      <c r="D891" s="237"/>
      <c r="E891" s="238"/>
      <c r="F891" s="234"/>
      <c r="G891"/>
      <c r="H891"/>
      <c r="I891"/>
      <c r="J891"/>
      <c r="K891"/>
      <c r="L891"/>
      <c r="M891"/>
      <c r="N891"/>
      <c r="O891"/>
      <c r="P891"/>
      <c r="Q891"/>
      <c r="R891"/>
      <c r="S891"/>
      <c r="T891"/>
      <c r="U891"/>
      <c r="V891"/>
      <c r="W891"/>
    </row>
    <row r="892" spans="2:23" outlineLevel="1">
      <c r="B892" s="230"/>
      <c r="C892" s="231"/>
      <c r="D892" s="232"/>
      <c r="E892" s="233"/>
      <c r="F892" s="234"/>
      <c r="G892"/>
      <c r="H892"/>
      <c r="I892"/>
      <c r="J892"/>
      <c r="K892"/>
      <c r="L892"/>
      <c r="M892"/>
      <c r="N892"/>
      <c r="O892"/>
      <c r="P892"/>
      <c r="Q892"/>
      <c r="R892"/>
      <c r="S892"/>
      <c r="T892"/>
      <c r="U892"/>
      <c r="V892"/>
      <c r="W892"/>
    </row>
    <row r="893" spans="2:23" outlineLevel="1">
      <c r="B893" s="235"/>
      <c r="C893" s="236"/>
      <c r="D893" s="237"/>
      <c r="E893" s="238"/>
      <c r="F893" s="234"/>
      <c r="G893"/>
      <c r="H893"/>
      <c r="I893"/>
      <c r="J893"/>
      <c r="K893"/>
      <c r="L893"/>
      <c r="M893"/>
      <c r="N893"/>
      <c r="O893"/>
      <c r="P893"/>
      <c r="Q893"/>
      <c r="R893"/>
      <c r="S893"/>
      <c r="T893"/>
      <c r="U893"/>
      <c r="V893"/>
      <c r="W893"/>
    </row>
    <row r="894" spans="2:23" outlineLevel="1">
      <c r="B894" s="230"/>
      <c r="C894" s="231"/>
      <c r="D894" s="232"/>
      <c r="E894" s="233"/>
      <c r="F894" s="234"/>
      <c r="G894"/>
      <c r="H894"/>
      <c r="I894"/>
      <c r="J894"/>
      <c r="K894"/>
      <c r="L894"/>
      <c r="M894"/>
      <c r="N894"/>
      <c r="O894"/>
      <c r="P894"/>
      <c r="Q894"/>
      <c r="R894"/>
      <c r="S894"/>
      <c r="T894"/>
      <c r="U894"/>
      <c r="V894"/>
      <c r="W894"/>
    </row>
    <row r="895" spans="2:23" outlineLevel="1">
      <c r="B895" s="235"/>
      <c r="C895" s="236"/>
      <c r="D895" s="237"/>
      <c r="E895" s="238"/>
      <c r="F895" s="234"/>
      <c r="G895"/>
      <c r="H895"/>
      <c r="I895"/>
      <c r="J895"/>
      <c r="K895"/>
      <c r="L895"/>
      <c r="M895"/>
      <c r="N895"/>
      <c r="O895"/>
      <c r="P895"/>
      <c r="Q895"/>
      <c r="R895"/>
      <c r="S895"/>
      <c r="T895"/>
      <c r="U895"/>
      <c r="V895"/>
      <c r="W895"/>
    </row>
    <row r="896" spans="2:23" outlineLevel="1">
      <c r="B896" s="230"/>
      <c r="C896" s="231"/>
      <c r="D896" s="232"/>
      <c r="E896" s="233"/>
      <c r="F896" s="234"/>
      <c r="G896"/>
      <c r="H896"/>
      <c r="I896"/>
      <c r="J896"/>
      <c r="K896"/>
      <c r="L896"/>
      <c r="M896"/>
      <c r="N896"/>
      <c r="O896"/>
      <c r="P896"/>
      <c r="Q896"/>
      <c r="R896"/>
      <c r="S896"/>
      <c r="T896"/>
      <c r="U896"/>
      <c r="V896"/>
      <c r="W896"/>
    </row>
    <row r="897" spans="2:23" outlineLevel="1">
      <c r="B897" s="235"/>
      <c r="C897" s="236"/>
      <c r="D897" s="237"/>
      <c r="E897" s="238"/>
      <c r="F897" s="234"/>
      <c r="G897"/>
      <c r="H897"/>
      <c r="I897"/>
      <c r="J897"/>
      <c r="K897"/>
      <c r="L897"/>
      <c r="M897"/>
      <c r="N897"/>
      <c r="O897"/>
      <c r="P897"/>
      <c r="Q897"/>
      <c r="R897"/>
      <c r="S897"/>
      <c r="T897"/>
      <c r="U897"/>
      <c r="V897"/>
      <c r="W897"/>
    </row>
    <row r="898" spans="2:23" outlineLevel="1">
      <c r="B898" s="230"/>
      <c r="C898" s="231"/>
      <c r="D898" s="232"/>
      <c r="E898" s="233"/>
      <c r="F898" s="234"/>
      <c r="G898"/>
      <c r="H898"/>
      <c r="I898"/>
      <c r="J898"/>
      <c r="K898"/>
      <c r="L898"/>
      <c r="M898"/>
      <c r="N898"/>
      <c r="O898"/>
      <c r="P898"/>
      <c r="Q898"/>
      <c r="R898"/>
      <c r="S898"/>
      <c r="T898"/>
      <c r="U898"/>
      <c r="V898"/>
      <c r="W898"/>
    </row>
    <row r="899" spans="2:23" outlineLevel="1">
      <c r="B899" s="235"/>
      <c r="C899" s="236"/>
      <c r="D899" s="237"/>
      <c r="E899" s="238"/>
      <c r="F899" s="234"/>
      <c r="G899"/>
      <c r="H899"/>
      <c r="I899"/>
      <c r="J899"/>
      <c r="K899"/>
      <c r="L899"/>
      <c r="M899"/>
      <c r="N899"/>
      <c r="O899"/>
      <c r="P899"/>
      <c r="Q899"/>
      <c r="R899"/>
      <c r="S899"/>
      <c r="T899"/>
      <c r="U899"/>
      <c r="V899"/>
      <c r="W899"/>
    </row>
    <row r="900" spans="2:23" outlineLevel="1">
      <c r="B900" s="230"/>
      <c r="C900" s="231"/>
      <c r="D900" s="232"/>
      <c r="E900" s="233"/>
      <c r="F900" s="234"/>
      <c r="G900"/>
      <c r="H900"/>
      <c r="I900"/>
      <c r="J900"/>
      <c r="K900"/>
      <c r="L900"/>
      <c r="M900"/>
      <c r="N900"/>
      <c r="O900"/>
      <c r="P900"/>
      <c r="Q900"/>
      <c r="R900"/>
      <c r="S900"/>
      <c r="T900"/>
      <c r="U900"/>
      <c r="V900"/>
      <c r="W900"/>
    </row>
    <row r="901" spans="2:23" outlineLevel="1">
      <c r="B901" s="235"/>
      <c r="C901" s="236"/>
      <c r="D901" s="237"/>
      <c r="E901" s="238"/>
      <c r="F901" s="234"/>
      <c r="G901"/>
      <c r="H901"/>
      <c r="I901"/>
      <c r="J901"/>
      <c r="K901"/>
      <c r="L901"/>
      <c r="M901"/>
      <c r="N901"/>
      <c r="O901"/>
      <c r="P901"/>
      <c r="Q901"/>
      <c r="R901"/>
      <c r="S901"/>
      <c r="T901"/>
      <c r="U901"/>
      <c r="V901"/>
      <c r="W901"/>
    </row>
    <row r="902" spans="2:23" outlineLevel="1">
      <c r="B902" s="230"/>
      <c r="C902" s="231"/>
      <c r="D902" s="232"/>
      <c r="E902" s="233"/>
      <c r="F902" s="234"/>
      <c r="G902"/>
      <c r="H902"/>
      <c r="I902"/>
      <c r="J902"/>
      <c r="K902"/>
      <c r="L902"/>
      <c r="M902"/>
      <c r="N902"/>
      <c r="O902"/>
      <c r="P902"/>
      <c r="Q902"/>
      <c r="R902"/>
      <c r="S902"/>
      <c r="T902"/>
      <c r="U902"/>
      <c r="V902"/>
      <c r="W902"/>
    </row>
    <row r="903" spans="2:23" outlineLevel="1">
      <c r="B903" s="235"/>
      <c r="C903" s="236"/>
      <c r="D903" s="237"/>
      <c r="E903" s="238"/>
      <c r="F903" s="234"/>
      <c r="G903"/>
      <c r="H903"/>
      <c r="I903"/>
      <c r="J903"/>
      <c r="K903"/>
      <c r="L903"/>
      <c r="M903"/>
      <c r="N903"/>
      <c r="O903"/>
      <c r="P903"/>
      <c r="Q903"/>
      <c r="R903"/>
      <c r="S903"/>
      <c r="T903"/>
      <c r="U903"/>
      <c r="V903"/>
      <c r="W903"/>
    </row>
    <row r="904" spans="2:23" outlineLevel="1">
      <c r="B904" s="230"/>
      <c r="C904" s="231"/>
      <c r="D904" s="232"/>
      <c r="E904" s="233"/>
      <c r="F904" s="234"/>
      <c r="G904"/>
      <c r="H904"/>
      <c r="I904"/>
      <c r="J904"/>
      <c r="K904"/>
      <c r="L904"/>
      <c r="M904"/>
      <c r="N904"/>
      <c r="O904"/>
      <c r="P904"/>
      <c r="Q904"/>
      <c r="R904"/>
      <c r="S904"/>
      <c r="T904"/>
      <c r="U904"/>
      <c r="V904"/>
      <c r="W904"/>
    </row>
    <row r="905" spans="2:23" outlineLevel="1">
      <c r="B905" s="235"/>
      <c r="C905" s="236"/>
      <c r="D905" s="237"/>
      <c r="E905" s="238"/>
      <c r="F905" s="234"/>
      <c r="G905"/>
      <c r="H905"/>
      <c r="I905"/>
      <c r="J905"/>
      <c r="K905"/>
      <c r="L905"/>
      <c r="M905"/>
      <c r="N905"/>
      <c r="O905"/>
      <c r="P905"/>
      <c r="Q905"/>
      <c r="R905"/>
      <c r="S905"/>
      <c r="T905"/>
      <c r="U905"/>
      <c r="V905"/>
      <c r="W905"/>
    </row>
    <row r="906" spans="2:23" outlineLevel="1">
      <c r="B906" s="230"/>
      <c r="C906" s="231"/>
      <c r="D906" s="232"/>
      <c r="E906" s="233"/>
      <c r="F906" s="234"/>
      <c r="G906"/>
      <c r="H906"/>
      <c r="I906"/>
      <c r="J906"/>
      <c r="K906"/>
      <c r="L906"/>
      <c r="M906"/>
      <c r="N906"/>
      <c r="O906"/>
      <c r="P906"/>
      <c r="Q906"/>
      <c r="R906"/>
      <c r="S906"/>
      <c r="T906"/>
      <c r="U906"/>
      <c r="V906"/>
      <c r="W906"/>
    </row>
    <row r="907" spans="2:23" outlineLevel="1">
      <c r="B907" s="235"/>
      <c r="C907" s="236"/>
      <c r="D907" s="237"/>
      <c r="E907" s="238"/>
      <c r="F907" s="234"/>
      <c r="G907"/>
      <c r="H907"/>
      <c r="I907"/>
      <c r="J907"/>
      <c r="K907"/>
      <c r="L907"/>
      <c r="M907"/>
      <c r="N907"/>
      <c r="O907"/>
      <c r="P907"/>
      <c r="Q907"/>
      <c r="R907"/>
      <c r="S907"/>
      <c r="T907"/>
      <c r="U907"/>
      <c r="V907"/>
      <c r="W907"/>
    </row>
    <row r="908" spans="2:23" outlineLevel="1">
      <c r="B908" s="230"/>
      <c r="C908" s="231"/>
      <c r="D908" s="232"/>
      <c r="E908" s="233"/>
      <c r="F908" s="234"/>
      <c r="G908"/>
      <c r="H908"/>
      <c r="I908"/>
      <c r="J908"/>
      <c r="K908"/>
      <c r="L908"/>
      <c r="M908"/>
      <c r="N908"/>
      <c r="O908"/>
      <c r="P908"/>
      <c r="Q908"/>
      <c r="R908"/>
      <c r="S908"/>
      <c r="T908"/>
      <c r="U908"/>
      <c r="V908"/>
      <c r="W908"/>
    </row>
    <row r="909" spans="2:23" outlineLevel="1">
      <c r="B909" s="235"/>
      <c r="C909" s="236"/>
      <c r="D909" s="237"/>
      <c r="E909" s="238"/>
      <c r="F909" s="234"/>
      <c r="G909"/>
      <c r="H909"/>
      <c r="I909"/>
      <c r="J909"/>
      <c r="K909"/>
      <c r="L909"/>
      <c r="M909"/>
      <c r="N909"/>
      <c r="O909"/>
      <c r="P909"/>
      <c r="Q909"/>
      <c r="R909"/>
      <c r="S909"/>
      <c r="T909"/>
      <c r="U909"/>
      <c r="V909"/>
      <c r="W909"/>
    </row>
    <row r="910" spans="2:23" outlineLevel="1">
      <c r="B910" s="230"/>
      <c r="C910" s="231"/>
      <c r="D910" s="232"/>
      <c r="E910" s="233"/>
      <c r="F910" s="234"/>
      <c r="G910"/>
      <c r="H910"/>
      <c r="I910"/>
      <c r="J910"/>
      <c r="K910"/>
      <c r="L910"/>
      <c r="M910"/>
      <c r="N910"/>
      <c r="O910"/>
      <c r="P910"/>
      <c r="Q910"/>
      <c r="R910"/>
      <c r="S910"/>
      <c r="T910"/>
      <c r="U910"/>
      <c r="V910"/>
      <c r="W910"/>
    </row>
    <row r="911" spans="2:23" outlineLevel="1">
      <c r="B911" s="235"/>
      <c r="C911" s="236"/>
      <c r="D911" s="237"/>
      <c r="E911" s="238"/>
      <c r="F911" s="234"/>
      <c r="G911"/>
      <c r="H911"/>
      <c r="I911"/>
      <c r="J911"/>
      <c r="K911"/>
      <c r="L911"/>
      <c r="M911"/>
      <c r="N911"/>
      <c r="O911"/>
      <c r="P911"/>
      <c r="Q911"/>
      <c r="R911"/>
      <c r="S911"/>
      <c r="T911"/>
      <c r="U911"/>
      <c r="V911"/>
      <c r="W911"/>
    </row>
    <row r="912" spans="2:23" outlineLevel="1">
      <c r="B912" s="230"/>
      <c r="C912" s="231"/>
      <c r="D912" s="232"/>
      <c r="E912" s="233"/>
      <c r="F912" s="234"/>
      <c r="G912"/>
      <c r="H912"/>
      <c r="I912"/>
      <c r="J912"/>
      <c r="K912"/>
      <c r="L912"/>
      <c r="M912"/>
      <c r="N912"/>
      <c r="O912"/>
      <c r="P912"/>
      <c r="Q912"/>
      <c r="R912"/>
      <c r="S912"/>
      <c r="T912"/>
      <c r="U912"/>
      <c r="V912"/>
      <c r="W912"/>
    </row>
    <row r="913" spans="2:23" outlineLevel="1">
      <c r="B913" s="235"/>
      <c r="C913" s="236"/>
      <c r="D913" s="237"/>
      <c r="E913" s="238"/>
      <c r="F913" s="234"/>
      <c r="G913"/>
      <c r="H913"/>
      <c r="I913"/>
      <c r="J913"/>
      <c r="K913"/>
      <c r="L913"/>
      <c r="M913"/>
      <c r="N913"/>
      <c r="O913"/>
      <c r="P913"/>
      <c r="Q913"/>
      <c r="R913"/>
      <c r="S913"/>
      <c r="T913"/>
      <c r="U913"/>
      <c r="V913"/>
      <c r="W913"/>
    </row>
    <row r="914" spans="2:23" outlineLevel="1">
      <c r="B914" s="230"/>
      <c r="C914" s="231"/>
      <c r="D914" s="232"/>
      <c r="E914" s="233"/>
      <c r="F914" s="234"/>
      <c r="G914"/>
      <c r="H914"/>
      <c r="I914"/>
      <c r="J914"/>
      <c r="K914"/>
      <c r="L914"/>
      <c r="M914"/>
      <c r="N914"/>
      <c r="O914"/>
      <c r="P914"/>
      <c r="Q914"/>
      <c r="R914"/>
      <c r="S914"/>
      <c r="T914"/>
      <c r="U914"/>
      <c r="V914"/>
      <c r="W914"/>
    </row>
    <row r="915" spans="2:23" outlineLevel="1">
      <c r="B915" s="235"/>
      <c r="C915" s="236"/>
      <c r="D915" s="237"/>
      <c r="E915" s="238"/>
      <c r="F915" s="234"/>
      <c r="G915"/>
      <c r="H915"/>
      <c r="I915"/>
      <c r="J915"/>
      <c r="K915"/>
      <c r="L915"/>
      <c r="M915"/>
      <c r="N915"/>
      <c r="O915"/>
      <c r="P915"/>
      <c r="Q915"/>
      <c r="R915"/>
      <c r="S915"/>
      <c r="T915"/>
      <c r="U915"/>
      <c r="V915"/>
      <c r="W915"/>
    </row>
    <row r="916" spans="2:23" outlineLevel="1">
      <c r="B916" s="230"/>
      <c r="C916" s="231"/>
      <c r="D916" s="232"/>
      <c r="E916" s="233"/>
      <c r="F916" s="234"/>
      <c r="G916"/>
      <c r="H916"/>
      <c r="I916"/>
      <c r="J916"/>
      <c r="K916"/>
      <c r="L916"/>
      <c r="M916"/>
      <c r="N916"/>
      <c r="O916"/>
      <c r="P916"/>
      <c r="Q916"/>
      <c r="R916"/>
      <c r="S916"/>
      <c r="T916"/>
      <c r="U916"/>
      <c r="V916"/>
      <c r="W916"/>
    </row>
    <row r="917" spans="2:23" outlineLevel="1">
      <c r="B917" s="235"/>
      <c r="C917" s="236"/>
      <c r="D917" s="237"/>
      <c r="E917" s="238"/>
      <c r="F917" s="234"/>
      <c r="G917"/>
      <c r="H917"/>
      <c r="I917"/>
      <c r="J917"/>
      <c r="K917"/>
      <c r="L917"/>
      <c r="M917"/>
      <c r="N917"/>
      <c r="O917"/>
      <c r="P917"/>
      <c r="Q917"/>
      <c r="R917"/>
      <c r="S917"/>
      <c r="T917"/>
      <c r="U917"/>
      <c r="V917"/>
      <c r="W917"/>
    </row>
    <row r="918" spans="2:23" outlineLevel="1">
      <c r="B918" s="230"/>
      <c r="C918" s="231"/>
      <c r="D918" s="232"/>
      <c r="E918" s="233"/>
      <c r="F918" s="234"/>
      <c r="G918"/>
      <c r="H918"/>
      <c r="I918"/>
      <c r="J918"/>
      <c r="K918"/>
      <c r="L918"/>
      <c r="M918"/>
      <c r="N918"/>
      <c r="O918"/>
      <c r="P918"/>
      <c r="Q918"/>
      <c r="R918"/>
      <c r="S918"/>
      <c r="T918"/>
      <c r="U918"/>
      <c r="V918"/>
      <c r="W918"/>
    </row>
    <row r="919" spans="2:23" outlineLevel="1">
      <c r="B919" s="235"/>
      <c r="C919" s="236"/>
      <c r="D919" s="237"/>
      <c r="E919" s="238"/>
      <c r="F919" s="234"/>
      <c r="G919"/>
      <c r="H919"/>
      <c r="I919"/>
      <c r="J919"/>
      <c r="K919"/>
      <c r="L919"/>
      <c r="M919"/>
      <c r="N919"/>
      <c r="O919"/>
      <c r="P919"/>
      <c r="Q919"/>
      <c r="R919"/>
      <c r="S919"/>
      <c r="T919"/>
      <c r="U919"/>
      <c r="V919"/>
      <c r="W919"/>
    </row>
    <row r="920" spans="2:23" outlineLevel="1">
      <c r="B920" s="230"/>
      <c r="C920" s="231"/>
      <c r="D920" s="232"/>
      <c r="E920" s="233"/>
      <c r="F920" s="234"/>
      <c r="G920"/>
      <c r="H920"/>
      <c r="I920"/>
      <c r="J920"/>
      <c r="K920"/>
      <c r="L920"/>
      <c r="M920"/>
      <c r="N920"/>
      <c r="O920"/>
      <c r="P920"/>
      <c r="Q920"/>
      <c r="R920"/>
      <c r="S920"/>
      <c r="T920"/>
      <c r="U920"/>
      <c r="V920"/>
      <c r="W920"/>
    </row>
    <row r="921" spans="2:23" outlineLevel="1">
      <c r="B921" s="235"/>
      <c r="C921" s="236"/>
      <c r="D921" s="237"/>
      <c r="E921" s="238"/>
      <c r="F921" s="234"/>
      <c r="G921"/>
      <c r="H921"/>
      <c r="I921"/>
      <c r="J921"/>
      <c r="K921"/>
      <c r="L921"/>
      <c r="M921"/>
      <c r="N921"/>
      <c r="O921"/>
      <c r="P921"/>
      <c r="Q921"/>
      <c r="R921"/>
      <c r="S921"/>
      <c r="T921"/>
      <c r="U921"/>
      <c r="V921"/>
      <c r="W921"/>
    </row>
    <row r="922" spans="2:23" outlineLevel="1">
      <c r="B922" s="230"/>
      <c r="C922" s="231"/>
      <c r="D922" s="232"/>
      <c r="E922" s="233"/>
      <c r="F922" s="234"/>
      <c r="G922"/>
      <c r="H922"/>
      <c r="I922"/>
      <c r="J922"/>
      <c r="K922"/>
      <c r="L922"/>
      <c r="M922"/>
      <c r="N922"/>
      <c r="O922"/>
      <c r="P922"/>
      <c r="Q922"/>
      <c r="R922"/>
      <c r="S922"/>
      <c r="T922"/>
      <c r="U922"/>
      <c r="V922"/>
      <c r="W922"/>
    </row>
    <row r="923" spans="2:23" outlineLevel="1">
      <c r="B923" s="235"/>
      <c r="C923" s="236"/>
      <c r="D923" s="237"/>
      <c r="E923" s="238"/>
      <c r="F923" s="234"/>
      <c r="G923"/>
      <c r="H923"/>
      <c r="I923"/>
      <c r="J923"/>
      <c r="K923"/>
      <c r="L923"/>
      <c r="M923"/>
      <c r="N923"/>
      <c r="O923"/>
      <c r="P923"/>
      <c r="Q923"/>
      <c r="R923"/>
      <c r="S923"/>
      <c r="T923"/>
      <c r="U923"/>
      <c r="V923"/>
      <c r="W923"/>
    </row>
    <row r="924" spans="2:23" outlineLevel="1">
      <c r="B924" s="230"/>
      <c r="C924" s="231"/>
      <c r="D924" s="232"/>
      <c r="E924" s="233"/>
      <c r="F924" s="234"/>
      <c r="G924"/>
      <c r="H924"/>
      <c r="I924"/>
      <c r="J924"/>
      <c r="K924"/>
      <c r="L924"/>
      <c r="M924"/>
      <c r="N924"/>
      <c r="O924"/>
      <c r="P924"/>
      <c r="Q924"/>
      <c r="R924"/>
      <c r="S924"/>
      <c r="T924"/>
      <c r="U924"/>
      <c r="V924"/>
      <c r="W924"/>
    </row>
    <row r="925" spans="2:23" outlineLevel="1">
      <c r="B925" s="235"/>
      <c r="C925" s="236"/>
      <c r="D925" s="237"/>
      <c r="E925" s="238"/>
      <c r="F925" s="234"/>
      <c r="G925"/>
      <c r="H925"/>
      <c r="I925"/>
      <c r="J925"/>
      <c r="K925"/>
      <c r="L925"/>
      <c r="M925"/>
      <c r="N925"/>
      <c r="O925"/>
      <c r="P925"/>
      <c r="Q925"/>
      <c r="R925"/>
      <c r="S925"/>
      <c r="T925"/>
      <c r="U925"/>
      <c r="V925"/>
      <c r="W925"/>
    </row>
    <row r="926" spans="2:23" outlineLevel="1">
      <c r="B926" s="230"/>
      <c r="C926" s="231"/>
      <c r="D926" s="232"/>
      <c r="E926" s="233"/>
      <c r="F926" s="234"/>
      <c r="G926"/>
      <c r="H926"/>
      <c r="I926"/>
      <c r="J926"/>
      <c r="K926"/>
      <c r="L926"/>
      <c r="M926"/>
      <c r="N926"/>
      <c r="O926"/>
      <c r="P926"/>
      <c r="Q926"/>
      <c r="R926"/>
      <c r="S926"/>
      <c r="T926"/>
      <c r="U926"/>
      <c r="V926"/>
      <c r="W926"/>
    </row>
    <row r="927" spans="2:23" outlineLevel="1">
      <c r="B927" s="235"/>
      <c r="C927" s="236"/>
      <c r="D927" s="237"/>
      <c r="E927" s="238"/>
      <c r="F927" s="234"/>
      <c r="G927"/>
      <c r="H927"/>
      <c r="I927"/>
      <c r="J927"/>
      <c r="K927"/>
      <c r="L927"/>
      <c r="M927"/>
      <c r="N927"/>
      <c r="O927"/>
      <c r="P927"/>
      <c r="Q927"/>
      <c r="R927"/>
      <c r="S927"/>
      <c r="T927"/>
      <c r="U927"/>
      <c r="V927"/>
      <c r="W927"/>
    </row>
    <row r="928" spans="2:23" outlineLevel="1">
      <c r="B928" s="230"/>
      <c r="C928" s="231"/>
      <c r="D928" s="232"/>
      <c r="E928" s="233"/>
      <c r="F928" s="234"/>
      <c r="G928"/>
      <c r="H928"/>
      <c r="I928"/>
      <c r="J928"/>
      <c r="K928"/>
      <c r="L928"/>
      <c r="M928"/>
      <c r="N928"/>
      <c r="O928"/>
      <c r="P928"/>
      <c r="Q928"/>
      <c r="R928"/>
      <c r="S928"/>
      <c r="T928"/>
      <c r="U928"/>
      <c r="V928"/>
      <c r="W928"/>
    </row>
    <row r="929" spans="2:23" outlineLevel="1">
      <c r="B929" s="235"/>
      <c r="C929" s="236"/>
      <c r="D929" s="237"/>
      <c r="E929" s="238"/>
      <c r="F929" s="234"/>
      <c r="G929"/>
      <c r="H929"/>
      <c r="I929"/>
      <c r="J929"/>
      <c r="K929"/>
      <c r="L929"/>
      <c r="M929"/>
      <c r="N929"/>
      <c r="O929"/>
      <c r="P929"/>
      <c r="Q929"/>
      <c r="R929"/>
      <c r="S929"/>
      <c r="T929"/>
      <c r="U929"/>
      <c r="V929"/>
      <c r="W929"/>
    </row>
    <row r="930" spans="2:23" outlineLevel="1">
      <c r="B930" s="230"/>
      <c r="C930" s="231"/>
      <c r="D930" s="232"/>
      <c r="E930" s="233"/>
      <c r="F930" s="234"/>
      <c r="G930"/>
      <c r="H930"/>
      <c r="I930"/>
      <c r="J930"/>
      <c r="K930"/>
      <c r="L930"/>
      <c r="M930"/>
      <c r="N930"/>
      <c r="O930"/>
      <c r="P930"/>
      <c r="Q930"/>
      <c r="R930"/>
      <c r="S930"/>
      <c r="T930"/>
      <c r="U930"/>
      <c r="V930"/>
      <c r="W930"/>
    </row>
    <row r="931" spans="2:23" outlineLevel="1">
      <c r="B931" s="235"/>
      <c r="C931" s="236"/>
      <c r="D931" s="237"/>
      <c r="E931" s="238"/>
      <c r="F931" s="234"/>
      <c r="G931"/>
      <c r="H931"/>
      <c r="I931"/>
      <c r="J931"/>
      <c r="K931"/>
      <c r="L931"/>
      <c r="M931"/>
      <c r="N931"/>
      <c r="O931"/>
      <c r="P931"/>
      <c r="Q931"/>
      <c r="R931"/>
      <c r="S931"/>
      <c r="T931"/>
      <c r="U931"/>
      <c r="V931"/>
      <c r="W931"/>
    </row>
    <row r="932" spans="2:23" outlineLevel="1">
      <c r="B932" s="230"/>
      <c r="C932" s="231"/>
      <c r="D932" s="232"/>
      <c r="E932" s="233"/>
      <c r="F932" s="234"/>
      <c r="G932"/>
      <c r="H932"/>
      <c r="I932"/>
      <c r="J932"/>
      <c r="K932"/>
      <c r="L932"/>
      <c r="M932"/>
      <c r="N932"/>
      <c r="O932"/>
      <c r="P932"/>
      <c r="Q932"/>
      <c r="R932"/>
      <c r="S932"/>
      <c r="T932"/>
      <c r="U932"/>
      <c r="V932"/>
      <c r="W932"/>
    </row>
    <row r="933" spans="2:23" outlineLevel="1">
      <c r="B933" s="235"/>
      <c r="C933" s="236"/>
      <c r="D933" s="237"/>
      <c r="E933" s="238"/>
      <c r="F933" s="234"/>
      <c r="G933"/>
      <c r="H933"/>
      <c r="I933"/>
      <c r="J933"/>
      <c r="K933"/>
      <c r="L933"/>
      <c r="M933"/>
      <c r="N933"/>
      <c r="O933"/>
      <c r="P933"/>
      <c r="Q933"/>
      <c r="R933"/>
      <c r="S933"/>
      <c r="T933"/>
      <c r="U933"/>
      <c r="V933"/>
      <c r="W933"/>
    </row>
    <row r="934" spans="2:23" outlineLevel="1">
      <c r="B934" s="230"/>
      <c r="C934" s="231"/>
      <c r="D934" s="232"/>
      <c r="E934" s="233"/>
      <c r="F934" s="234"/>
      <c r="G934"/>
      <c r="H934"/>
      <c r="I934"/>
      <c r="J934"/>
      <c r="K934"/>
      <c r="L934"/>
      <c r="M934"/>
      <c r="N934"/>
      <c r="O934"/>
      <c r="P934"/>
      <c r="Q934"/>
      <c r="R934"/>
      <c r="S934"/>
      <c r="T934"/>
      <c r="U934"/>
      <c r="V934"/>
      <c r="W934"/>
    </row>
    <row r="935" spans="2:23" outlineLevel="1">
      <c r="B935" s="235"/>
      <c r="C935" s="236"/>
      <c r="D935" s="237"/>
      <c r="E935" s="238"/>
      <c r="F935" s="234"/>
      <c r="G935"/>
      <c r="H935"/>
      <c r="I935"/>
      <c r="J935"/>
      <c r="K935"/>
      <c r="L935"/>
      <c r="M935"/>
      <c r="N935"/>
      <c r="O935"/>
      <c r="P935"/>
      <c r="Q935"/>
      <c r="R935"/>
      <c r="S935"/>
      <c r="T935"/>
      <c r="U935"/>
      <c r="V935"/>
      <c r="W935"/>
    </row>
    <row r="936" spans="2:23" outlineLevel="1">
      <c r="B936" s="230"/>
      <c r="C936" s="231"/>
      <c r="D936" s="232"/>
      <c r="E936" s="233"/>
      <c r="F936" s="234"/>
      <c r="G936"/>
      <c r="H936"/>
      <c r="I936"/>
      <c r="J936"/>
      <c r="K936"/>
      <c r="L936"/>
      <c r="M936"/>
      <c r="N936"/>
      <c r="O936"/>
      <c r="P936"/>
      <c r="Q936"/>
      <c r="R936"/>
      <c r="S936"/>
      <c r="T936"/>
      <c r="U936"/>
      <c r="V936"/>
      <c r="W936"/>
    </row>
    <row r="937" spans="2:23" outlineLevel="1">
      <c r="B937" s="235"/>
      <c r="C937" s="236"/>
      <c r="D937" s="237"/>
      <c r="E937" s="238"/>
      <c r="F937" s="234"/>
      <c r="G937"/>
      <c r="H937"/>
      <c r="I937"/>
      <c r="J937"/>
      <c r="K937"/>
      <c r="L937"/>
      <c r="M937"/>
      <c r="N937"/>
      <c r="O937"/>
      <c r="P937"/>
      <c r="Q937"/>
      <c r="R937"/>
      <c r="S937"/>
      <c r="T937"/>
      <c r="U937"/>
      <c r="V937"/>
      <c r="W937"/>
    </row>
    <row r="938" spans="2:23" outlineLevel="1">
      <c r="B938" s="230"/>
      <c r="C938" s="231"/>
      <c r="D938" s="232"/>
      <c r="E938" s="233"/>
      <c r="F938" s="234"/>
      <c r="G938"/>
      <c r="H938"/>
      <c r="I938"/>
      <c r="J938"/>
      <c r="K938"/>
      <c r="L938"/>
      <c r="M938"/>
      <c r="N938"/>
      <c r="O938"/>
      <c r="P938"/>
      <c r="Q938"/>
      <c r="R938"/>
      <c r="S938"/>
      <c r="T938"/>
      <c r="U938"/>
      <c r="V938"/>
      <c r="W938"/>
    </row>
    <row r="939" spans="2:23" outlineLevel="1">
      <c r="B939" s="235"/>
      <c r="C939" s="236"/>
      <c r="D939" s="237"/>
      <c r="E939" s="238"/>
      <c r="F939" s="234"/>
      <c r="G939"/>
      <c r="H939"/>
      <c r="I939"/>
      <c r="J939"/>
      <c r="K939"/>
      <c r="L939"/>
      <c r="M939"/>
      <c r="N939"/>
      <c r="O939"/>
      <c r="P939"/>
      <c r="Q939"/>
      <c r="R939"/>
      <c r="S939"/>
      <c r="T939"/>
      <c r="U939"/>
      <c r="V939"/>
      <c r="W939"/>
    </row>
    <row r="940" spans="2:23" outlineLevel="1">
      <c r="B940" s="230"/>
      <c r="C940" s="231"/>
      <c r="D940" s="232"/>
      <c r="E940" s="233"/>
      <c r="F940" s="234"/>
      <c r="G940"/>
      <c r="H940"/>
      <c r="I940"/>
      <c r="J940"/>
      <c r="K940"/>
      <c r="L940"/>
      <c r="M940"/>
      <c r="N940"/>
      <c r="O940"/>
      <c r="P940"/>
      <c r="Q940"/>
      <c r="R940"/>
      <c r="S940"/>
      <c r="T940"/>
      <c r="U940"/>
      <c r="V940"/>
      <c r="W940"/>
    </row>
    <row r="941" spans="2:23" outlineLevel="1">
      <c r="B941" s="235"/>
      <c r="C941" s="236"/>
      <c r="D941" s="237"/>
      <c r="E941" s="238"/>
      <c r="F941" s="234"/>
      <c r="G941"/>
      <c r="H941"/>
      <c r="I941"/>
      <c r="J941"/>
      <c r="K941"/>
      <c r="L941"/>
      <c r="M941"/>
      <c r="N941"/>
      <c r="O941"/>
      <c r="P941"/>
      <c r="Q941"/>
      <c r="R941"/>
      <c r="S941"/>
      <c r="T941"/>
      <c r="U941"/>
      <c r="V941"/>
      <c r="W941"/>
    </row>
    <row r="942" spans="2:23" outlineLevel="1">
      <c r="B942" s="230"/>
      <c r="C942" s="231"/>
      <c r="D942" s="232"/>
      <c r="E942" s="233"/>
      <c r="F942" s="234"/>
      <c r="G942"/>
      <c r="H942"/>
      <c r="I942"/>
      <c r="J942"/>
      <c r="K942"/>
      <c r="L942"/>
      <c r="M942"/>
      <c r="N942"/>
      <c r="O942"/>
      <c r="P942"/>
      <c r="Q942"/>
      <c r="R942"/>
      <c r="S942"/>
      <c r="T942"/>
      <c r="U942"/>
      <c r="V942"/>
      <c r="W942"/>
    </row>
    <row r="943" spans="2:23" outlineLevel="1">
      <c r="B943" s="235"/>
      <c r="C943" s="236"/>
      <c r="D943" s="237"/>
      <c r="E943" s="238"/>
      <c r="F943" s="234"/>
      <c r="G943"/>
      <c r="H943"/>
      <c r="I943"/>
      <c r="J943"/>
      <c r="K943"/>
      <c r="L943"/>
      <c r="M943"/>
      <c r="N943"/>
      <c r="O943"/>
      <c r="P943"/>
      <c r="Q943"/>
      <c r="R943"/>
      <c r="S943"/>
      <c r="T943"/>
      <c r="U943"/>
      <c r="V943"/>
      <c r="W943"/>
    </row>
    <row r="944" spans="2:23" outlineLevel="1">
      <c r="B944" s="230"/>
      <c r="C944" s="231"/>
      <c r="D944" s="232"/>
      <c r="E944" s="233"/>
      <c r="F944" s="234"/>
      <c r="G944"/>
      <c r="H944"/>
      <c r="I944"/>
      <c r="J944"/>
      <c r="K944"/>
      <c r="L944"/>
      <c r="M944"/>
      <c r="N944"/>
      <c r="O944"/>
      <c r="P944"/>
      <c r="Q944"/>
      <c r="R944"/>
      <c r="S944"/>
      <c r="T944"/>
      <c r="U944"/>
      <c r="V944"/>
      <c r="W944"/>
    </row>
    <row r="945" spans="2:23" outlineLevel="1">
      <c r="B945" s="235"/>
      <c r="C945" s="236"/>
      <c r="D945" s="237"/>
      <c r="E945" s="238"/>
      <c r="F945" s="234"/>
      <c r="G945"/>
      <c r="H945"/>
      <c r="I945"/>
      <c r="J945"/>
      <c r="K945"/>
      <c r="L945"/>
      <c r="M945"/>
      <c r="N945"/>
      <c r="O945"/>
      <c r="P945"/>
      <c r="Q945"/>
      <c r="R945"/>
      <c r="S945"/>
      <c r="T945"/>
      <c r="U945"/>
      <c r="V945"/>
      <c r="W945"/>
    </row>
    <row r="946" spans="2:23" outlineLevel="1">
      <c r="B946" s="230"/>
      <c r="C946" s="231"/>
      <c r="D946" s="232"/>
      <c r="E946" s="233"/>
      <c r="F946" s="234"/>
      <c r="G946"/>
      <c r="H946"/>
      <c r="I946"/>
      <c r="J946"/>
      <c r="K946"/>
      <c r="L946"/>
      <c r="M946"/>
      <c r="N946"/>
      <c r="O946"/>
      <c r="P946"/>
      <c r="Q946"/>
      <c r="R946"/>
      <c r="S946"/>
      <c r="T946"/>
      <c r="U946"/>
      <c r="V946"/>
      <c r="W946"/>
    </row>
    <row r="947" spans="2:23" outlineLevel="1">
      <c r="B947" s="235"/>
      <c r="C947" s="236"/>
      <c r="D947" s="237"/>
      <c r="E947" s="238"/>
      <c r="F947" s="234"/>
      <c r="G947"/>
      <c r="H947"/>
      <c r="I947"/>
      <c r="J947"/>
      <c r="K947"/>
      <c r="L947"/>
      <c r="M947"/>
      <c r="N947"/>
      <c r="O947"/>
      <c r="P947"/>
      <c r="Q947"/>
      <c r="R947"/>
      <c r="S947"/>
      <c r="T947"/>
      <c r="U947"/>
      <c r="V947"/>
      <c r="W947"/>
    </row>
    <row r="948" spans="2:23" outlineLevel="1">
      <c r="B948" s="230"/>
      <c r="C948" s="231"/>
      <c r="D948" s="232"/>
      <c r="E948" s="233"/>
      <c r="F948" s="234"/>
      <c r="G948"/>
      <c r="H948"/>
      <c r="I948"/>
      <c r="J948"/>
      <c r="K948"/>
      <c r="L948"/>
      <c r="M948"/>
      <c r="N948"/>
      <c r="O948"/>
      <c r="P948"/>
      <c r="Q948"/>
      <c r="R948"/>
      <c r="S948"/>
      <c r="T948"/>
      <c r="U948"/>
      <c r="V948"/>
      <c r="W948"/>
    </row>
    <row r="949" spans="2:23" outlineLevel="1">
      <c r="B949" s="235"/>
      <c r="C949" s="236"/>
      <c r="D949" s="237"/>
      <c r="E949" s="238"/>
      <c r="F949" s="234"/>
      <c r="G949"/>
      <c r="H949"/>
      <c r="I949"/>
      <c r="J949"/>
      <c r="K949"/>
      <c r="L949"/>
      <c r="M949"/>
      <c r="N949"/>
      <c r="O949"/>
      <c r="P949"/>
      <c r="Q949"/>
      <c r="R949"/>
      <c r="S949"/>
      <c r="T949"/>
      <c r="U949"/>
      <c r="V949"/>
      <c r="W949"/>
    </row>
    <row r="950" spans="2:23" outlineLevel="1">
      <c r="B950" s="230"/>
      <c r="C950" s="231"/>
      <c r="D950" s="232"/>
      <c r="E950" s="233"/>
      <c r="F950" s="234"/>
      <c r="G950"/>
      <c r="H950"/>
      <c r="I950"/>
      <c r="J950"/>
      <c r="K950"/>
      <c r="L950"/>
      <c r="M950"/>
      <c r="N950"/>
      <c r="O950"/>
      <c r="P950"/>
      <c r="Q950"/>
      <c r="R950"/>
      <c r="S950"/>
      <c r="T950"/>
      <c r="U950"/>
      <c r="V950"/>
      <c r="W950"/>
    </row>
    <row r="951" spans="2:23">
      <c r="B951" s="19" t="s">
        <v>16</v>
      </c>
      <c r="C951" s="5"/>
      <c r="D951" s="17"/>
      <c r="E951" s="125"/>
      <c r="F951" s="39"/>
      <c r="G951"/>
    </row>
    <row r="952" spans="2:23">
      <c r="B952"/>
    </row>
  </sheetData>
  <sheetProtection password="EE8F" sheet="1" objects="1" scenarios="1"/>
  <mergeCells count="37">
    <mergeCell ref="H34:J34"/>
    <mergeCell ref="H36:J36"/>
    <mergeCell ref="H21:J21"/>
    <mergeCell ref="H24:J24"/>
    <mergeCell ref="H25:J25"/>
    <mergeCell ref="H26:J26"/>
    <mergeCell ref="H27:J27"/>
    <mergeCell ref="H28:J28"/>
    <mergeCell ref="H29:J29"/>
    <mergeCell ref="H30:J30"/>
    <mergeCell ref="H31:J31"/>
    <mergeCell ref="H44:J44"/>
    <mergeCell ref="T674:V674"/>
    <mergeCell ref="H79:J79"/>
    <mergeCell ref="H80:J80"/>
    <mergeCell ref="H81:J81"/>
    <mergeCell ref="H82:J82"/>
    <mergeCell ref="H85:J85"/>
    <mergeCell ref="H87:J87"/>
    <mergeCell ref="H405:U405"/>
    <mergeCell ref="T404:V404"/>
    <mergeCell ref="H75:J75"/>
    <mergeCell ref="H76:J76"/>
    <mergeCell ref="H77:J77"/>
    <mergeCell ref="H78:J78"/>
    <mergeCell ref="H47:I47"/>
    <mergeCell ref="H72:J72"/>
    <mergeCell ref="U675:V675"/>
    <mergeCell ref="H95:J95"/>
    <mergeCell ref="H98:I98"/>
    <mergeCell ref="L386:N386"/>
    <mergeCell ref="T686:V686"/>
    <mergeCell ref="H671:J671"/>
    <mergeCell ref="L671:N671"/>
    <mergeCell ref="T671:V671"/>
    <mergeCell ref="J683:N683"/>
    <mergeCell ref="T683:V683"/>
  </mergeCells>
  <phoneticPr fontId="7"/>
  <dataValidations count="71">
    <dataValidation type="list" allowBlank="1" showInputMessage="1" showErrorMessage="1" sqref="W674">
      <formula1>"0ms,50ms,100ms,200ms"</formula1>
    </dataValidation>
    <dataValidation type="list" allowBlank="1" showInputMessage="1" showErrorMessage="1" sqref="S674">
      <formula1>"INIT_END,HotPlug"</formula1>
    </dataValidation>
    <dataValidation type="list" allowBlank="1" showInputMessage="1" showErrorMessage="1" sqref="O675">
      <formula1>"manual, Auto"</formula1>
    </dataValidation>
    <dataValidation type="list" allowBlank="1" showInputMessage="1" showErrorMessage="1" sqref="W675">
      <formula1>"L Out,H Out"</formula1>
    </dataValidation>
    <dataValidation type="list" allowBlank="1" showInputMessage="1" showErrorMessage="1" sqref="M665">
      <formula1>"AutoRes On,AutoRes Off"</formula1>
    </dataValidation>
    <dataValidation type="list" allowBlank="1" showInputMessage="1" showErrorMessage="1" sqref="O665">
      <formula1>"57clk,58clk"</formula1>
    </dataValidation>
    <dataValidation type="list" allowBlank="1" showInputMessage="1" showErrorMessage="1" sqref="S665">
      <formula1>"No, AutoCLR"</formula1>
    </dataValidation>
    <dataValidation type="list" allowBlank="1" showInputMessage="1" showErrorMessage="1" sqref="I678 K678 M678 O678 Q678 S678:S679 U678:U679 W678:W679">
      <formula1>"Set,Not Set"</formula1>
    </dataValidation>
    <dataValidation type="list" allowBlank="1" showInputMessage="1" showErrorMessage="1" sqref="Q680">
      <formula1>"Not Clear, Clear"</formula1>
    </dataValidation>
    <dataValidation type="list" allowBlank="1" showInputMessage="1" showErrorMessage="1" sqref="S680">
      <formula1>"Not Issue, Issue"</formula1>
    </dataValidation>
    <dataValidation type="list" allowBlank="1" showInputMessage="1" showErrorMessage="1" sqref="I682 M682 O682 Q682 S682 U682 W682 K682">
      <formula1>"Mute,Not Mute"</formula1>
    </dataValidation>
    <dataValidation type="list" allowBlank="1" showInputMessage="1" showErrorMessage="1" sqref="O683">
      <formula1>"16b_8bDscd,16b_8+1Dscd,18b_6bDscd,18b_6+1Dscd,20b_4bDscd,20b_4+1Dscd,24b,Mute"</formula1>
    </dataValidation>
    <dataValidation type="list" allowBlank="1" showInputMessage="1" showErrorMessage="1" sqref="W683">
      <formula1>"Right Jstfd,Left Jstfd, I2S"</formula1>
    </dataValidation>
    <dataValidation type="list" allowBlank="1" showInputMessage="1" showErrorMessage="1" sqref="O386">
      <formula1>"HiZ,L-Fix,H-Fix,Normal"</formula1>
    </dataValidation>
    <dataValidation type="list" allowBlank="1" showInputMessage="1" showErrorMessage="1" sqref="W677 O677">
      <formula1>"OFF,ON"</formula1>
    </dataValidation>
    <dataValidation type="list" allowBlank="1" showInputMessage="1" showErrorMessage="1" sqref="W396:W399 O396:O399 Q396:Q399 S396:S399 U396:U399 M399 I396:I399 M396:M397 K396:K399">
      <formula1>"Mask Off, Mask On"</formula1>
    </dataValidation>
    <dataValidation type="list" allowBlank="1" showInputMessage="1" showErrorMessage="1" sqref="W404">
      <formula1>"EEPROM,RAM+DDC2B,RAM+E-DDC"</formula1>
    </dataValidation>
    <dataValidation type="list" allowBlank="1" showInputMessage="1" showErrorMessage="1" sqref="W14 W65">
      <formula1>"Disable,Enable"</formula1>
    </dataValidation>
    <dataValidation type="list" allowBlank="1" showInputMessage="1" showErrorMessage="1" sqref="M65 O14 M14 O65">
      <formula1>"HSCK/2,HSCK/4,HSCK/8"</formula1>
    </dataValidation>
    <dataValidation type="list" allowBlank="1" showInputMessage="1" showErrorMessage="1" sqref="L22 L73">
      <formula1>"INIT Int Enb,INIT Int Dis"</formula1>
    </dataValidation>
    <dataValidation type="list" allowBlank="1" showInputMessage="1" showErrorMessage="1" sqref="M22 M73">
      <formula1>"ApErr Int Enb, ApErrInt Dis"</formula1>
    </dataValidation>
    <dataValidation type="list" allowBlank="1" showInputMessage="1" showErrorMessage="1" sqref="N22 N73">
      <formula1>"DSIPrto Int Enb,DSIPrto Inte Dis"</formula1>
    </dataValidation>
    <dataValidation type="list" allowBlank="1" showInputMessage="1" showErrorMessage="1" sqref="O22 O73">
      <formula1>"DSIrErr Int Enb,DSIrErr Int Dis"</formula1>
    </dataValidation>
    <dataValidation type="list" allowBlank="1" showInputMessage="1" showErrorMessage="1" sqref="P22 P73">
      <formula1>"DSILPTX Int Enb,DSILPTX Int Dis"</formula1>
    </dataValidation>
    <dataValidation type="list" allowBlank="1" showInputMessage="1" showErrorMessage="1" sqref="Q22 Q73">
      <formula1>"DSIrTrg Int Enb,DSIrTrg Int Dis"</formula1>
    </dataValidation>
    <dataValidation type="list" allowBlank="1" showInputMessage="1" showErrorMessage="1" sqref="R22 R73">
      <formula1>"DSIrStat Int Enb,DSIrStat Int Dis"</formula1>
    </dataValidation>
    <dataValidation type="list" allowBlank="1" showInputMessage="1" showErrorMessage="1" sqref="S22 S73">
      <formula1>"PR_TO Enb,PR_TO Dis"</formula1>
    </dataValidation>
    <dataValidation type="list" allowBlank="1" showInputMessage="1" showErrorMessage="1" sqref="T22 T73">
      <formula1>"HSTX_TO Enb,HSTX_TO Dis"</formula1>
    </dataValidation>
    <dataValidation type="list" allowBlank="1" showInputMessage="1" showErrorMessage="1" sqref="U22 U73">
      <formula1>"IND_TO Enb,IND_TO Dis"</formula1>
    </dataValidation>
    <dataValidation type="list" allowBlank="1" showInputMessage="1" showErrorMessage="1" sqref="W22 W73">
      <formula1>"VHDELAY PRT,VHDELAY Reg"</formula1>
    </dataValidation>
    <dataValidation type="list" allowBlank="1" showInputMessage="1" showErrorMessage="1" sqref="W33 U33 O32 W84 Q83:Q84 Q32:Q33 S83:S84 O83 S32:S33 U84">
      <formula1>"Enable,Disable"</formula1>
    </dataValidation>
    <dataValidation type="list" allowBlank="1" showInputMessage="1" showErrorMessage="1" sqref="M32 M83">
      <formula1>"Forced to STOP, Keep Operation"</formula1>
    </dataValidation>
    <dataValidation type="list" allowBlank="1" showInputMessage="1" showErrorMessage="1" sqref="W38 W89">
      <formula1>"By Reg, By PORT"</formula1>
    </dataValidation>
    <dataValidation type="list" allowBlank="1" showInputMessage="1" showErrorMessage="1" sqref="U38 U89 K671 O671 W61 U61 S61 Q61 O61 W112 U112 S112 Q112 O112">
      <formula1>"0,1,2,3"</formula1>
    </dataValidation>
    <dataValidation type="list" allowBlank="1" showInputMessage="1" showErrorMessage="1" sqref="O42 K46 O48 I46 O46 M46 T47 O99 W48 W86 W97 O93 K97 W99 I97 O97 M97 S46:S47 T98 M99 W42:W43 W93:W94 W35 U35 S35 U86 M48 W46 S42:S43 Q42:Q43 S93:S94 Q93:Q94 S97:S98 U42:U43 Q45:Q47 U45:U46 S86 U93:U94 U96:U97 J47:O47 J98:O98 Q96:Q98">
      <formula1>"Mask,No Mask"</formula1>
    </dataValidation>
    <dataValidation type="list" allowBlank="1" showInputMessage="1" showErrorMessage="1" sqref="W111 U60 S60 Q60 O60 U111 S111 Q111 W60 O111">
      <formula1>"No Add,25% Add,50% Add"</formula1>
    </dataValidation>
    <dataValidation type="list" allowBlank="1" showInputMessage="1" showErrorMessage="1" sqref="W384">
      <formula1>"Manual,DDC5V Det"</formula1>
    </dataValidation>
    <dataValidation type="list" allowBlank="1" showInputMessage="1" showErrorMessage="1" sqref="W385">
      <formula1>"Suspend,Normal"</formula1>
    </dataValidation>
    <dataValidation type="list" allowBlank="1" showInputMessage="1" showErrorMessage="1" sqref="W386">
      <formula1>"ON,OFF"</formula1>
    </dataValidation>
    <dataValidation type="list" allowBlank="1" showInputMessage="1" showErrorMessage="1" sqref="W387">
      <formula1>"PDOWN,Normal"</formula1>
    </dataValidation>
    <dataValidation type="list" allowBlank="1" showInputMessage="1" showErrorMessage="1" sqref="W686">
      <formula1>"Normal Aud,HBR Aud,DSD Aud"</formula1>
    </dataValidation>
    <dataValidation type="list" allowBlank="1" showInputMessage="1" showErrorMessage="1" sqref="B395:B399">
      <formula1>"WR8,REMnd"</formula1>
    </dataValidation>
    <dataValidation type="list" allowBlank="1" showInputMessage="1" showErrorMessage="1" sqref="W402">
      <formula1>"IR_Dat MSK, IR_Dat Enb"</formula1>
    </dataValidation>
    <dataValidation type="list" allowBlank="1" showInputMessage="1" showErrorMessage="1" sqref="U402">
      <formula1>"CEC-RX MSK, CEC-RX Enb"</formula1>
    </dataValidation>
    <dataValidation type="list" allowBlank="1" showInputMessage="1" showErrorMessage="1" sqref="T402">
      <formula1>"CEC-TX MSK, CEC-TX Enb"</formula1>
    </dataValidation>
    <dataValidation type="list" allowBlank="1" showInputMessage="1" showErrorMessage="1" sqref="S402">
      <formula1>"CEC-Er MSK, CEC-Er Enb"</formula1>
    </dataValidation>
    <dataValidation type="list" allowBlank="1" showInputMessage="1" showErrorMessage="1" sqref="R402">
      <formula1>"SYS MSK,SYS Enb"</formula1>
    </dataValidation>
    <dataValidation type="list" allowBlank="1" showInputMessage="1" showErrorMessage="1" sqref="P402">
      <formula1>"SLIMB MSK,SLIMB Enb"</formula1>
    </dataValidation>
    <dataValidation type="list" allowBlank="1" showInputMessage="1" showErrorMessage="1" sqref="O402">
      <formula1>"DSITX0 MSK,DSITX0 Enb"</formula1>
    </dataValidation>
    <dataValidation type="list" allowBlank="1" showInputMessage="1" showErrorMessage="1" sqref="N402">
      <formula1>"HDMI MSK,HDMI Enb"</formula1>
    </dataValidation>
    <dataValidation type="list" allowBlank="1" showInputMessage="1" showErrorMessage="1" sqref="M402">
      <formula1>"AMUTE MSK,AMUTE Enb"</formula1>
    </dataValidation>
    <dataValidation type="list" allowBlank="1" showInputMessage="1" showErrorMessage="1" sqref="L402">
      <formula1>"DSITX1 MSK,DSITX1 Enb"</formula1>
    </dataValidation>
    <dataValidation type="list" allowBlank="1" showInputMessage="1" showErrorMessage="1" sqref="V402">
      <formula1>"IR_Er MSK, IR_Er Enb"</formula1>
    </dataValidation>
    <dataValidation type="list" allowBlank="1" showInputMessage="1" showErrorMessage="1" sqref="B401:B402">
      <formula1>"WR16,REMnd"</formula1>
    </dataValidation>
    <dataValidation type="list" allowBlank="1" showInputMessage="1" showErrorMessage="1" sqref="I395 K395 M395 O395 Q395 S395 U395 W395">
      <formula1>"Clear INT, Do Nothing"</formula1>
    </dataValidation>
    <dataValidation type="list" allowBlank="1" showInputMessage="1" showErrorMessage="1" sqref="L401">
      <formula1>"DSITX1 Clear,Do Nothing"</formula1>
    </dataValidation>
    <dataValidation type="list" allowBlank="1" showInputMessage="1" showErrorMessage="1" sqref="M401">
      <formula1>"AMUTE Clear,Do Nothing"</formula1>
    </dataValidation>
    <dataValidation type="list" allowBlank="1" showInputMessage="1" showErrorMessage="1" sqref="N401">
      <formula1>"HDMI Clear,Do Nothing"</formula1>
    </dataValidation>
    <dataValidation type="list" allowBlank="1" showInputMessage="1" showErrorMessage="1" sqref="O401">
      <formula1>"DSITX0 Clear,Do Nothing"</formula1>
    </dataValidation>
    <dataValidation type="list" allowBlank="1" showInputMessage="1" showErrorMessage="1" sqref="P401">
      <formula1>"SLIMB Clear,Do Nothing"</formula1>
    </dataValidation>
    <dataValidation type="list" allowBlank="1" showInputMessage="1" showErrorMessage="1" sqref="R401">
      <formula1>"SYS Clear,Do Nothing"</formula1>
    </dataValidation>
    <dataValidation type="list" allowBlank="1" showInputMessage="1" showErrorMessage="1" sqref="S401">
      <formula1>"CEC-Er Clear, Do Nothing"</formula1>
    </dataValidation>
    <dataValidation type="list" allowBlank="1" showInputMessage="1" showErrorMessage="1" sqref="T401">
      <formula1>"CEC-TX Clear, Do Nothing"</formula1>
    </dataValidation>
    <dataValidation type="list" allowBlank="1" showInputMessage="1" showErrorMessage="1" sqref="U401">
      <formula1>"CEC-RX Clear, Do Nothing"</formula1>
    </dataValidation>
    <dataValidation type="list" allowBlank="1" showInputMessage="1" showErrorMessage="1" sqref="V401">
      <formula1>"IR_Er Clear, Do Nothing"</formula1>
    </dataValidation>
    <dataValidation type="list" allowBlank="1" showInputMessage="1" showErrorMessage="1" sqref="W401">
      <formula1>"IR_Dat Clear, Do Nothing"</formula1>
    </dataValidation>
    <dataValidation type="list" allowBlank="1" showInputMessage="1" showErrorMessage="1" sqref="O115:O116 O693:O694">
      <formula1>"LP,HS"</formula1>
    </dataValidation>
    <dataValidation type="list" allowBlank="1" showInputMessage="1" showErrorMessage="1" sqref="W23 W74">
      <formula1>"Register,Input"</formula1>
    </dataValidation>
    <dataValidation type="list" allowBlank="1" showInputMessage="1" showErrorMessage="1" sqref="U23 U74">
      <formula1>"VFP, Specified Line, Immediate"</formula1>
    </dataValidation>
    <dataValidation type="list" allowBlank="1" showInputMessage="1" showErrorMessage="1" sqref="B89 B42:B49 B60:B61 B23 B35 B38 B86 B111:B112 B93:B100 B74">
      <formula1>"WR32,REMnd"</formula1>
    </dataValidation>
    <dataValidation type="list" allowBlank="1" showInputMessage="1" showErrorMessage="1" sqref="W49 U49 S49 Q49 O49 U100 S100 Q100 O100 W100">
      <formula1>"0,1,2,3,4,5,6,7,8,9,10,11,12,13,14,15"</formula1>
    </dataValidation>
  </dataValidations>
  <pageMargins left="0.75" right="0.75" top="1" bottom="1" header="0.5" footer="0.5"/>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tint="-0.249977111117893"/>
  </sheetPr>
  <dimension ref="A1:BE352"/>
  <sheetViews>
    <sheetView showGridLines="0" zoomScale="75" zoomScaleNormal="75" workbookViewId="0">
      <selection activeCell="J87" sqref="J87"/>
    </sheetView>
  </sheetViews>
  <sheetFormatPr defaultRowHeight="14.25"/>
  <cols>
    <col min="1" max="1" width="3.375" style="3" customWidth="1"/>
    <col min="2" max="2" width="7.875" style="3" customWidth="1"/>
    <col min="3" max="3" width="20.75" style="3" customWidth="1"/>
    <col min="4" max="4" width="11" style="3" customWidth="1"/>
    <col min="5" max="5" width="12.625" style="116" customWidth="1"/>
    <col min="6" max="6" width="92.375" style="3" hidden="1" customWidth="1"/>
    <col min="7" max="7" width="5.25" style="3" customWidth="1"/>
    <col min="8" max="8" width="14.125" style="3" customWidth="1"/>
    <col min="9" max="9" width="12.625" style="3" customWidth="1"/>
    <col min="10" max="10" width="14.125" style="3" customWidth="1"/>
    <col min="11" max="11" width="12.625" style="3" customWidth="1"/>
    <col min="12" max="14" width="12.625" style="116" hidden="1" customWidth="1"/>
    <col min="15" max="15" width="13.5" style="116" hidden="1" customWidth="1"/>
    <col min="16" max="17" width="14" style="116" hidden="1" customWidth="1"/>
    <col min="18" max="18" width="15" style="116" hidden="1" customWidth="1"/>
    <col min="19" max="19" width="16.25" style="116" hidden="1" customWidth="1"/>
    <col min="20" max="20" width="14.5" style="116" hidden="1" customWidth="1"/>
    <col min="21" max="21" width="12.625" style="37" hidden="1" customWidth="1"/>
    <col min="22" max="22" width="13.75" style="37" hidden="1" customWidth="1"/>
    <col min="23" max="23" width="14.125" style="37" hidden="1" customWidth="1"/>
    <col min="24" max="25" width="12.625" style="37" customWidth="1"/>
    <col min="26" max="26" width="3.125" style="37" customWidth="1"/>
    <col min="27" max="32" width="3" style="37" bestFit="1" customWidth="1"/>
    <col min="33" max="33" width="3.125" style="37" bestFit="1" customWidth="1"/>
    <col min="34" max="34" width="5.125" style="37" bestFit="1" customWidth="1"/>
    <col min="35" max="40" width="3.125" style="37" bestFit="1" customWidth="1"/>
    <col min="41" max="41" width="5.125" style="37" bestFit="1" customWidth="1"/>
    <col min="42" max="42" width="4" style="37" bestFit="1" customWidth="1"/>
    <col min="43" max="44" width="9" style="37"/>
    <col min="45" max="16384" width="9" style="3"/>
  </cols>
  <sheetData>
    <row r="1" spans="2:36" ht="18">
      <c r="B1" s="12" t="s">
        <v>1181</v>
      </c>
      <c r="C1" s="12"/>
      <c r="F1" s="152"/>
      <c r="G1" s="3" t="s">
        <v>1556</v>
      </c>
      <c r="H1" s="135" t="s">
        <v>144</v>
      </c>
      <c r="I1" s="21"/>
      <c r="J1" s="4"/>
      <c r="K1"/>
      <c r="L1" s="220"/>
      <c r="M1" s="220"/>
      <c r="N1" s="321"/>
    </row>
    <row r="2" spans="2:36">
      <c r="B2" s="168" t="s">
        <v>730</v>
      </c>
      <c r="I2"/>
      <c r="J2"/>
      <c r="K2"/>
      <c r="L2" s="220"/>
      <c r="M2" s="220"/>
      <c r="N2" s="220"/>
      <c r="O2" s="220"/>
      <c r="P2" s="220"/>
      <c r="Q2" s="220"/>
      <c r="R2" s="220"/>
    </row>
    <row r="3" spans="2:36">
      <c r="B3" s="136" t="s">
        <v>15</v>
      </c>
      <c r="C3" s="137" t="s">
        <v>109</v>
      </c>
      <c r="D3" s="138"/>
      <c r="E3" s="138"/>
      <c r="F3" s="139" t="s">
        <v>720</v>
      </c>
      <c r="G3"/>
      <c r="H3"/>
      <c r="I3"/>
      <c r="J3"/>
      <c r="K3"/>
      <c r="L3" s="376"/>
      <c r="M3" s="376"/>
      <c r="N3" s="376"/>
      <c r="O3" s="376"/>
      <c r="P3" s="376"/>
      <c r="Q3" s="376"/>
      <c r="R3" s="376"/>
      <c r="S3" s="376"/>
      <c r="T3" s="376"/>
      <c r="U3" s="376"/>
      <c r="V3" s="376"/>
      <c r="W3" s="376"/>
      <c r="X3" s="376"/>
      <c r="Y3" s="376"/>
      <c r="Z3" s="170"/>
      <c r="AJ3" s="170"/>
    </row>
    <row r="4" spans="2:36" hidden="1">
      <c r="B4" s="19" t="s">
        <v>88</v>
      </c>
      <c r="C4" s="5" t="s">
        <v>163</v>
      </c>
      <c r="D4" s="17" t="s">
        <v>162</v>
      </c>
      <c r="E4" s="89" t="s">
        <v>151</v>
      </c>
      <c r="F4" s="126" t="s">
        <v>535</v>
      </c>
      <c r="G4" s="140">
        <f>HEX2DEC(E4)</f>
        <v>0</v>
      </c>
      <c r="H4"/>
      <c r="I4"/>
      <c r="J4"/>
      <c r="K4"/>
      <c r="L4" s="376"/>
      <c r="M4" s="376"/>
      <c r="N4" s="376"/>
      <c r="O4" s="376"/>
      <c r="P4" s="376"/>
      <c r="Q4" s="376"/>
      <c r="R4" s="376"/>
      <c r="S4" s="376"/>
      <c r="T4" s="376"/>
      <c r="U4" s="376"/>
      <c r="V4" s="376"/>
      <c r="W4" s="376"/>
      <c r="X4" s="376"/>
      <c r="Y4" s="376"/>
      <c r="Z4" s="170"/>
      <c r="AJ4" s="170"/>
    </row>
    <row r="5" spans="2:36" hidden="1">
      <c r="B5" s="19" t="s">
        <v>88</v>
      </c>
      <c r="C5" s="5" t="s">
        <v>163</v>
      </c>
      <c r="D5" s="17" t="s">
        <v>181</v>
      </c>
      <c r="E5" s="89" t="s">
        <v>534</v>
      </c>
      <c r="F5" s="126"/>
      <c r="G5" s="140">
        <f>HEX2DEC(E5)</f>
        <v>255</v>
      </c>
      <c r="H5"/>
      <c r="I5"/>
      <c r="J5"/>
      <c r="K5"/>
      <c r="L5" s="376"/>
      <c r="M5" s="376"/>
      <c r="N5" s="376"/>
      <c r="O5" s="376"/>
      <c r="P5" s="376"/>
      <c r="Q5" s="376"/>
      <c r="R5" s="376"/>
      <c r="S5" s="376"/>
      <c r="T5" s="376"/>
      <c r="U5" s="376"/>
      <c r="V5" s="376"/>
      <c r="W5" s="376"/>
      <c r="X5" s="376"/>
      <c r="Y5" s="376"/>
      <c r="Z5" s="170"/>
      <c r="AJ5" s="170"/>
    </row>
    <row r="6" spans="2:36" hidden="1">
      <c r="B6" s="19" t="s">
        <v>88</v>
      </c>
      <c r="C6" s="5" t="s">
        <v>163</v>
      </c>
      <c r="D6" s="17" t="s">
        <v>182</v>
      </c>
      <c r="E6" s="89" t="s">
        <v>534</v>
      </c>
      <c r="F6" s="126"/>
      <c r="G6" s="140">
        <f t="shared" ref="G6:G69" si="0">HEX2DEC(E6)</f>
        <v>255</v>
      </c>
      <c r="H6"/>
      <c r="I6"/>
      <c r="J6"/>
      <c r="K6"/>
      <c r="L6" s="376"/>
      <c r="M6" s="376"/>
      <c r="N6" s="376"/>
      <c r="O6" s="376"/>
      <c r="P6" s="376"/>
      <c r="Q6" s="376"/>
      <c r="R6" s="376"/>
      <c r="S6" s="376"/>
      <c r="T6" s="376"/>
      <c r="U6" s="376"/>
      <c r="V6" s="376"/>
      <c r="W6" s="376"/>
      <c r="X6" s="376"/>
      <c r="Y6" s="376"/>
      <c r="Z6" s="170"/>
      <c r="AJ6" s="170"/>
    </row>
    <row r="7" spans="2:36" hidden="1">
      <c r="B7" s="19" t="s">
        <v>88</v>
      </c>
      <c r="C7" s="5" t="s">
        <v>163</v>
      </c>
      <c r="D7" s="17" t="s">
        <v>183</v>
      </c>
      <c r="E7" s="89" t="s">
        <v>534</v>
      </c>
      <c r="F7" s="126"/>
      <c r="G7" s="140">
        <f t="shared" si="0"/>
        <v>255</v>
      </c>
      <c r="H7"/>
      <c r="I7"/>
      <c r="J7"/>
      <c r="K7"/>
      <c r="L7" s="376"/>
      <c r="M7" s="376"/>
      <c r="N7" s="376"/>
      <c r="O7" s="376"/>
      <c r="P7" s="376"/>
      <c r="Q7" s="376"/>
      <c r="R7" s="376"/>
      <c r="S7" s="376"/>
      <c r="T7" s="376"/>
      <c r="U7" s="376"/>
      <c r="V7" s="376"/>
      <c r="W7" s="376"/>
      <c r="X7" s="376"/>
      <c r="Y7" s="376"/>
      <c r="Z7" s="170"/>
      <c r="AJ7" s="170"/>
    </row>
    <row r="8" spans="2:36" hidden="1">
      <c r="B8" s="19" t="s">
        <v>88</v>
      </c>
      <c r="C8" s="5" t="s">
        <v>163</v>
      </c>
      <c r="D8" s="17" t="s">
        <v>184</v>
      </c>
      <c r="E8" s="89" t="s">
        <v>534</v>
      </c>
      <c r="F8" s="126"/>
      <c r="G8" s="140">
        <f t="shared" si="0"/>
        <v>255</v>
      </c>
      <c r="H8"/>
      <c r="I8"/>
      <c r="J8"/>
      <c r="K8"/>
      <c r="L8" s="376"/>
      <c r="M8" s="376"/>
      <c r="N8" s="376"/>
      <c r="O8" s="376"/>
      <c r="P8" s="376"/>
      <c r="Q8" s="376"/>
      <c r="R8" s="376"/>
      <c r="S8" s="376"/>
      <c r="T8" s="376"/>
      <c r="U8" s="376"/>
      <c r="V8" s="376"/>
      <c r="W8" s="376"/>
      <c r="X8" s="376"/>
      <c r="Y8" s="376"/>
      <c r="Z8" s="170"/>
      <c r="AJ8" s="170"/>
    </row>
    <row r="9" spans="2:36" hidden="1">
      <c r="B9" s="19" t="s">
        <v>88</v>
      </c>
      <c r="C9" s="5" t="s">
        <v>163</v>
      </c>
      <c r="D9" s="17" t="s">
        <v>185</v>
      </c>
      <c r="E9" s="89" t="s">
        <v>534</v>
      </c>
      <c r="F9" s="126"/>
      <c r="G9" s="140">
        <f t="shared" si="0"/>
        <v>255</v>
      </c>
      <c r="H9"/>
      <c r="I9"/>
      <c r="J9"/>
      <c r="K9"/>
      <c r="L9" s="376"/>
      <c r="M9" s="376"/>
      <c r="N9" s="376"/>
      <c r="O9" s="376"/>
      <c r="P9" s="376"/>
      <c r="Q9" s="376"/>
      <c r="R9" s="376"/>
      <c r="S9" s="376"/>
      <c r="T9" s="376"/>
      <c r="U9" s="376"/>
      <c r="V9" s="376"/>
      <c r="W9" s="376"/>
      <c r="X9" s="376"/>
      <c r="Y9" s="376"/>
      <c r="Z9" s="170"/>
      <c r="AJ9" s="170"/>
    </row>
    <row r="10" spans="2:36" hidden="1">
      <c r="B10" s="19" t="s">
        <v>88</v>
      </c>
      <c r="C10" s="5" t="s">
        <v>163</v>
      </c>
      <c r="D10" s="17" t="s">
        <v>186</v>
      </c>
      <c r="E10" s="89" t="s">
        <v>534</v>
      </c>
      <c r="F10" s="126"/>
      <c r="G10" s="140">
        <f t="shared" si="0"/>
        <v>255</v>
      </c>
      <c r="H10"/>
      <c r="I10"/>
      <c r="J10"/>
      <c r="K10"/>
      <c r="L10" s="376"/>
      <c r="M10" s="376"/>
      <c r="N10" s="376"/>
      <c r="O10" s="376"/>
      <c r="P10" s="376"/>
      <c r="Q10" s="376"/>
      <c r="R10" s="376"/>
      <c r="S10" s="376"/>
      <c r="T10" s="376"/>
      <c r="U10" s="376"/>
      <c r="V10" s="376"/>
      <c r="W10" s="376"/>
      <c r="X10" s="376"/>
      <c r="Y10" s="376"/>
      <c r="Z10" s="170"/>
      <c r="AJ10" s="170"/>
    </row>
    <row r="11" spans="2:36" hidden="1">
      <c r="B11" s="19" t="s">
        <v>88</v>
      </c>
      <c r="C11" s="5" t="s">
        <v>163</v>
      </c>
      <c r="D11" s="17" t="s">
        <v>187</v>
      </c>
      <c r="E11" s="89" t="s">
        <v>151</v>
      </c>
      <c r="F11" s="126"/>
      <c r="G11" s="140">
        <f t="shared" si="0"/>
        <v>0</v>
      </c>
      <c r="H11"/>
      <c r="I11"/>
      <c r="J11"/>
      <c r="K11"/>
      <c r="L11" s="376"/>
      <c r="M11" s="376"/>
      <c r="N11" s="376"/>
      <c r="O11" s="376"/>
      <c r="P11" s="376"/>
      <c r="Q11" s="376"/>
      <c r="R11" s="376"/>
      <c r="S11" s="376"/>
      <c r="T11" s="376"/>
      <c r="U11" s="376"/>
      <c r="V11" s="376"/>
      <c r="W11" s="376"/>
      <c r="X11" s="376"/>
      <c r="Y11" s="376"/>
      <c r="Z11" s="170"/>
      <c r="AJ11" s="170"/>
    </row>
    <row r="12" spans="2:36" hidden="1">
      <c r="B12" s="19" t="s">
        <v>88</v>
      </c>
      <c r="C12" s="5" t="s">
        <v>163</v>
      </c>
      <c r="D12" s="17" t="s">
        <v>188</v>
      </c>
      <c r="E12" s="89" t="s">
        <v>674</v>
      </c>
      <c r="F12" s="127" t="s">
        <v>662</v>
      </c>
      <c r="G12" s="140">
        <f t="shared" si="0"/>
        <v>82</v>
      </c>
      <c r="H12"/>
      <c r="I12"/>
      <c r="J12"/>
      <c r="K12"/>
      <c r="L12" s="376"/>
      <c r="M12" s="376"/>
      <c r="N12" s="376"/>
      <c r="O12" s="376"/>
      <c r="P12" s="376"/>
      <c r="Q12" s="376"/>
      <c r="R12" s="376"/>
      <c r="S12" s="376"/>
      <c r="T12" s="376"/>
      <c r="U12" s="376"/>
      <c r="V12" s="376"/>
      <c r="W12" s="376"/>
      <c r="X12" s="376"/>
      <c r="Y12" s="376"/>
      <c r="Z12" s="170"/>
      <c r="AJ12" s="170"/>
    </row>
    <row r="13" spans="2:36" ht="15">
      <c r="B13" s="19" t="s">
        <v>88</v>
      </c>
      <c r="C13" s="5" t="s">
        <v>163</v>
      </c>
      <c r="D13" s="17" t="s">
        <v>189</v>
      </c>
      <c r="E13" s="89" t="s">
        <v>675</v>
      </c>
      <c r="F13" s="127"/>
      <c r="G13" s="140">
        <f t="shared" si="0"/>
        <v>98</v>
      </c>
      <c r="H13" s="507" t="s">
        <v>703</v>
      </c>
      <c r="I13" s="507"/>
      <c r="J13" s="507"/>
      <c r="K13" s="133" t="s">
        <v>700</v>
      </c>
      <c r="L13" s="387"/>
      <c r="M13" s="387"/>
      <c r="N13" s="376"/>
      <c r="O13" s="376"/>
      <c r="P13" s="376"/>
      <c r="Q13" s="376"/>
      <c r="R13" s="376"/>
      <c r="S13" s="376"/>
      <c r="T13" s="376"/>
      <c r="U13" s="376"/>
      <c r="V13" s="376"/>
      <c r="W13" s="376"/>
      <c r="X13" s="376"/>
      <c r="Y13" s="376"/>
      <c r="Z13" s="220"/>
      <c r="AA13" s="116"/>
      <c r="AB13" s="116"/>
      <c r="AC13" s="116"/>
      <c r="AD13" s="116"/>
      <c r="AJ13" s="170"/>
    </row>
    <row r="14" spans="2:36" ht="15">
      <c r="B14" s="19" t="s">
        <v>88</v>
      </c>
      <c r="C14" s="5" t="s">
        <v>163</v>
      </c>
      <c r="D14" s="17" t="s">
        <v>190</v>
      </c>
      <c r="E14" s="109" t="str">
        <f>DEC2HEX(J14,2)</f>
        <v>88</v>
      </c>
      <c r="F14" s="127" t="s">
        <v>663</v>
      </c>
      <c r="G14" s="140">
        <f t="shared" si="0"/>
        <v>136</v>
      </c>
      <c r="H14" s="504" t="s">
        <v>676</v>
      </c>
      <c r="I14" s="504"/>
      <c r="J14" s="142">
        <v>136</v>
      </c>
      <c r="K14" s="132" t="str">
        <f t="shared" ref="K14:K19" si="1">IF(J14&lt;&gt;"",IF(J14&gt;=0,IF(J14&lt;=255,"OK","NG")),"NG")</f>
        <v>OK</v>
      </c>
      <c r="L14" s="388"/>
      <c r="M14" s="388"/>
      <c r="N14" s="376"/>
      <c r="O14" s="376"/>
      <c r="P14" s="376"/>
      <c r="Q14" s="376"/>
      <c r="R14" s="376"/>
      <c r="S14" s="376"/>
      <c r="T14" s="376"/>
      <c r="U14" s="376"/>
      <c r="V14" s="376"/>
      <c r="W14" s="376"/>
      <c r="X14" s="376"/>
      <c r="Y14" s="376"/>
      <c r="Z14" s="220"/>
      <c r="AA14" s="116"/>
      <c r="AB14" s="116"/>
      <c r="AC14" s="116"/>
      <c r="AD14" s="116"/>
      <c r="AJ14" s="170"/>
    </row>
    <row r="15" spans="2:36" ht="15">
      <c r="B15" s="19" t="s">
        <v>88</v>
      </c>
      <c r="C15" s="5" t="s">
        <v>163</v>
      </c>
      <c r="D15" s="17" t="s">
        <v>191</v>
      </c>
      <c r="E15" s="109" t="str">
        <f t="shared" ref="E15:E20" si="2">DEC2HEX(J15,2)</f>
        <v>88</v>
      </c>
      <c r="F15" s="127"/>
      <c r="G15" s="140">
        <f t="shared" si="0"/>
        <v>136</v>
      </c>
      <c r="H15" s="504" t="s">
        <v>677</v>
      </c>
      <c r="I15" s="504"/>
      <c r="J15" s="142">
        <v>136</v>
      </c>
      <c r="K15" s="132" t="str">
        <f t="shared" si="1"/>
        <v>OK</v>
      </c>
      <c r="L15" s="388"/>
      <c r="M15" s="388"/>
      <c r="N15" s="376"/>
      <c r="O15" s="376"/>
      <c r="P15" s="376"/>
      <c r="Q15" s="376"/>
      <c r="R15" s="376"/>
      <c r="S15" s="376"/>
      <c r="T15" s="376"/>
      <c r="U15" s="376"/>
      <c r="V15" s="376"/>
      <c r="W15" s="376"/>
      <c r="X15" s="376"/>
      <c r="Y15" s="376"/>
      <c r="Z15" s="220"/>
      <c r="AA15" s="116"/>
      <c r="AB15" s="116"/>
      <c r="AC15" s="116"/>
      <c r="AD15" s="116"/>
      <c r="AJ15" s="170"/>
    </row>
    <row r="16" spans="2:36" ht="15">
      <c r="B16" s="19" t="s">
        <v>88</v>
      </c>
      <c r="C16" s="5" t="s">
        <v>163</v>
      </c>
      <c r="D16" s="17" t="s">
        <v>192</v>
      </c>
      <c r="E16" s="109" t="str">
        <f t="shared" si="2"/>
        <v>00</v>
      </c>
      <c r="F16" s="127" t="s">
        <v>664</v>
      </c>
      <c r="G16" s="140">
        <f t="shared" si="0"/>
        <v>0</v>
      </c>
      <c r="H16" s="506" t="s">
        <v>678</v>
      </c>
      <c r="I16" s="506"/>
      <c r="J16" s="142">
        <v>0</v>
      </c>
      <c r="K16" s="132" t="str">
        <f t="shared" si="1"/>
        <v>OK</v>
      </c>
      <c r="L16" s="388"/>
      <c r="M16" s="388"/>
      <c r="N16" s="376"/>
      <c r="O16" s="376"/>
      <c r="P16" s="376"/>
      <c r="Q16" s="376"/>
      <c r="R16" s="376"/>
      <c r="S16" s="376"/>
      <c r="T16" s="376"/>
      <c r="U16" s="376"/>
      <c r="V16" s="376"/>
      <c r="W16" s="376"/>
      <c r="X16" s="376"/>
      <c r="Y16" s="376"/>
      <c r="Z16" s="220"/>
      <c r="AA16" s="116"/>
      <c r="AB16" s="116"/>
      <c r="AC16" s="116"/>
      <c r="AD16" s="116"/>
      <c r="AJ16" s="170"/>
    </row>
    <row r="17" spans="2:36" ht="15">
      <c r="B17" s="19" t="s">
        <v>88</v>
      </c>
      <c r="C17" s="5" t="s">
        <v>163</v>
      </c>
      <c r="D17" s="17" t="s">
        <v>193</v>
      </c>
      <c r="E17" s="109" t="str">
        <f t="shared" si="2"/>
        <v>88</v>
      </c>
      <c r="F17" s="127"/>
      <c r="G17" s="140">
        <f t="shared" si="0"/>
        <v>136</v>
      </c>
      <c r="H17" s="506" t="s">
        <v>679</v>
      </c>
      <c r="I17" s="506"/>
      <c r="J17" s="142">
        <v>136</v>
      </c>
      <c r="K17" s="132" t="str">
        <f t="shared" si="1"/>
        <v>OK</v>
      </c>
      <c r="L17" s="388"/>
      <c r="M17" s="388"/>
      <c r="N17" s="376"/>
      <c r="O17" s="376"/>
      <c r="P17" s="376"/>
      <c r="Q17" s="376"/>
      <c r="R17" s="376"/>
      <c r="S17" s="376"/>
      <c r="T17" s="376"/>
      <c r="U17" s="376"/>
      <c r="V17" s="376"/>
      <c r="W17" s="376"/>
      <c r="X17" s="376"/>
      <c r="Y17" s="376"/>
      <c r="Z17" s="220"/>
      <c r="AA17" s="116"/>
      <c r="AB17" s="116"/>
      <c r="AC17" s="116"/>
      <c r="AD17" s="116"/>
      <c r="AJ17" s="170"/>
    </row>
    <row r="18" spans="2:36" ht="15">
      <c r="B18" s="19" t="s">
        <v>88</v>
      </c>
      <c r="C18" s="5" t="s">
        <v>163</v>
      </c>
      <c r="D18" s="17" t="s">
        <v>194</v>
      </c>
      <c r="E18" s="109" t="str">
        <f t="shared" si="2"/>
        <v>88</v>
      </c>
      <c r="F18" s="127"/>
      <c r="G18" s="140">
        <f t="shared" si="0"/>
        <v>136</v>
      </c>
      <c r="H18" s="506" t="s">
        <v>680</v>
      </c>
      <c r="I18" s="506"/>
      <c r="J18" s="142">
        <v>136</v>
      </c>
      <c r="K18" s="132" t="str">
        <f t="shared" si="1"/>
        <v>OK</v>
      </c>
      <c r="L18" s="388"/>
      <c r="M18" s="388"/>
      <c r="N18" s="376"/>
      <c r="O18" s="376"/>
      <c r="P18" s="376"/>
      <c r="Q18" s="376"/>
      <c r="R18" s="376"/>
      <c r="S18" s="376"/>
      <c r="T18" s="376"/>
      <c r="U18" s="376"/>
      <c r="V18" s="376"/>
      <c r="W18" s="376"/>
      <c r="X18" s="376"/>
      <c r="Y18" s="376"/>
      <c r="Z18" s="220"/>
      <c r="AA18" s="116"/>
      <c r="AB18" s="116"/>
      <c r="AC18" s="116"/>
      <c r="AD18" s="116"/>
      <c r="AJ18" s="170"/>
    </row>
    <row r="19" spans="2:36" ht="15">
      <c r="B19" s="19" t="s">
        <v>88</v>
      </c>
      <c r="C19" s="5" t="s">
        <v>163</v>
      </c>
      <c r="D19" s="17" t="s">
        <v>195</v>
      </c>
      <c r="E19" s="109" t="str">
        <f t="shared" si="2"/>
        <v>88</v>
      </c>
      <c r="F19" s="127"/>
      <c r="G19" s="140">
        <f t="shared" si="0"/>
        <v>136</v>
      </c>
      <c r="H19" s="506" t="s">
        <v>681</v>
      </c>
      <c r="I19" s="506"/>
      <c r="J19" s="142">
        <v>136</v>
      </c>
      <c r="K19" s="132" t="str">
        <f t="shared" si="1"/>
        <v>OK</v>
      </c>
      <c r="L19" s="388"/>
      <c r="M19" s="388"/>
      <c r="N19" s="376"/>
      <c r="O19" s="376"/>
      <c r="P19" s="376"/>
      <c r="Q19" s="376"/>
      <c r="R19" s="376"/>
      <c r="S19" s="376"/>
      <c r="T19" s="376"/>
      <c r="U19" s="376"/>
      <c r="V19" s="376"/>
      <c r="W19" s="376"/>
      <c r="X19" s="376"/>
      <c r="Y19" s="376"/>
      <c r="Z19" s="220"/>
      <c r="AA19" s="116"/>
      <c r="AB19" s="116"/>
      <c r="AC19" s="116"/>
      <c r="AD19" s="116"/>
      <c r="AJ19" s="170"/>
    </row>
    <row r="20" spans="2:36" ht="15">
      <c r="B20" s="19" t="s">
        <v>88</v>
      </c>
      <c r="C20" s="5" t="s">
        <v>163</v>
      </c>
      <c r="D20" s="17" t="s">
        <v>196</v>
      </c>
      <c r="E20" s="109" t="str">
        <f t="shared" si="2"/>
        <v>1C</v>
      </c>
      <c r="F20" s="127" t="s">
        <v>536</v>
      </c>
      <c r="G20" s="140">
        <f t="shared" si="0"/>
        <v>28</v>
      </c>
      <c r="H20" s="504" t="s">
        <v>683</v>
      </c>
      <c r="I20" s="504"/>
      <c r="J20" s="142">
        <v>28</v>
      </c>
      <c r="K20" s="132" t="str">
        <f>IF(J20&lt;&gt;"",IF(J20&gt;=0,IF(J20&lt;=53,"OK","NG")),"NG")</f>
        <v>OK</v>
      </c>
      <c r="L20" s="388"/>
      <c r="M20" s="388"/>
      <c r="N20" s="376"/>
      <c r="O20" s="376"/>
      <c r="P20" s="376"/>
      <c r="Q20" s="376"/>
      <c r="R20" s="376"/>
      <c r="S20" s="376"/>
      <c r="T20" s="376"/>
      <c r="U20" s="376"/>
      <c r="V20" s="376"/>
      <c r="W20" s="376"/>
      <c r="X20" s="376"/>
      <c r="Y20" s="376"/>
      <c r="Z20" s="220"/>
      <c r="AA20" s="116"/>
      <c r="AB20" s="116"/>
      <c r="AC20" s="116"/>
      <c r="AD20" s="116"/>
      <c r="AJ20" s="170"/>
    </row>
    <row r="21" spans="2:36" ht="15">
      <c r="B21" s="19" t="s">
        <v>88</v>
      </c>
      <c r="C21" s="5" t="s">
        <v>163</v>
      </c>
      <c r="D21" s="17" t="s">
        <v>197</v>
      </c>
      <c r="E21" s="109" t="str">
        <f>DEC2HEX(J21-1990,2)</f>
        <v>15</v>
      </c>
      <c r="F21" s="127" t="s">
        <v>537</v>
      </c>
      <c r="G21" s="140">
        <f t="shared" si="0"/>
        <v>21</v>
      </c>
      <c r="H21" s="506" t="s">
        <v>684</v>
      </c>
      <c r="I21" s="506"/>
      <c r="J21" s="142">
        <v>2011</v>
      </c>
      <c r="K21" s="132" t="str">
        <f>IF(J21&lt;&gt;"",IF(J21&gt;=1990,IF(J21&lt;=2245,"OK","NG")),"NG")</f>
        <v>OK</v>
      </c>
      <c r="L21" s="388"/>
      <c r="M21" s="388"/>
      <c r="N21" s="376"/>
      <c r="O21" s="376"/>
      <c r="P21" s="376"/>
      <c r="Q21" s="376"/>
      <c r="R21" s="376"/>
      <c r="S21" s="376"/>
      <c r="T21" s="376"/>
      <c r="U21" s="376"/>
      <c r="V21" s="376"/>
      <c r="W21" s="376"/>
      <c r="X21" s="376"/>
      <c r="Y21" s="376"/>
      <c r="Z21" s="220"/>
      <c r="AA21" s="116"/>
      <c r="AB21" s="116"/>
      <c r="AC21" s="116"/>
      <c r="AD21" s="116"/>
      <c r="AJ21" s="170"/>
    </row>
    <row r="22" spans="2:36" hidden="1">
      <c r="B22" s="19" t="s">
        <v>88</v>
      </c>
      <c r="C22" s="5" t="s">
        <v>163</v>
      </c>
      <c r="D22" s="17" t="s">
        <v>198</v>
      </c>
      <c r="E22" s="89" t="s">
        <v>125</v>
      </c>
      <c r="F22" s="127" t="s">
        <v>538</v>
      </c>
      <c r="G22" s="140">
        <f t="shared" si="0"/>
        <v>1</v>
      </c>
      <c r="H22"/>
      <c r="I22"/>
      <c r="J22"/>
      <c r="K22"/>
      <c r="L22" s="376"/>
      <c r="M22" s="376"/>
      <c r="N22" s="376"/>
      <c r="O22" s="376"/>
      <c r="P22" s="376"/>
      <c r="Q22" s="376"/>
      <c r="R22" s="376"/>
      <c r="S22" s="376"/>
      <c r="T22" s="376"/>
      <c r="U22" s="376"/>
      <c r="V22" s="376"/>
      <c r="W22" s="376"/>
      <c r="X22" s="376"/>
      <c r="Y22" s="376"/>
      <c r="Z22" s="220"/>
      <c r="AA22" s="116"/>
      <c r="AB22" s="116"/>
      <c r="AC22" s="116"/>
      <c r="AD22" s="116"/>
      <c r="AJ22" s="170"/>
    </row>
    <row r="23" spans="2:36" hidden="1">
      <c r="B23" s="19" t="s">
        <v>88</v>
      </c>
      <c r="C23" s="5" t="s">
        <v>163</v>
      </c>
      <c r="D23" s="17" t="s">
        <v>199</v>
      </c>
      <c r="E23" s="89" t="s">
        <v>685</v>
      </c>
      <c r="F23" s="127" t="s">
        <v>539</v>
      </c>
      <c r="G23" s="140">
        <f t="shared" si="0"/>
        <v>3</v>
      </c>
      <c r="H23"/>
      <c r="I23"/>
      <c r="J23"/>
      <c r="K23"/>
      <c r="L23" s="376"/>
      <c r="M23" s="376"/>
      <c r="N23" s="376"/>
      <c r="O23" s="376"/>
      <c r="P23" s="376"/>
      <c r="Q23" s="376"/>
      <c r="R23" s="376"/>
      <c r="S23" s="376"/>
      <c r="T23" s="376"/>
      <c r="U23" s="376"/>
      <c r="V23" s="376"/>
      <c r="W23" s="376"/>
      <c r="X23" s="376"/>
      <c r="Y23" s="376"/>
      <c r="Z23" s="220"/>
      <c r="AA23" s="116"/>
      <c r="AB23" s="116"/>
      <c r="AC23" s="116"/>
      <c r="AD23" s="116"/>
      <c r="AJ23" s="170"/>
    </row>
    <row r="24" spans="2:36" hidden="1">
      <c r="B24" s="19" t="s">
        <v>88</v>
      </c>
      <c r="C24" s="5" t="s">
        <v>163</v>
      </c>
      <c r="D24" s="17" t="s">
        <v>200</v>
      </c>
      <c r="E24" s="89" t="s">
        <v>686</v>
      </c>
      <c r="F24" s="126" t="s">
        <v>540</v>
      </c>
      <c r="G24" s="298">
        <f t="shared" si="0"/>
        <v>128</v>
      </c>
      <c r="H24"/>
      <c r="I24"/>
      <c r="J24"/>
      <c r="K24"/>
      <c r="L24" s="376"/>
      <c r="M24" s="376"/>
      <c r="N24" s="376"/>
      <c r="O24" s="376"/>
      <c r="P24" s="376"/>
      <c r="Q24" s="376"/>
      <c r="R24" s="376"/>
      <c r="S24" s="376"/>
      <c r="T24" s="376"/>
      <c r="U24" s="376"/>
      <c r="V24" s="376"/>
      <c r="W24" s="376"/>
      <c r="X24" s="376"/>
      <c r="Y24" s="376"/>
      <c r="Z24" s="220"/>
      <c r="AA24" s="116"/>
      <c r="AB24" s="116"/>
      <c r="AC24" s="116"/>
      <c r="AD24" s="116"/>
      <c r="AJ24" s="170"/>
    </row>
    <row r="25" spans="2:36" hidden="1">
      <c r="B25" s="19" t="s">
        <v>88</v>
      </c>
      <c r="C25" s="5" t="s">
        <v>163</v>
      </c>
      <c r="D25" s="17" t="s">
        <v>201</v>
      </c>
      <c r="E25" s="89" t="s">
        <v>151</v>
      </c>
      <c r="F25" s="126" t="s">
        <v>541</v>
      </c>
      <c r="G25" s="298">
        <f t="shared" si="0"/>
        <v>0</v>
      </c>
      <c r="H25"/>
      <c r="I25"/>
      <c r="J25"/>
      <c r="K25"/>
      <c r="L25" s="376"/>
      <c r="M25" s="376"/>
      <c r="N25" s="376"/>
      <c r="O25" s="376"/>
      <c r="P25" s="376"/>
      <c r="Q25" s="376"/>
      <c r="R25" s="376"/>
      <c r="S25" s="376"/>
      <c r="T25" s="376"/>
      <c r="U25" s="376"/>
      <c r="V25" s="376"/>
      <c r="W25" s="376"/>
      <c r="X25" s="376"/>
      <c r="Y25" s="376"/>
      <c r="Z25" s="220"/>
      <c r="AA25" s="116"/>
      <c r="AB25" s="116"/>
      <c r="AC25" s="116"/>
      <c r="AD25" s="116"/>
      <c r="AJ25" s="170"/>
    </row>
    <row r="26" spans="2:36" hidden="1">
      <c r="B26" s="19" t="s">
        <v>88</v>
      </c>
      <c r="C26" s="5" t="s">
        <v>163</v>
      </c>
      <c r="D26" s="17" t="s">
        <v>202</v>
      </c>
      <c r="E26" s="89" t="s">
        <v>151</v>
      </c>
      <c r="F26" s="126" t="s">
        <v>542</v>
      </c>
      <c r="G26" s="298">
        <f t="shared" si="0"/>
        <v>0</v>
      </c>
      <c r="H26"/>
      <c r="I26"/>
      <c r="J26"/>
      <c r="K26"/>
      <c r="L26" s="376"/>
      <c r="M26" s="376"/>
      <c r="N26" s="376"/>
      <c r="O26" s="376"/>
      <c r="P26" s="376"/>
      <c r="Q26" s="376"/>
      <c r="R26" s="376"/>
      <c r="S26" s="376"/>
      <c r="T26" s="376"/>
      <c r="U26" s="376"/>
      <c r="V26" s="376"/>
      <c r="W26" s="376"/>
      <c r="X26" s="376"/>
      <c r="Y26" s="376"/>
      <c r="Z26" s="220"/>
      <c r="AA26" s="116"/>
      <c r="AB26" s="116"/>
      <c r="AC26" s="116"/>
      <c r="AD26" s="116"/>
      <c r="AJ26" s="170"/>
    </row>
    <row r="27" spans="2:36" hidden="1">
      <c r="B27" s="19" t="s">
        <v>88</v>
      </c>
      <c r="C27" s="5" t="s">
        <v>163</v>
      </c>
      <c r="D27" s="17" t="s">
        <v>203</v>
      </c>
      <c r="E27" s="89" t="s">
        <v>687</v>
      </c>
      <c r="F27" s="126" t="s">
        <v>543</v>
      </c>
      <c r="G27" s="298">
        <f t="shared" si="0"/>
        <v>120</v>
      </c>
      <c r="H27"/>
      <c r="I27"/>
      <c r="J27"/>
      <c r="K27"/>
      <c r="L27" s="376"/>
      <c r="M27" s="376"/>
      <c r="N27" s="376"/>
      <c r="O27" s="376"/>
      <c r="P27" s="376"/>
      <c r="Q27" s="376"/>
      <c r="R27" s="376"/>
      <c r="S27" s="376"/>
      <c r="T27" s="376"/>
      <c r="U27" s="376"/>
      <c r="V27" s="376"/>
      <c r="W27" s="376"/>
      <c r="X27" s="376"/>
      <c r="Y27" s="376"/>
      <c r="Z27" s="220"/>
      <c r="AA27" s="116"/>
      <c r="AB27" s="116"/>
      <c r="AC27" s="116"/>
      <c r="AD27" s="116"/>
      <c r="AJ27" s="170"/>
    </row>
    <row r="28" spans="2:36" hidden="1">
      <c r="B28" s="19" t="s">
        <v>88</v>
      </c>
      <c r="C28" s="5" t="s">
        <v>163</v>
      </c>
      <c r="D28" s="17" t="s">
        <v>204</v>
      </c>
      <c r="E28" s="89" t="s">
        <v>148</v>
      </c>
      <c r="F28" s="126" t="s">
        <v>544</v>
      </c>
      <c r="G28" s="298">
        <f t="shared" si="0"/>
        <v>10</v>
      </c>
      <c r="H28"/>
      <c r="I28"/>
      <c r="J28"/>
      <c r="K28"/>
      <c r="L28" s="376"/>
      <c r="M28" s="376"/>
      <c r="N28" s="376"/>
      <c r="O28" s="376"/>
      <c r="P28" s="376"/>
      <c r="Q28" s="376"/>
      <c r="R28" s="376"/>
      <c r="S28" s="376"/>
      <c r="T28" s="376"/>
      <c r="U28" s="376"/>
      <c r="V28" s="376"/>
      <c r="W28" s="376"/>
      <c r="X28" s="376"/>
      <c r="Y28" s="376"/>
      <c r="Z28" s="220"/>
      <c r="AA28" s="116"/>
      <c r="AB28" s="116"/>
      <c r="AC28" s="116"/>
      <c r="AD28" s="116"/>
      <c r="AJ28" s="170"/>
    </row>
    <row r="29" spans="2:36" hidden="1">
      <c r="B29" s="19" t="s">
        <v>88</v>
      </c>
      <c r="C29" s="5" t="s">
        <v>163</v>
      </c>
      <c r="D29" s="17" t="s">
        <v>205</v>
      </c>
      <c r="E29" s="89" t="s">
        <v>1326</v>
      </c>
      <c r="F29" s="126" t="s">
        <v>545</v>
      </c>
      <c r="G29" s="298">
        <f t="shared" si="0"/>
        <v>13</v>
      </c>
      <c r="H29"/>
      <c r="I29"/>
      <c r="J29"/>
      <c r="K29"/>
      <c r="L29" s="376"/>
      <c r="M29" s="376"/>
      <c r="N29" s="376"/>
      <c r="O29" s="376"/>
      <c r="P29" s="376"/>
      <c r="Q29" s="376"/>
      <c r="R29" s="376"/>
      <c r="S29" s="376"/>
      <c r="T29" s="376"/>
      <c r="U29" s="376"/>
      <c r="V29" s="376"/>
      <c r="W29" s="376"/>
      <c r="X29" s="376"/>
      <c r="Y29" s="376"/>
      <c r="Z29" s="220"/>
      <c r="AA29" s="116"/>
      <c r="AB29" s="116"/>
      <c r="AC29" s="116"/>
      <c r="AD29" s="116"/>
      <c r="AJ29" s="170"/>
    </row>
    <row r="30" spans="2:36" hidden="1">
      <c r="B30" s="19" t="s">
        <v>88</v>
      </c>
      <c r="C30" s="5" t="s">
        <v>163</v>
      </c>
      <c r="D30" s="17" t="s">
        <v>206</v>
      </c>
      <c r="E30" s="89" t="s">
        <v>1327</v>
      </c>
      <c r="F30" s="126" t="s">
        <v>546</v>
      </c>
      <c r="G30" s="298">
        <f t="shared" si="0"/>
        <v>201</v>
      </c>
      <c r="H30"/>
      <c r="I30"/>
      <c r="J30"/>
      <c r="K30"/>
      <c r="L30" s="376"/>
      <c r="M30" s="376"/>
      <c r="N30" s="376"/>
      <c r="O30" s="376"/>
      <c r="P30" s="376"/>
      <c r="Q30" s="376"/>
      <c r="R30" s="376"/>
      <c r="S30" s="376"/>
      <c r="T30" s="376"/>
      <c r="U30" s="376"/>
      <c r="V30" s="376"/>
      <c r="W30" s="376"/>
      <c r="X30" s="376"/>
      <c r="Y30" s="376"/>
      <c r="Z30" s="220"/>
      <c r="AA30" s="116"/>
      <c r="AB30" s="116"/>
      <c r="AC30" s="116"/>
      <c r="AD30" s="116"/>
      <c r="AJ30" s="170"/>
    </row>
    <row r="31" spans="2:36" hidden="1">
      <c r="B31" s="19" t="s">
        <v>88</v>
      </c>
      <c r="C31" s="5" t="s">
        <v>163</v>
      </c>
      <c r="D31" s="17" t="s">
        <v>207</v>
      </c>
      <c r="E31" s="89" t="s">
        <v>1328</v>
      </c>
      <c r="F31" s="126" t="s">
        <v>547</v>
      </c>
      <c r="G31" s="298">
        <f t="shared" si="0"/>
        <v>160</v>
      </c>
      <c r="H31"/>
      <c r="I31"/>
      <c r="J31"/>
      <c r="K31"/>
      <c r="L31" s="376"/>
      <c r="M31" s="376"/>
      <c r="N31" s="376"/>
      <c r="O31" s="376"/>
      <c r="P31" s="376"/>
      <c r="Q31" s="376"/>
      <c r="R31" s="376"/>
      <c r="S31" s="376"/>
      <c r="T31" s="376"/>
      <c r="U31" s="376"/>
      <c r="V31" s="376"/>
      <c r="W31" s="376"/>
      <c r="X31" s="376"/>
      <c r="Y31" s="376"/>
      <c r="Z31" s="220"/>
      <c r="AA31" s="116"/>
      <c r="AB31" s="116"/>
      <c r="AC31" s="116"/>
      <c r="AD31" s="116"/>
      <c r="AJ31" s="170"/>
    </row>
    <row r="32" spans="2:36" hidden="1">
      <c r="B32" s="19" t="s">
        <v>88</v>
      </c>
      <c r="C32" s="5" t="s">
        <v>163</v>
      </c>
      <c r="D32" s="17" t="s">
        <v>208</v>
      </c>
      <c r="E32" s="89" t="s">
        <v>1329</v>
      </c>
      <c r="F32" s="126" t="s">
        <v>548</v>
      </c>
      <c r="G32" s="298">
        <f t="shared" si="0"/>
        <v>87</v>
      </c>
      <c r="H32"/>
      <c r="I32"/>
      <c r="J32"/>
      <c r="K32"/>
      <c r="L32" s="376"/>
      <c r="M32" s="376"/>
      <c r="N32" s="376"/>
      <c r="O32" s="376"/>
      <c r="P32" s="376"/>
      <c r="Q32" s="376"/>
      <c r="R32" s="376"/>
      <c r="S32" s="376"/>
      <c r="T32" s="376"/>
      <c r="U32" s="376"/>
      <c r="V32" s="376"/>
      <c r="W32" s="376"/>
      <c r="X32" s="376"/>
      <c r="Y32" s="376"/>
      <c r="Z32" s="220"/>
      <c r="AA32" s="116"/>
      <c r="AB32" s="116"/>
      <c r="AC32" s="116"/>
      <c r="AD32" s="116"/>
      <c r="AJ32" s="170"/>
    </row>
    <row r="33" spans="2:36" hidden="1">
      <c r="B33" s="19" t="s">
        <v>88</v>
      </c>
      <c r="C33" s="5" t="s">
        <v>163</v>
      </c>
      <c r="D33" s="17" t="s">
        <v>209</v>
      </c>
      <c r="E33" s="89" t="s">
        <v>1330</v>
      </c>
      <c r="F33" s="126" t="s">
        <v>549</v>
      </c>
      <c r="G33" s="298">
        <f t="shared" si="0"/>
        <v>71</v>
      </c>
      <c r="H33"/>
      <c r="I33"/>
      <c r="J33"/>
      <c r="K33"/>
      <c r="L33" s="376"/>
      <c r="M33" s="376"/>
      <c r="N33" s="376"/>
      <c r="O33" s="376"/>
      <c r="P33" s="376"/>
      <c r="Q33" s="376"/>
      <c r="R33" s="376"/>
      <c r="S33" s="376"/>
      <c r="T33" s="376"/>
      <c r="U33" s="376"/>
      <c r="V33" s="376"/>
      <c r="W33" s="376"/>
      <c r="X33" s="376"/>
      <c r="Y33" s="376"/>
      <c r="Z33" s="220"/>
      <c r="AA33" s="116"/>
      <c r="AB33" s="116"/>
      <c r="AC33" s="116"/>
      <c r="AD33" s="116"/>
      <c r="AJ33" s="170"/>
    </row>
    <row r="34" spans="2:36" hidden="1">
      <c r="B34" s="19" t="s">
        <v>88</v>
      </c>
      <c r="C34" s="5" t="s">
        <v>163</v>
      </c>
      <c r="D34" s="17" t="s">
        <v>210</v>
      </c>
      <c r="E34" s="89" t="s">
        <v>1331</v>
      </c>
      <c r="F34" s="126" t="s">
        <v>550</v>
      </c>
      <c r="G34" s="298">
        <f t="shared" si="0"/>
        <v>152</v>
      </c>
      <c r="H34"/>
      <c r="I34"/>
      <c r="J34"/>
      <c r="K34"/>
      <c r="L34" s="376"/>
      <c r="M34" s="376"/>
      <c r="N34" s="376"/>
      <c r="O34" s="376"/>
      <c r="P34" s="376"/>
      <c r="Q34" s="376"/>
      <c r="R34" s="376"/>
      <c r="S34" s="376"/>
      <c r="T34" s="376"/>
      <c r="U34" s="376"/>
      <c r="V34" s="376"/>
      <c r="W34" s="376"/>
      <c r="X34" s="376"/>
      <c r="Y34" s="376"/>
      <c r="Z34" s="220"/>
      <c r="AA34" s="116"/>
      <c r="AB34" s="116"/>
      <c r="AC34" s="116"/>
      <c r="AD34" s="116"/>
      <c r="AJ34" s="170"/>
    </row>
    <row r="35" spans="2:36" hidden="1">
      <c r="B35" s="19" t="s">
        <v>88</v>
      </c>
      <c r="C35" s="5" t="s">
        <v>163</v>
      </c>
      <c r="D35" s="17" t="s">
        <v>211</v>
      </c>
      <c r="E35" s="89" t="s">
        <v>1332</v>
      </c>
      <c r="F35" s="126" t="s">
        <v>551</v>
      </c>
      <c r="G35" s="298">
        <f t="shared" si="0"/>
        <v>39</v>
      </c>
      <c r="H35"/>
      <c r="I35"/>
      <c r="J35"/>
      <c r="K35"/>
      <c r="L35" s="376"/>
      <c r="M35" s="376"/>
      <c r="N35" s="376"/>
      <c r="O35" s="376"/>
      <c r="P35" s="376"/>
      <c r="Q35" s="376"/>
      <c r="R35" s="376"/>
      <c r="S35" s="376"/>
      <c r="T35" s="376"/>
      <c r="U35" s="376"/>
      <c r="V35" s="376"/>
      <c r="W35" s="376"/>
      <c r="X35" s="376"/>
      <c r="Y35" s="376"/>
      <c r="Z35" s="220"/>
      <c r="AA35" s="116"/>
      <c r="AB35" s="116"/>
      <c r="AC35" s="116"/>
      <c r="AD35" s="116"/>
      <c r="AJ35" s="170"/>
    </row>
    <row r="36" spans="2:36" hidden="1">
      <c r="B36" s="19" t="s">
        <v>88</v>
      </c>
      <c r="C36" s="5" t="s">
        <v>163</v>
      </c>
      <c r="D36" s="17" t="s">
        <v>212</v>
      </c>
      <c r="E36" s="89" t="s">
        <v>1333</v>
      </c>
      <c r="F36" s="126" t="s">
        <v>552</v>
      </c>
      <c r="G36" s="298">
        <f t="shared" si="0"/>
        <v>18</v>
      </c>
      <c r="H36"/>
      <c r="I36"/>
      <c r="J36"/>
      <c r="K36"/>
      <c r="L36" s="376"/>
      <c r="M36" s="376"/>
      <c r="N36" s="376"/>
      <c r="O36" s="376"/>
      <c r="P36" s="376"/>
      <c r="Q36" s="376"/>
      <c r="R36" s="376"/>
      <c r="S36" s="376"/>
      <c r="T36" s="376"/>
      <c r="U36" s="376"/>
      <c r="V36" s="376"/>
      <c r="W36" s="376"/>
      <c r="X36" s="376"/>
      <c r="Y36" s="376"/>
      <c r="Z36" s="220"/>
      <c r="AA36" s="116"/>
      <c r="AB36" s="116"/>
      <c r="AC36" s="116"/>
      <c r="AD36" s="116"/>
      <c r="AJ36" s="170"/>
    </row>
    <row r="37" spans="2:36" hidden="1">
      <c r="B37" s="19" t="s">
        <v>88</v>
      </c>
      <c r="C37" s="5" t="s">
        <v>163</v>
      </c>
      <c r="D37" s="17" t="s">
        <v>213</v>
      </c>
      <c r="E37" s="89" t="s">
        <v>1334</v>
      </c>
      <c r="F37" s="126" t="s">
        <v>553</v>
      </c>
      <c r="G37" s="298">
        <f t="shared" si="0"/>
        <v>72</v>
      </c>
      <c r="H37"/>
      <c r="I37"/>
      <c r="J37"/>
      <c r="K37"/>
      <c r="L37" s="376"/>
      <c r="M37" s="376"/>
      <c r="N37" s="376"/>
      <c r="O37" s="376"/>
      <c r="P37" s="376"/>
      <c r="Q37" s="376"/>
      <c r="R37" s="376"/>
      <c r="S37" s="376"/>
      <c r="T37" s="376"/>
      <c r="U37" s="376"/>
      <c r="V37" s="376"/>
      <c r="W37" s="376"/>
      <c r="X37" s="376"/>
      <c r="Y37" s="376"/>
      <c r="Z37" s="220"/>
      <c r="AA37" s="116"/>
      <c r="AB37" s="116"/>
      <c r="AC37" s="116"/>
      <c r="AD37" s="116"/>
      <c r="AJ37" s="170"/>
    </row>
    <row r="38" spans="2:36" hidden="1">
      <c r="B38" s="19" t="s">
        <v>88</v>
      </c>
      <c r="C38" s="5" t="s">
        <v>163</v>
      </c>
      <c r="D38" s="17" t="s">
        <v>214</v>
      </c>
      <c r="E38" s="89" t="s">
        <v>1335</v>
      </c>
      <c r="F38" s="126" t="s">
        <v>554</v>
      </c>
      <c r="G38" s="298">
        <f t="shared" si="0"/>
        <v>76</v>
      </c>
      <c r="H38"/>
      <c r="I38"/>
      <c r="J38"/>
      <c r="K38"/>
      <c r="L38" s="376"/>
      <c r="M38" s="376"/>
      <c r="N38" s="376"/>
      <c r="O38" s="376"/>
      <c r="P38" s="376"/>
      <c r="Q38" s="376"/>
      <c r="R38" s="376"/>
      <c r="S38" s="376"/>
      <c r="T38" s="376"/>
      <c r="U38" s="376"/>
      <c r="V38" s="376"/>
      <c r="W38" s="376"/>
      <c r="X38" s="376"/>
      <c r="Y38" s="376"/>
      <c r="Z38" s="220"/>
      <c r="AA38" s="116"/>
      <c r="AB38" s="116"/>
      <c r="AC38" s="116"/>
      <c r="AD38" s="116"/>
      <c r="AJ38" s="170"/>
    </row>
    <row r="39" spans="2:36" hidden="1">
      <c r="B39" s="19" t="s">
        <v>88</v>
      </c>
      <c r="C39" s="5" t="s">
        <v>163</v>
      </c>
      <c r="D39" s="17" t="s">
        <v>215</v>
      </c>
      <c r="E39" s="89" t="s">
        <v>151</v>
      </c>
      <c r="F39" s="126" t="s">
        <v>555</v>
      </c>
      <c r="G39" s="298">
        <f t="shared" si="0"/>
        <v>0</v>
      </c>
      <c r="H39"/>
      <c r="I39"/>
      <c r="J39"/>
      <c r="K39"/>
      <c r="L39" s="376"/>
      <c r="M39" s="376"/>
      <c r="N39" s="376"/>
      <c r="O39" s="376"/>
      <c r="P39" s="376"/>
      <c r="Q39" s="376"/>
      <c r="R39" s="376"/>
      <c r="S39" s="376"/>
      <c r="T39" s="376"/>
      <c r="U39" s="376"/>
      <c r="V39" s="376"/>
      <c r="W39" s="376"/>
      <c r="X39" s="376"/>
      <c r="Y39" s="376"/>
      <c r="Z39" s="220"/>
      <c r="AA39" s="116"/>
      <c r="AB39" s="116"/>
      <c r="AC39" s="116"/>
      <c r="AD39" s="116"/>
      <c r="AJ39" s="170"/>
    </row>
    <row r="40" spans="2:36" hidden="1">
      <c r="B40" s="19" t="s">
        <v>88</v>
      </c>
      <c r="C40" s="5" t="s">
        <v>163</v>
      </c>
      <c r="D40" s="17" t="s">
        <v>216</v>
      </c>
      <c r="E40" s="89" t="s">
        <v>151</v>
      </c>
      <c r="F40" s="126" t="s">
        <v>556</v>
      </c>
      <c r="G40" s="298">
        <f t="shared" si="0"/>
        <v>0</v>
      </c>
      <c r="H40"/>
      <c r="I40"/>
      <c r="J40"/>
      <c r="K40"/>
      <c r="L40" s="376"/>
      <c r="M40" s="376"/>
      <c r="N40" s="376"/>
      <c r="O40" s="376"/>
      <c r="P40" s="376"/>
      <c r="Q40" s="376"/>
      <c r="R40" s="376"/>
      <c r="S40" s="376"/>
      <c r="T40" s="376"/>
      <c r="U40" s="376"/>
      <c r="V40" s="376"/>
      <c r="W40" s="376"/>
      <c r="X40" s="376"/>
      <c r="Y40" s="376"/>
      <c r="Z40" s="220"/>
      <c r="AA40" s="116"/>
      <c r="AB40" s="116"/>
      <c r="AC40" s="116"/>
      <c r="AD40" s="116"/>
      <c r="AJ40" s="170"/>
    </row>
    <row r="41" spans="2:36" hidden="1">
      <c r="B41" s="19" t="s">
        <v>88</v>
      </c>
      <c r="C41" s="5" t="s">
        <v>163</v>
      </c>
      <c r="D41" s="17" t="s">
        <v>217</v>
      </c>
      <c r="E41" s="89" t="s">
        <v>151</v>
      </c>
      <c r="F41" s="126" t="s">
        <v>557</v>
      </c>
      <c r="G41" s="298">
        <f t="shared" si="0"/>
        <v>0</v>
      </c>
      <c r="H41"/>
      <c r="I41"/>
      <c r="J41"/>
      <c r="K41"/>
      <c r="L41" s="376"/>
      <c r="M41" s="376"/>
      <c r="N41" s="376"/>
      <c r="O41" s="376"/>
      <c r="P41" s="376"/>
      <c r="Q41" s="376"/>
      <c r="R41" s="376"/>
      <c r="S41" s="376"/>
      <c r="T41" s="376"/>
      <c r="U41" s="376"/>
      <c r="V41" s="376"/>
      <c r="W41" s="376"/>
      <c r="X41" s="376"/>
      <c r="Y41" s="376"/>
      <c r="Z41" s="220"/>
      <c r="AA41" s="116"/>
      <c r="AB41" s="116"/>
      <c r="AC41" s="116"/>
      <c r="AD41" s="116"/>
      <c r="AJ41" s="170"/>
    </row>
    <row r="42" spans="2:36" hidden="1">
      <c r="B42" s="19" t="s">
        <v>88</v>
      </c>
      <c r="C42" s="5" t="s">
        <v>163</v>
      </c>
      <c r="D42" s="17" t="s">
        <v>218</v>
      </c>
      <c r="E42" s="89" t="s">
        <v>125</v>
      </c>
      <c r="F42" s="126" t="s">
        <v>558</v>
      </c>
      <c r="G42" s="298">
        <f t="shared" si="0"/>
        <v>1</v>
      </c>
      <c r="H42"/>
      <c r="I42"/>
      <c r="J42"/>
      <c r="K42"/>
      <c r="L42" s="376"/>
      <c r="M42" s="376"/>
      <c r="N42" s="376"/>
      <c r="O42" s="376"/>
      <c r="P42" s="376"/>
      <c r="Q42" s="376"/>
      <c r="R42" s="376"/>
      <c r="S42" s="376"/>
      <c r="T42" s="376"/>
      <c r="U42" s="376"/>
      <c r="V42" s="376"/>
      <c r="W42" s="376"/>
      <c r="X42" s="376"/>
      <c r="Y42" s="376"/>
      <c r="Z42" s="220"/>
      <c r="AA42" s="116"/>
      <c r="AB42" s="116"/>
      <c r="AC42" s="116"/>
      <c r="AD42" s="116"/>
      <c r="AJ42" s="170"/>
    </row>
    <row r="43" spans="2:36" hidden="1">
      <c r="B43" s="19" t="s">
        <v>88</v>
      </c>
      <c r="C43" s="5" t="s">
        <v>163</v>
      </c>
      <c r="D43" s="17" t="s">
        <v>219</v>
      </c>
      <c r="E43" s="89" t="s">
        <v>125</v>
      </c>
      <c r="F43" s="126"/>
      <c r="G43" s="298">
        <f t="shared" si="0"/>
        <v>1</v>
      </c>
      <c r="H43"/>
      <c r="I43"/>
      <c r="J43"/>
      <c r="K43"/>
      <c r="L43" s="376"/>
      <c r="M43" s="376"/>
      <c r="N43" s="376"/>
      <c r="O43" s="376"/>
      <c r="P43" s="376"/>
      <c r="Q43" s="376"/>
      <c r="R43" s="376"/>
      <c r="S43" s="376"/>
      <c r="T43" s="376"/>
      <c r="U43" s="376"/>
      <c r="V43" s="376"/>
      <c r="W43" s="376"/>
      <c r="X43" s="376"/>
      <c r="Y43" s="376"/>
      <c r="Z43" s="220"/>
      <c r="AA43" s="116"/>
      <c r="AB43" s="116"/>
      <c r="AC43" s="116"/>
      <c r="AD43" s="116"/>
      <c r="AJ43" s="170"/>
    </row>
    <row r="44" spans="2:36" hidden="1">
      <c r="B44" s="19" t="s">
        <v>88</v>
      </c>
      <c r="C44" s="5" t="s">
        <v>163</v>
      </c>
      <c r="D44" s="17" t="s">
        <v>220</v>
      </c>
      <c r="E44" s="89" t="s">
        <v>125</v>
      </c>
      <c r="F44" s="126" t="s">
        <v>559</v>
      </c>
      <c r="G44" s="140">
        <f t="shared" si="0"/>
        <v>1</v>
      </c>
      <c r="H44"/>
      <c r="I44"/>
      <c r="J44"/>
      <c r="K44"/>
      <c r="L44" s="376"/>
      <c r="M44" s="376"/>
      <c r="N44" s="376"/>
      <c r="O44" s="376"/>
      <c r="P44" s="376"/>
      <c r="Q44" s="376"/>
      <c r="R44" s="376"/>
      <c r="S44" s="376"/>
      <c r="T44" s="376"/>
      <c r="U44" s="376"/>
      <c r="V44" s="376"/>
      <c r="W44" s="376"/>
      <c r="X44" s="376"/>
      <c r="Y44" s="376"/>
      <c r="Z44" s="220"/>
      <c r="AA44" s="116"/>
      <c r="AB44" s="116"/>
      <c r="AC44" s="116"/>
      <c r="AD44" s="116"/>
      <c r="AJ44" s="170"/>
    </row>
    <row r="45" spans="2:36" hidden="1">
      <c r="B45" s="19" t="s">
        <v>88</v>
      </c>
      <c r="C45" s="5" t="s">
        <v>163</v>
      </c>
      <c r="D45" s="17" t="s">
        <v>221</v>
      </c>
      <c r="E45" s="89" t="s">
        <v>125</v>
      </c>
      <c r="F45" s="126"/>
      <c r="G45" s="140">
        <f t="shared" si="0"/>
        <v>1</v>
      </c>
      <c r="H45"/>
      <c r="I45"/>
      <c r="J45"/>
      <c r="K45"/>
      <c r="L45" s="376"/>
      <c r="M45" s="376"/>
      <c r="N45" s="376"/>
      <c r="O45" s="376"/>
      <c r="P45" s="376"/>
      <c r="Q45" s="376"/>
      <c r="R45" s="376"/>
      <c r="S45" s="376"/>
      <c r="T45" s="376"/>
      <c r="U45" s="376"/>
      <c r="V45" s="376"/>
      <c r="W45" s="376"/>
      <c r="X45" s="376"/>
      <c r="Y45" s="376"/>
      <c r="Z45" s="220"/>
      <c r="AA45" s="116"/>
      <c r="AB45" s="116"/>
      <c r="AC45" s="116"/>
      <c r="AD45" s="116"/>
      <c r="AJ45" s="170"/>
    </row>
    <row r="46" spans="2:36" hidden="1">
      <c r="B46" s="19" t="s">
        <v>88</v>
      </c>
      <c r="C46" s="5" t="s">
        <v>163</v>
      </c>
      <c r="D46" s="17" t="s">
        <v>222</v>
      </c>
      <c r="E46" s="89" t="s">
        <v>125</v>
      </c>
      <c r="F46" s="126" t="s">
        <v>560</v>
      </c>
      <c r="G46" s="140">
        <f t="shared" si="0"/>
        <v>1</v>
      </c>
      <c r="H46"/>
      <c r="I46"/>
      <c r="J46"/>
      <c r="K46"/>
      <c r="L46" s="376"/>
      <c r="M46" s="376"/>
      <c r="N46" s="376"/>
      <c r="O46" s="376"/>
      <c r="P46" s="376"/>
      <c r="Q46" s="376"/>
      <c r="R46" s="376"/>
      <c r="S46" s="376"/>
      <c r="T46" s="376"/>
      <c r="U46" s="376"/>
      <c r="V46" s="376"/>
      <c r="W46" s="376"/>
      <c r="X46" s="376"/>
      <c r="Y46" s="376"/>
      <c r="Z46" s="220"/>
      <c r="AA46" s="116"/>
      <c r="AB46" s="116"/>
      <c r="AC46" s="116"/>
      <c r="AD46" s="116"/>
      <c r="AJ46" s="170"/>
    </row>
    <row r="47" spans="2:36" hidden="1">
      <c r="B47" s="19" t="s">
        <v>88</v>
      </c>
      <c r="C47" s="5" t="s">
        <v>163</v>
      </c>
      <c r="D47" s="17" t="s">
        <v>223</v>
      </c>
      <c r="E47" s="89" t="s">
        <v>125</v>
      </c>
      <c r="F47" s="126"/>
      <c r="G47" s="140">
        <f t="shared" si="0"/>
        <v>1</v>
      </c>
      <c r="H47"/>
      <c r="I47"/>
      <c r="J47"/>
      <c r="K47"/>
      <c r="L47" s="376"/>
      <c r="M47" s="376"/>
      <c r="N47" s="376"/>
      <c r="O47" s="376"/>
      <c r="P47" s="376"/>
      <c r="Q47" s="376"/>
      <c r="R47" s="376"/>
      <c r="S47" s="376"/>
      <c r="T47" s="376"/>
      <c r="U47" s="376"/>
      <c r="V47" s="376"/>
      <c r="W47" s="376"/>
      <c r="X47" s="376"/>
      <c r="Y47" s="376"/>
      <c r="Z47" s="220"/>
      <c r="AA47" s="116"/>
      <c r="AB47" s="116"/>
      <c r="AC47" s="116"/>
      <c r="AD47" s="116"/>
      <c r="AJ47" s="170"/>
    </row>
    <row r="48" spans="2:36" hidden="1">
      <c r="B48" s="19" t="s">
        <v>88</v>
      </c>
      <c r="C48" s="5" t="s">
        <v>163</v>
      </c>
      <c r="D48" s="17" t="s">
        <v>224</v>
      </c>
      <c r="E48" s="89" t="s">
        <v>125</v>
      </c>
      <c r="F48" s="126" t="s">
        <v>561</v>
      </c>
      <c r="G48" s="140">
        <f t="shared" si="0"/>
        <v>1</v>
      </c>
      <c r="H48"/>
      <c r="I48"/>
      <c r="J48"/>
      <c r="K48"/>
      <c r="L48" s="376"/>
      <c r="M48" s="376"/>
      <c r="N48" s="376"/>
      <c r="O48" s="376"/>
      <c r="P48" s="376"/>
      <c r="Q48" s="376"/>
      <c r="R48" s="376"/>
      <c r="S48" s="376"/>
      <c r="T48" s="376"/>
      <c r="U48" s="376"/>
      <c r="V48" s="376"/>
      <c r="W48" s="376"/>
      <c r="X48" s="376"/>
      <c r="Y48" s="376"/>
      <c r="Z48" s="220"/>
      <c r="AA48" s="116"/>
      <c r="AB48" s="116"/>
      <c r="AC48" s="116"/>
      <c r="AD48" s="116"/>
      <c r="AJ48" s="170"/>
    </row>
    <row r="49" spans="2:36" hidden="1">
      <c r="B49" s="19" t="s">
        <v>88</v>
      </c>
      <c r="C49" s="5" t="s">
        <v>163</v>
      </c>
      <c r="D49" s="17" t="s">
        <v>225</v>
      </c>
      <c r="E49" s="89" t="s">
        <v>125</v>
      </c>
      <c r="F49" s="126"/>
      <c r="G49" s="140">
        <f t="shared" si="0"/>
        <v>1</v>
      </c>
      <c r="H49"/>
      <c r="I49"/>
      <c r="J49"/>
      <c r="K49"/>
      <c r="L49" s="376"/>
      <c r="M49" s="376"/>
      <c r="N49" s="376"/>
      <c r="O49" s="376"/>
      <c r="P49" s="376"/>
      <c r="Q49" s="376"/>
      <c r="R49" s="376"/>
      <c r="S49" s="376"/>
      <c r="T49" s="376"/>
      <c r="U49" s="376"/>
      <c r="V49" s="376"/>
      <c r="W49" s="376"/>
      <c r="X49" s="376"/>
      <c r="Y49" s="376"/>
      <c r="Z49" s="220"/>
      <c r="AA49" s="116"/>
      <c r="AB49" s="116"/>
      <c r="AC49" s="116"/>
      <c r="AD49" s="116"/>
      <c r="AJ49" s="170"/>
    </row>
    <row r="50" spans="2:36" hidden="1">
      <c r="B50" s="19" t="s">
        <v>88</v>
      </c>
      <c r="C50" s="5" t="s">
        <v>163</v>
      </c>
      <c r="D50" s="17" t="s">
        <v>226</v>
      </c>
      <c r="E50" s="89" t="s">
        <v>125</v>
      </c>
      <c r="F50" s="126" t="s">
        <v>562</v>
      </c>
      <c r="G50" s="140">
        <f t="shared" si="0"/>
        <v>1</v>
      </c>
      <c r="H50"/>
      <c r="I50"/>
      <c r="J50"/>
      <c r="K50"/>
      <c r="L50" s="376"/>
      <c r="M50" s="376"/>
      <c r="N50" s="376"/>
      <c r="O50" s="376"/>
      <c r="P50" s="376"/>
      <c r="Q50" s="376"/>
      <c r="R50" s="376"/>
      <c r="S50" s="376"/>
      <c r="T50" s="376"/>
      <c r="U50" s="376"/>
      <c r="V50" s="376"/>
      <c r="W50" s="376"/>
      <c r="X50" s="376"/>
      <c r="Y50" s="376"/>
      <c r="Z50" s="220"/>
      <c r="AA50" s="116"/>
      <c r="AB50" s="116"/>
      <c r="AC50" s="116"/>
      <c r="AD50" s="116"/>
      <c r="AJ50" s="170"/>
    </row>
    <row r="51" spans="2:36" hidden="1">
      <c r="B51" s="19" t="s">
        <v>88</v>
      </c>
      <c r="C51" s="5" t="s">
        <v>163</v>
      </c>
      <c r="D51" s="17" t="s">
        <v>227</v>
      </c>
      <c r="E51" s="89" t="s">
        <v>125</v>
      </c>
      <c r="F51" s="126"/>
      <c r="G51" s="140">
        <f t="shared" si="0"/>
        <v>1</v>
      </c>
      <c r="H51"/>
      <c r="I51"/>
      <c r="J51"/>
      <c r="K51"/>
      <c r="L51" s="376"/>
      <c r="M51" s="376"/>
      <c r="N51" s="376"/>
      <c r="O51" s="376"/>
      <c r="P51" s="376"/>
      <c r="Q51" s="376"/>
      <c r="R51" s="376"/>
      <c r="S51" s="376"/>
      <c r="T51" s="376"/>
      <c r="U51" s="376"/>
      <c r="V51" s="376"/>
      <c r="W51" s="376"/>
      <c r="X51" s="376"/>
      <c r="Y51" s="376"/>
      <c r="Z51" s="220"/>
      <c r="AA51" s="116"/>
      <c r="AB51" s="116"/>
      <c r="AC51" s="116"/>
      <c r="AD51" s="116"/>
      <c r="AJ51" s="170"/>
    </row>
    <row r="52" spans="2:36" hidden="1">
      <c r="B52" s="19" t="s">
        <v>88</v>
      </c>
      <c r="C52" s="5" t="s">
        <v>163</v>
      </c>
      <c r="D52" s="17" t="s">
        <v>228</v>
      </c>
      <c r="E52" s="89" t="s">
        <v>125</v>
      </c>
      <c r="F52" s="126" t="s">
        <v>563</v>
      </c>
      <c r="G52" s="140">
        <f t="shared" si="0"/>
        <v>1</v>
      </c>
      <c r="H52"/>
      <c r="I52"/>
      <c r="J52"/>
      <c r="K52"/>
      <c r="L52" s="376"/>
      <c r="M52" s="376"/>
      <c r="N52" s="376"/>
      <c r="O52" s="376"/>
      <c r="P52" s="376"/>
      <c r="Q52" s="376"/>
      <c r="R52" s="376"/>
      <c r="S52" s="376"/>
      <c r="T52" s="376"/>
      <c r="U52" s="376"/>
      <c r="V52" s="376"/>
      <c r="W52" s="376"/>
      <c r="X52" s="376"/>
      <c r="Y52" s="376"/>
      <c r="Z52" s="220"/>
      <c r="AA52" s="116"/>
      <c r="AB52" s="116"/>
      <c r="AC52" s="116"/>
      <c r="AD52" s="116"/>
      <c r="AJ52" s="170"/>
    </row>
    <row r="53" spans="2:36" hidden="1">
      <c r="B53" s="19" t="s">
        <v>88</v>
      </c>
      <c r="C53" s="5" t="s">
        <v>163</v>
      </c>
      <c r="D53" s="17" t="s">
        <v>229</v>
      </c>
      <c r="E53" s="89" t="s">
        <v>125</v>
      </c>
      <c r="F53" s="126"/>
      <c r="G53" s="140">
        <f t="shared" si="0"/>
        <v>1</v>
      </c>
      <c r="H53"/>
      <c r="I53"/>
      <c r="J53"/>
      <c r="K53"/>
      <c r="L53" s="376"/>
      <c r="M53" s="376"/>
      <c r="N53" s="376"/>
      <c r="O53" s="376"/>
      <c r="P53" s="376"/>
      <c r="Q53" s="376"/>
      <c r="R53" s="376"/>
      <c r="S53" s="376"/>
      <c r="T53" s="376"/>
      <c r="U53" s="376"/>
      <c r="V53" s="376"/>
      <c r="W53" s="376"/>
      <c r="X53" s="376"/>
      <c r="Y53" s="376"/>
      <c r="Z53" s="220"/>
      <c r="AA53" s="116"/>
      <c r="AB53" s="116"/>
      <c r="AC53" s="116"/>
      <c r="AD53" s="116"/>
      <c r="AJ53" s="170"/>
    </row>
    <row r="54" spans="2:36" hidden="1">
      <c r="B54" s="19" t="s">
        <v>88</v>
      </c>
      <c r="C54" s="5" t="s">
        <v>163</v>
      </c>
      <c r="D54" s="17" t="s">
        <v>230</v>
      </c>
      <c r="E54" s="89" t="s">
        <v>125</v>
      </c>
      <c r="F54" s="126" t="s">
        <v>564</v>
      </c>
      <c r="G54" s="140">
        <f t="shared" si="0"/>
        <v>1</v>
      </c>
      <c r="H54"/>
      <c r="I54"/>
      <c r="J54"/>
      <c r="K54"/>
      <c r="L54" s="376"/>
      <c r="M54" s="376"/>
      <c r="N54" s="376"/>
      <c r="O54" s="376"/>
      <c r="P54" s="376"/>
      <c r="Q54" s="376"/>
      <c r="R54" s="376"/>
      <c r="S54" s="376"/>
      <c r="T54" s="376"/>
      <c r="U54" s="376"/>
      <c r="V54" s="376"/>
      <c r="W54" s="376"/>
      <c r="X54" s="376"/>
      <c r="Y54" s="376"/>
      <c r="Z54" s="220"/>
      <c r="AA54" s="116"/>
      <c r="AB54" s="116"/>
      <c r="AC54" s="116"/>
      <c r="AD54" s="116"/>
      <c r="AJ54" s="170"/>
    </row>
    <row r="55" spans="2:36" hidden="1">
      <c r="B55" s="19" t="s">
        <v>88</v>
      </c>
      <c r="C55" s="5" t="s">
        <v>163</v>
      </c>
      <c r="D55" s="17" t="s">
        <v>231</v>
      </c>
      <c r="E55" s="89" t="s">
        <v>125</v>
      </c>
      <c r="F55" s="126"/>
      <c r="G55" s="140">
        <f t="shared" si="0"/>
        <v>1</v>
      </c>
      <c r="H55"/>
      <c r="I55"/>
      <c r="J55"/>
      <c r="K55"/>
      <c r="L55" s="376"/>
      <c r="M55" s="376"/>
      <c r="N55" s="376"/>
      <c r="O55" s="376"/>
      <c r="P55" s="376"/>
      <c r="Q55" s="376"/>
      <c r="R55" s="376"/>
      <c r="S55" s="376"/>
      <c r="T55" s="376"/>
      <c r="U55" s="376"/>
      <c r="V55" s="376"/>
      <c r="W55" s="376"/>
      <c r="X55" s="376"/>
      <c r="Y55" s="376"/>
      <c r="Z55" s="220"/>
      <c r="AA55" s="116"/>
      <c r="AB55" s="116"/>
      <c r="AC55" s="116"/>
      <c r="AD55" s="116"/>
      <c r="AJ55" s="170"/>
    </row>
    <row r="56" spans="2:36" hidden="1">
      <c r="B56" s="19" t="s">
        <v>88</v>
      </c>
      <c r="C56" s="5" t="s">
        <v>163</v>
      </c>
      <c r="D56" s="17" t="s">
        <v>232</v>
      </c>
      <c r="E56" s="89" t="s">
        <v>125</v>
      </c>
      <c r="F56" s="126" t="s">
        <v>565</v>
      </c>
      <c r="G56" s="140">
        <f t="shared" si="0"/>
        <v>1</v>
      </c>
      <c r="H56"/>
      <c r="I56"/>
      <c r="J56"/>
      <c r="K56"/>
      <c r="L56" s="376"/>
      <c r="M56" s="376"/>
      <c r="N56" s="376"/>
      <c r="O56" s="376"/>
      <c r="P56" s="376"/>
      <c r="Q56" s="376"/>
      <c r="R56" s="376"/>
      <c r="S56" s="376"/>
      <c r="T56" s="376"/>
      <c r="U56" s="376"/>
      <c r="V56" s="376"/>
      <c r="W56" s="376"/>
      <c r="X56" s="376"/>
      <c r="Y56" s="376"/>
      <c r="Z56" s="220"/>
      <c r="AA56" s="116"/>
      <c r="AB56" s="116"/>
      <c r="AC56" s="116"/>
      <c r="AD56" s="116"/>
      <c r="AJ56" s="170"/>
    </row>
    <row r="57" spans="2:36" hidden="1">
      <c r="B57" s="19" t="s">
        <v>88</v>
      </c>
      <c r="C57" s="5" t="s">
        <v>163</v>
      </c>
      <c r="D57" s="17" t="s">
        <v>233</v>
      </c>
      <c r="E57" s="89" t="s">
        <v>125</v>
      </c>
      <c r="F57" s="126"/>
      <c r="G57" s="140">
        <f t="shared" si="0"/>
        <v>1</v>
      </c>
      <c r="H57"/>
      <c r="I57"/>
      <c r="J57"/>
      <c r="K57" s="140" t="str">
        <f>IF(Main_Parameters!$R$3="Select","Disable","Enable")</f>
        <v>Enable</v>
      </c>
      <c r="L57" s="168" t="s">
        <v>1180</v>
      </c>
      <c r="M57" s="376"/>
      <c r="N57" s="389" t="s">
        <v>701</v>
      </c>
      <c r="O57" s="389" t="s">
        <v>1179</v>
      </c>
      <c r="P57" s="390" t="s">
        <v>691</v>
      </c>
      <c r="Q57" s="389" t="s">
        <v>690</v>
      </c>
      <c r="R57" s="389" t="s">
        <v>689</v>
      </c>
      <c r="S57" s="389" t="s">
        <v>692</v>
      </c>
      <c r="T57" s="389" t="s">
        <v>1505</v>
      </c>
      <c r="U57" s="389" t="s">
        <v>1506</v>
      </c>
      <c r="V57" s="389" t="s">
        <v>1507</v>
      </c>
      <c r="W57" s="389" t="s">
        <v>1504</v>
      </c>
      <c r="X57" s="376"/>
      <c r="Y57" s="376"/>
      <c r="Z57" s="220"/>
      <c r="AA57" s="116"/>
      <c r="AB57" s="116"/>
      <c r="AC57" s="116"/>
      <c r="AD57" s="116"/>
      <c r="AJ57" s="170"/>
    </row>
    <row r="58" spans="2:36" ht="15">
      <c r="B58" s="19" t="s">
        <v>88</v>
      </c>
      <c r="C58" s="5" t="s">
        <v>163</v>
      </c>
      <c r="D58" s="17" t="s">
        <v>234</v>
      </c>
      <c r="E58" s="109" t="str">
        <f>DEC2HEX(N58,2)</f>
        <v>EC</v>
      </c>
      <c r="F58" s="127" t="s">
        <v>566</v>
      </c>
      <c r="G58" s="140">
        <f t="shared" si="0"/>
        <v>236</v>
      </c>
      <c r="H58" s="505" t="s">
        <v>1187</v>
      </c>
      <c r="I58" s="505"/>
      <c r="J58" s="505"/>
      <c r="K58" s="134" t="s">
        <v>700</v>
      </c>
      <c r="L58" s="387"/>
      <c r="M58" s="387"/>
      <c r="N58" s="389">
        <f>IF(Main_Parameters!$S$3="640x480p60Hz (1)",P58,IF(Main_Parameters!$S$3="720x480p60Hz (2)",Q58,IF(Main_Parameters!$S$3="1280x720p60Hz (4)",R58,IF(Main_Parameters!$S$3="1920x1080p60Hz (16)",S58,IF(Main_Parameters!$S$3="1920x1200p60Hz (68)",V58,IF(Main_Parameters!$S$3="2560x1600p60Hz (76)",W58,O58))))))</f>
        <v>236</v>
      </c>
      <c r="O58" s="389">
        <f>HEX2DEC(RIGHT(DEC2HEX(L59*100,4),2))</f>
        <v>208</v>
      </c>
      <c r="P58" s="389">
        <v>216</v>
      </c>
      <c r="Q58" s="389">
        <v>140</v>
      </c>
      <c r="R58" s="389">
        <v>1</v>
      </c>
      <c r="S58" s="389">
        <v>2</v>
      </c>
      <c r="T58" s="389">
        <v>100</v>
      </c>
      <c r="U58" s="389">
        <v>188</v>
      </c>
      <c r="V58" s="389">
        <v>40</v>
      </c>
      <c r="W58" s="389">
        <v>236</v>
      </c>
      <c r="X58" s="168"/>
      <c r="Y58" s="168"/>
      <c r="Z58" s="220"/>
      <c r="AA58" s="116"/>
      <c r="AB58" s="116"/>
      <c r="AC58" s="116"/>
      <c r="AD58" s="116"/>
      <c r="AJ58" s="170"/>
    </row>
    <row r="59" spans="2:36" ht="15">
      <c r="B59" s="19" t="s">
        <v>88</v>
      </c>
      <c r="C59" s="5" t="s">
        <v>163</v>
      </c>
      <c r="D59" s="17" t="s">
        <v>235</v>
      </c>
      <c r="E59" s="109" t="str">
        <f t="shared" ref="E59:E93" si="3">DEC2HEX(N59,2)</f>
        <v>68</v>
      </c>
      <c r="F59" s="127"/>
      <c r="G59" s="140">
        <f t="shared" si="0"/>
        <v>104</v>
      </c>
      <c r="H59" s="506" t="s">
        <v>699</v>
      </c>
      <c r="I59" s="506"/>
      <c r="J59" s="143">
        <v>148</v>
      </c>
      <c r="K59" s="132" t="str">
        <f>IF(Main_Parameters!$U$3=1,IF(L59*100&gt;65535,"NG","OK"),"-")</f>
        <v>-</v>
      </c>
      <c r="L59" s="387">
        <f>IF(Main_Parameters!$S$3="Original",Main_Parameters!$C$20,J59)</f>
        <v>148</v>
      </c>
      <c r="M59" s="391"/>
      <c r="N59" s="389">
        <f>IF(Main_Parameters!$S$3="640x480p60Hz (1)",P59,IF(Main_Parameters!$S$3="720x480p60Hz (2)",Q59,IF(Main_Parameters!$S$3="1280x720p60Hz (4)",R59,IF(Main_Parameters!$S$3="1920x1080p60Hz (16)",S59,IF(Main_Parameters!$S$3="1920x1200p60Hz (68)",V59,IF(Main_Parameters!$S$3="2560x1600p60Hz (76)",W59,O59))))))</f>
        <v>104</v>
      </c>
      <c r="O59" s="389">
        <f>HEX2DEC(LEFT(DEC2HEX(L59*100,4),2))</f>
        <v>57</v>
      </c>
      <c r="P59" s="389">
        <v>9</v>
      </c>
      <c r="Q59" s="389">
        <v>10</v>
      </c>
      <c r="R59" s="389">
        <v>29</v>
      </c>
      <c r="S59" s="389">
        <v>58</v>
      </c>
      <c r="T59" s="389">
        <v>25</v>
      </c>
      <c r="U59" s="389">
        <v>27</v>
      </c>
      <c r="V59" s="389">
        <v>60</v>
      </c>
      <c r="W59" s="389">
        <v>104</v>
      </c>
      <c r="X59" s="376"/>
      <c r="Y59" s="376"/>
      <c r="Z59" s="220"/>
      <c r="AA59" s="116"/>
      <c r="AB59" s="116"/>
      <c r="AC59" s="116"/>
      <c r="AD59" s="116"/>
      <c r="AJ59" s="170"/>
    </row>
    <row r="60" spans="2:36" ht="15">
      <c r="B60" s="19" t="s">
        <v>88</v>
      </c>
      <c r="C60" s="5" t="s">
        <v>163</v>
      </c>
      <c r="D60" s="17" t="s">
        <v>236</v>
      </c>
      <c r="E60" s="109" t="str">
        <f t="shared" si="3"/>
        <v>00</v>
      </c>
      <c r="F60" s="127" t="s">
        <v>567</v>
      </c>
      <c r="G60" s="140">
        <f t="shared" si="0"/>
        <v>0</v>
      </c>
      <c r="H60" s="506" t="s">
        <v>698</v>
      </c>
      <c r="I60" s="506"/>
      <c r="J60" s="142">
        <v>1080</v>
      </c>
      <c r="K60" s="132" t="str">
        <f>IF(Main_Parameters!$U$3=1,IF(L60&gt;4095,"NG","OK"),"-")</f>
        <v>-</v>
      </c>
      <c r="L60" s="387">
        <f>IF(Main_Parameters!$S$3="Original",Main_Parameters!$F$20,J60)</f>
        <v>1080</v>
      </c>
      <c r="M60" s="391"/>
      <c r="N60" s="389">
        <f>IF(Main_Parameters!$S$3="640x480p60Hz (1)",P60,IF(Main_Parameters!$S$3="720x480p60Hz (2)",Q60,IF(Main_Parameters!$S$3="1280x720p60Hz (4)",R60,IF(Main_Parameters!$S$3="1920x1080p60Hz (16)",S60,IF(Main_Parameters!$S$3="1920x1200p60Hz (68)",V60,IF(Main_Parameters!$S$3="2560x1600p60Hz (76)",W60,O60))))))</f>
        <v>0</v>
      </c>
      <c r="O60" s="389">
        <f>HEX2DEC(RIGHT(DEC2HEX(L60,3),2))</f>
        <v>56</v>
      </c>
      <c r="P60" s="389">
        <v>128</v>
      </c>
      <c r="Q60" s="389">
        <v>208</v>
      </c>
      <c r="R60" s="389">
        <v>0</v>
      </c>
      <c r="S60" s="389">
        <v>128</v>
      </c>
      <c r="T60" s="389">
        <v>0</v>
      </c>
      <c r="U60" s="389">
        <v>0</v>
      </c>
      <c r="V60" s="389">
        <v>128</v>
      </c>
      <c r="W60" s="389">
        <v>0</v>
      </c>
      <c r="X60" s="376"/>
      <c r="Y60" s="376"/>
      <c r="Z60" s="220"/>
      <c r="AA60" s="116"/>
      <c r="AB60" s="116"/>
      <c r="AC60" s="116"/>
      <c r="AD60" s="116"/>
      <c r="AJ60" s="170"/>
    </row>
    <row r="61" spans="2:36" ht="15">
      <c r="B61" s="19" t="s">
        <v>88</v>
      </c>
      <c r="C61" s="5" t="s">
        <v>163</v>
      </c>
      <c r="D61" s="17" t="s">
        <v>237</v>
      </c>
      <c r="E61" s="109" t="str">
        <f t="shared" si="3"/>
        <v>A0</v>
      </c>
      <c r="F61" s="127" t="s">
        <v>568</v>
      </c>
      <c r="G61" s="140">
        <f t="shared" si="0"/>
        <v>160</v>
      </c>
      <c r="H61" s="506" t="s">
        <v>731</v>
      </c>
      <c r="I61" s="506"/>
      <c r="J61" s="142">
        <v>72</v>
      </c>
      <c r="K61" s="132" t="str">
        <f>IF(Main_Parameters!$U$3=1,IF(L61&gt;1023,"NG","OK"),"-")</f>
        <v>-</v>
      </c>
      <c r="L61" s="387">
        <f>IF(Main_Parameters!$S$3="Original",Main_Parameters!$D$20,J61)</f>
        <v>72</v>
      </c>
      <c r="M61" s="391"/>
      <c r="N61" s="389">
        <f>IF(Main_Parameters!$S$3="640x480p60Hz (1)",P61,IF(Main_Parameters!$S$3="720x480p60Hz (2)",Q61,IF(Main_Parameters!$S$3="1280x720p60Hz (4)",R61,IF(Main_Parameters!$S$3="1920x1080p60Hz (16)",S61,IF(Main_Parameters!$S$3="1920x1200p60Hz (68)",V61,IF(Main_Parameters!$S$3="2560x1600p60Hz (76)",W61,O61))))))</f>
        <v>160</v>
      </c>
      <c r="O61" s="389">
        <f>HEX2DEC(RIGHT(DEC2HEX(L61+L62+L63,3),2))</f>
        <v>0</v>
      </c>
      <c r="P61" s="389">
        <v>160</v>
      </c>
      <c r="Q61" s="389">
        <v>138</v>
      </c>
      <c r="R61" s="389">
        <v>114</v>
      </c>
      <c r="S61" s="389">
        <v>24</v>
      </c>
      <c r="T61" s="389">
        <v>64</v>
      </c>
      <c r="U61" s="389">
        <v>160</v>
      </c>
      <c r="V61" s="389">
        <v>160</v>
      </c>
      <c r="W61" s="389">
        <v>160</v>
      </c>
      <c r="X61" s="376"/>
      <c r="Y61" s="376"/>
      <c r="Z61" s="220"/>
      <c r="AA61" s="116"/>
      <c r="AB61" s="116"/>
      <c r="AC61" s="116"/>
      <c r="AD61" s="116"/>
      <c r="AJ61" s="170"/>
    </row>
    <row r="62" spans="2:36" ht="15">
      <c r="B62" s="19" t="s">
        <v>88</v>
      </c>
      <c r="C62" s="5" t="s">
        <v>163</v>
      </c>
      <c r="D62" s="17" t="s">
        <v>238</v>
      </c>
      <c r="E62" s="109" t="str">
        <f t="shared" si="3"/>
        <v>A0</v>
      </c>
      <c r="F62" s="127" t="s">
        <v>569</v>
      </c>
      <c r="G62" s="140">
        <f t="shared" si="0"/>
        <v>160</v>
      </c>
      <c r="H62" s="506" t="s">
        <v>693</v>
      </c>
      <c r="I62" s="506"/>
      <c r="J62" s="142">
        <v>128</v>
      </c>
      <c r="K62" s="132" t="str">
        <f>IF(Main_Parameters!$U$3=1,IF(L61+L62+L63&gt;4095,"NG","OK"),"-")</f>
        <v>-</v>
      </c>
      <c r="L62" s="387">
        <f>IF(Main_Parameters!$S$3="Original",Main_Parameters!$E$20,J62)</f>
        <v>128</v>
      </c>
      <c r="M62" s="391"/>
      <c r="N62" s="389">
        <f>IF(Main_Parameters!$S$3="640x480p60Hz (1)",P62,IF(Main_Parameters!$S$3="720x480p60Hz (2)",Q62,IF(Main_Parameters!$S$3="1280x720p60Hz (4)",R62,IF(Main_Parameters!$S$3="1920x1080p60Hz (16)",S62,IF(Main_Parameters!$S$3="1920x1200p60Hz (68)",V62,IF(Main_Parameters!$S$3="2560x1600p60Hz (76)",W62,O62))))))</f>
        <v>160</v>
      </c>
      <c r="O62" s="389">
        <f>HEX2DEC((LEFT(DEC2HEX(L60,3),1)))*2^4+HEX2DEC(LEFT(DEC2HEX(L61+L62+L63,3),1))</f>
        <v>65</v>
      </c>
      <c r="P62" s="389">
        <v>32</v>
      </c>
      <c r="Q62" s="389">
        <v>32</v>
      </c>
      <c r="R62" s="389">
        <v>81</v>
      </c>
      <c r="S62" s="389">
        <v>113</v>
      </c>
      <c r="T62" s="389">
        <v>65</v>
      </c>
      <c r="U62" s="389">
        <v>80</v>
      </c>
      <c r="V62" s="389">
        <v>112</v>
      </c>
      <c r="W62" s="389">
        <v>160</v>
      </c>
      <c r="X62" s="376"/>
      <c r="Y62" s="376"/>
      <c r="Z62" s="220"/>
      <c r="AA62" s="116"/>
      <c r="AB62" s="116"/>
      <c r="AC62" s="116"/>
      <c r="AD62" s="116"/>
      <c r="AJ62" s="170"/>
    </row>
    <row r="63" spans="2:36" ht="15">
      <c r="B63" s="19" t="s">
        <v>88</v>
      </c>
      <c r="C63" s="5" t="s">
        <v>163</v>
      </c>
      <c r="D63" s="17" t="s">
        <v>239</v>
      </c>
      <c r="E63" s="109" t="str">
        <f t="shared" si="3"/>
        <v>40</v>
      </c>
      <c r="F63" s="127" t="s">
        <v>570</v>
      </c>
      <c r="G63" s="140">
        <f t="shared" si="0"/>
        <v>64</v>
      </c>
      <c r="H63" s="506" t="s">
        <v>732</v>
      </c>
      <c r="I63" s="506"/>
      <c r="J63" s="142">
        <v>56</v>
      </c>
      <c r="K63" s="132" t="str">
        <f>IF(Main_Parameters!$U$3=1,IF(L63&gt;1023,"NG","OK"),"-")</f>
        <v>-</v>
      </c>
      <c r="L63" s="387">
        <f>IF(Main_Parameters!$S$3="Original",Main_Parameters!$G$20,J63)</f>
        <v>56</v>
      </c>
      <c r="M63" s="391"/>
      <c r="N63" s="389">
        <f>IF(Main_Parameters!$S$3="640x480p60Hz (1)",P63,IF(Main_Parameters!$S$3="720x480p60Hz (2)",Q63,IF(Main_Parameters!$S$3="1280x720p60Hz (4)",R63,IF(Main_Parameters!$S$3="1920x1080p60Hz (16)",S63,IF(Main_Parameters!$S$3="1920x1200p60Hz (68)",V63,IF(Main_Parameters!$S$3="2560x1600p60Hz (76)",W63,O63))))))</f>
        <v>64</v>
      </c>
      <c r="O63" s="389">
        <f>HEX2DEC(RIGHT(DEC2HEX(L64,3),2))</f>
        <v>128</v>
      </c>
      <c r="P63" s="389">
        <v>224</v>
      </c>
      <c r="Q63" s="389">
        <v>224</v>
      </c>
      <c r="R63" s="389">
        <v>208</v>
      </c>
      <c r="S63" s="389">
        <v>56</v>
      </c>
      <c r="T63" s="389">
        <v>0</v>
      </c>
      <c r="U63" s="389">
        <v>32</v>
      </c>
      <c r="V63" s="389">
        <v>176</v>
      </c>
      <c r="W63" s="389">
        <v>64</v>
      </c>
      <c r="X63" s="376"/>
      <c r="Y63" s="376"/>
      <c r="Z63" s="220"/>
      <c r="AA63" s="116"/>
      <c r="AB63" s="116"/>
      <c r="AC63" s="116"/>
      <c r="AD63" s="116"/>
      <c r="AJ63" s="170"/>
    </row>
    <row r="64" spans="2:36" ht="15">
      <c r="B64" s="19" t="s">
        <v>88</v>
      </c>
      <c r="C64" s="5" t="s">
        <v>163</v>
      </c>
      <c r="D64" s="17" t="s">
        <v>240</v>
      </c>
      <c r="E64" s="109" t="str">
        <f t="shared" si="3"/>
        <v>2E</v>
      </c>
      <c r="F64" s="127" t="s">
        <v>571</v>
      </c>
      <c r="G64" s="140">
        <f t="shared" si="0"/>
        <v>46</v>
      </c>
      <c r="H64" s="506" t="s">
        <v>697</v>
      </c>
      <c r="I64" s="506"/>
      <c r="J64" s="142">
        <v>1920</v>
      </c>
      <c r="K64" s="132" t="str">
        <f>IF(Main_Parameters!$U$3=1,IF(L64&gt;4095,"NG","OK"),"-")</f>
        <v>-</v>
      </c>
      <c r="L64" s="387">
        <f>IF(Main_Parameters!$S$3="Original",Main_Parameters!$J$20,J64)</f>
        <v>1920</v>
      </c>
      <c r="M64" s="391"/>
      <c r="N64" s="389">
        <f>IF(Main_Parameters!$S$3="640x480p60Hz (1)",P64,IF(Main_Parameters!$S$3="720x480p60Hz (2)",Q64,IF(Main_Parameters!$S$3="1280x720p60Hz (4)",R64,IF(Main_Parameters!$S$3="1920x1080p60Hz (16)",S64,IF(Main_Parameters!$S$3="1920x1200p60Hz (68)",V64,IF(Main_Parameters!$S$3="2560x1600p60Hz (76)",W64,O64))))))</f>
        <v>46</v>
      </c>
      <c r="O64" s="389">
        <f>HEX2DEC(RIGHT(DEC2HEX(L65+L66+L67,3),2))</f>
        <v>47</v>
      </c>
      <c r="P64" s="389">
        <v>45</v>
      </c>
      <c r="Q64" s="389">
        <v>45</v>
      </c>
      <c r="R64" s="389">
        <v>30</v>
      </c>
      <c r="S64" s="389">
        <v>45</v>
      </c>
      <c r="T64" s="389">
        <v>38</v>
      </c>
      <c r="U64" s="389">
        <v>23</v>
      </c>
      <c r="V64" s="389">
        <v>35</v>
      </c>
      <c r="W64" s="389">
        <v>46</v>
      </c>
      <c r="X64" s="376"/>
      <c r="Y64" s="376"/>
      <c r="Z64" s="220"/>
      <c r="AA64" s="116"/>
      <c r="AB64" s="116"/>
      <c r="AC64" s="116"/>
      <c r="AD64" s="116"/>
      <c r="AJ64" s="170"/>
    </row>
    <row r="65" spans="2:36" ht="15">
      <c r="B65" s="19" t="s">
        <v>88</v>
      </c>
      <c r="C65" s="5" t="s">
        <v>163</v>
      </c>
      <c r="D65" s="17" t="s">
        <v>241</v>
      </c>
      <c r="E65" s="109" t="str">
        <f t="shared" si="3"/>
        <v>60</v>
      </c>
      <c r="F65" s="127" t="s">
        <v>572</v>
      </c>
      <c r="G65" s="140">
        <f t="shared" si="0"/>
        <v>96</v>
      </c>
      <c r="H65" s="506" t="s">
        <v>733</v>
      </c>
      <c r="I65" s="506"/>
      <c r="J65" s="142">
        <v>10</v>
      </c>
      <c r="K65" s="132" t="str">
        <f>IF(Main_Parameters!$U$3=1,IF(L65&gt;15,"NG","OK"),"-")</f>
        <v>-</v>
      </c>
      <c r="L65" s="387">
        <f>IF(Main_Parameters!$S$3="Original",Main_Parameters!$H$20,J65)</f>
        <v>10</v>
      </c>
      <c r="M65" s="391"/>
      <c r="N65" s="389">
        <f>IF(Main_Parameters!$S$3="640x480p60Hz (1)",P65,IF(Main_Parameters!$S$3="720x480p60Hz (2)",Q65,IF(Main_Parameters!$S$3="1280x720p60Hz (4)",R65,IF(Main_Parameters!$S$3="1920x1080p60Hz (16)",S65,IF(Main_Parameters!$S$3="1920x1200p60Hz (68)",V65,IF(Main_Parameters!$S$3="2560x1600p60Hz (76)",W65,O65))))))</f>
        <v>96</v>
      </c>
      <c r="O65" s="389">
        <f>HEX2DEC((LEFT(DEC2HEX(L64,3),1)))*2^4+HEX2DEC(LEFT(DEC2HEX(L65+L66+L67,3),1))</f>
        <v>112</v>
      </c>
      <c r="P65" s="389">
        <v>16</v>
      </c>
      <c r="Q65" s="389">
        <v>16</v>
      </c>
      <c r="R65" s="389">
        <v>32</v>
      </c>
      <c r="S65" s="389">
        <v>64</v>
      </c>
      <c r="T65" s="389">
        <v>48</v>
      </c>
      <c r="U65" s="389">
        <v>48</v>
      </c>
      <c r="V65" s="389">
        <v>64</v>
      </c>
      <c r="W65" s="389">
        <v>96</v>
      </c>
      <c r="X65" s="376"/>
      <c r="Y65" s="376"/>
      <c r="Z65" s="220"/>
      <c r="AA65" s="116"/>
      <c r="AB65" s="116"/>
      <c r="AC65" s="116"/>
      <c r="AD65" s="116"/>
      <c r="AJ65" s="170"/>
    </row>
    <row r="66" spans="2:36" ht="15">
      <c r="B66" s="19" t="s">
        <v>88</v>
      </c>
      <c r="C66" s="5" t="s">
        <v>163</v>
      </c>
      <c r="D66" s="17" t="s">
        <v>242</v>
      </c>
      <c r="E66" s="109" t="str">
        <f t="shared" si="3"/>
        <v>30</v>
      </c>
      <c r="F66" s="127" t="s">
        <v>573</v>
      </c>
      <c r="G66" s="140">
        <f t="shared" si="0"/>
        <v>48</v>
      </c>
      <c r="H66" s="506" t="s">
        <v>694</v>
      </c>
      <c r="I66" s="506"/>
      <c r="J66" s="142">
        <v>34</v>
      </c>
      <c r="K66" s="132" t="str">
        <f>IF(Main_Parameters!$U$3=1,IF(L65+L66+L67&gt;4095,"NG","OK"),"-")</f>
        <v>-</v>
      </c>
      <c r="L66" s="387">
        <f>IF(Main_Parameters!$S$3="Original",Main_Parameters!$I$20,J66)</f>
        <v>34</v>
      </c>
      <c r="M66" s="391"/>
      <c r="N66" s="389">
        <f>IF(Main_Parameters!$S$3="640x480p60Hz (1)",P66,IF(Main_Parameters!$S$3="720x480p60Hz (2)",Q66,IF(Main_Parameters!$S$3="1280x720p60Hz (4)",R66,IF(Main_Parameters!$S$3="1920x1080p60Hz (16)",S66,IF(Main_Parameters!$S$3="1920x1200p60Hz (68)",V66,IF(Main_Parameters!$S$3="2560x1600p60Hz (76)",W66,O66))))))</f>
        <v>48</v>
      </c>
      <c r="O66" s="389">
        <f>HEX2DEC(RIGHT(DEC2HEX(L63,3),2))</f>
        <v>56</v>
      </c>
      <c r="P66" s="389">
        <v>16</v>
      </c>
      <c r="Q66" s="389">
        <v>16</v>
      </c>
      <c r="R66" s="389">
        <v>110</v>
      </c>
      <c r="S66" s="389">
        <v>88</v>
      </c>
      <c r="T66" s="389">
        <v>24</v>
      </c>
      <c r="U66" s="389">
        <v>48</v>
      </c>
      <c r="V66" s="389">
        <v>48</v>
      </c>
      <c r="W66" s="389">
        <v>48</v>
      </c>
      <c r="X66" s="376"/>
      <c r="Y66" s="376"/>
      <c r="Z66" s="220"/>
      <c r="AA66" s="116"/>
      <c r="AB66" s="116"/>
      <c r="AC66" s="116"/>
      <c r="AD66" s="116"/>
      <c r="AJ66" s="170"/>
    </row>
    <row r="67" spans="2:36" ht="15">
      <c r="B67" s="19" t="s">
        <v>88</v>
      </c>
      <c r="C67" s="5" t="s">
        <v>163</v>
      </c>
      <c r="D67" s="17" t="s">
        <v>243</v>
      </c>
      <c r="E67" s="109" t="str">
        <f t="shared" si="3"/>
        <v>20</v>
      </c>
      <c r="F67" s="127" t="s">
        <v>574</v>
      </c>
      <c r="G67" s="140">
        <f t="shared" si="0"/>
        <v>32</v>
      </c>
      <c r="H67" s="506" t="s">
        <v>734</v>
      </c>
      <c r="I67" s="506"/>
      <c r="J67" s="142">
        <v>3</v>
      </c>
      <c r="K67" s="132" t="str">
        <f>IF(Main_Parameters!$U$3=1,IF(L67&gt;15,"NG","OK"),"-")</f>
        <v>-</v>
      </c>
      <c r="L67" s="387">
        <f>IF(Main_Parameters!$S$3="Original",Main_Parameters!$K$20,J67)</f>
        <v>3</v>
      </c>
      <c r="M67" s="391"/>
      <c r="N67" s="389">
        <f>IF(Main_Parameters!$S$3="640x480p60Hz (1)",P67,IF(Main_Parameters!$S$3="720x480p60Hz (2)",Q67,IF(Main_Parameters!$S$3="1280x720p60Hz (4)",R67,IF(Main_Parameters!$S$3="1920x1080p60Hz (16)",S67,IF(Main_Parameters!$S$3="1920x1200p60Hz (68)",V67,IF(Main_Parameters!$S$3="2560x1600p60Hz (76)",W67,O67))))))</f>
        <v>32</v>
      </c>
      <c r="O67" s="389">
        <f>HEX2DEC(RIGHT(DEC2HEX(L61,3),2))</f>
        <v>72</v>
      </c>
      <c r="P67" s="389">
        <v>96</v>
      </c>
      <c r="Q67" s="389">
        <v>62</v>
      </c>
      <c r="R67" s="389">
        <v>40</v>
      </c>
      <c r="S67" s="389">
        <v>44</v>
      </c>
      <c r="T67" s="389">
        <v>136</v>
      </c>
      <c r="U67" s="389">
        <v>32</v>
      </c>
      <c r="V67" s="389">
        <v>32</v>
      </c>
      <c r="W67" s="389">
        <v>32</v>
      </c>
      <c r="X67" s="376"/>
      <c r="Y67" s="376"/>
      <c r="Z67" s="220"/>
      <c r="AA67" s="116"/>
      <c r="AB67" s="116"/>
      <c r="AC67" s="116"/>
      <c r="AD67" s="116"/>
      <c r="AJ67" s="170"/>
    </row>
    <row r="68" spans="2:36" ht="15">
      <c r="B68" s="19" t="s">
        <v>88</v>
      </c>
      <c r="C68" s="5" t="s">
        <v>163</v>
      </c>
      <c r="D68" s="17" t="s">
        <v>244</v>
      </c>
      <c r="E68" s="109" t="str">
        <f t="shared" si="3"/>
        <v>36</v>
      </c>
      <c r="F68" s="127" t="s">
        <v>575</v>
      </c>
      <c r="G68" s="140">
        <f t="shared" si="0"/>
        <v>54</v>
      </c>
      <c r="H68" s="506" t="s">
        <v>735</v>
      </c>
      <c r="I68" s="506"/>
      <c r="J68" s="142">
        <v>1080</v>
      </c>
      <c r="K68" s="132" t="str">
        <f>IF(Main_Parameters!$U$3=1,IF(L68&gt;4095,"NG","OK"),"-")</f>
        <v>-</v>
      </c>
      <c r="L68" s="387">
        <f>IF(Main_Parameters!$S$3="Original",Main_Parameters!$F$20,J68)</f>
        <v>1080</v>
      </c>
      <c r="M68" s="391"/>
      <c r="N68" s="389">
        <f>IF(Main_Parameters!$S$3="640x480p60Hz (1)",P68,IF(Main_Parameters!$S$3="720x480p60Hz (2)",Q68,IF(Main_Parameters!$S$3="1280x720p60Hz (4)",R68,IF(Main_Parameters!$S$3="1920x1080p60Hz (16)",S68,IF(Main_Parameters!$S$3="1920x1200p60Hz (68)",V68,IF(Main_Parameters!$S$3="2560x1600p60Hz (76)",W68,O68))))))</f>
        <v>54</v>
      </c>
      <c r="O68" s="389">
        <f>HEX2DEC(RIGHT(DEC2HEX(L67,2),1))*2^4+HEX2DEC(RIGHT(DEC2HEX(L65,2),1))</f>
        <v>58</v>
      </c>
      <c r="P68" s="389">
        <v>162</v>
      </c>
      <c r="Q68" s="389">
        <v>150</v>
      </c>
      <c r="R68" s="389">
        <v>85</v>
      </c>
      <c r="S68" s="389">
        <v>69</v>
      </c>
      <c r="T68" s="389">
        <v>54</v>
      </c>
      <c r="U68" s="389">
        <v>54</v>
      </c>
      <c r="V68" s="389">
        <v>54</v>
      </c>
      <c r="W68" s="389">
        <v>54</v>
      </c>
      <c r="X68" s="376"/>
      <c r="Y68" s="376"/>
      <c r="Z68" s="220"/>
      <c r="AA68" s="116"/>
      <c r="AB68" s="116"/>
      <c r="AC68" s="116"/>
      <c r="AD68" s="116"/>
      <c r="AJ68" s="170"/>
    </row>
    <row r="69" spans="2:36" ht="15">
      <c r="B69" s="19" t="s">
        <v>88</v>
      </c>
      <c r="C69" s="5" t="s">
        <v>163</v>
      </c>
      <c r="D69" s="17" t="s">
        <v>245</v>
      </c>
      <c r="E69" s="109" t="str">
        <f t="shared" si="3"/>
        <v>00</v>
      </c>
      <c r="F69" s="127" t="s">
        <v>576</v>
      </c>
      <c r="G69" s="140">
        <f t="shared" si="0"/>
        <v>0</v>
      </c>
      <c r="H69" s="506" t="s">
        <v>696</v>
      </c>
      <c r="I69" s="506"/>
      <c r="J69" s="142">
        <v>1920</v>
      </c>
      <c r="K69" s="132" t="str">
        <f>IF(Main_Parameters!$U$3=1,IF(L69&gt;4095,"NG","OK"),"-")</f>
        <v>-</v>
      </c>
      <c r="L69" s="387">
        <f>IF(Main_Parameters!$S$3="Original",Main_Parameters!$J$20,J69)</f>
        <v>1920</v>
      </c>
      <c r="M69" s="391"/>
      <c r="N69" s="389">
        <f>IF(Main_Parameters!$S$3="640x480p60Hz (1)",P69,IF(Main_Parameters!$S$3="720x480p60Hz (2)",Q69,IF(Main_Parameters!$S$3="1280x720p60Hz (4)",R69,IF(Main_Parameters!$S$3="1920x1080p60Hz (16)",S69,IF(Main_Parameters!$S$3="1920x1200p60Hz (68)",V69,IF(Main_Parameters!$S$3="2560x1600p60Hz (76)",W69,O69))))))</f>
        <v>0</v>
      </c>
      <c r="O69" s="389">
        <f>HEX2DEC(LEFT(DEC2HEX(L63,3),1))*2^6+HEX2DEC(LEFT(DEC2HEX(L61,3),1))*2^4+HEX2DEC(LEFT(DEC2HEX(L67,2),1))*2^2+HEX2DEC(LEFT(DEC2HEX(L65,2),1))</f>
        <v>0</v>
      </c>
      <c r="P69" s="389">
        <v>0</v>
      </c>
      <c r="Q69" s="389">
        <v>0</v>
      </c>
      <c r="R69" s="389">
        <v>0</v>
      </c>
      <c r="S69" s="389">
        <v>0</v>
      </c>
      <c r="T69" s="389">
        <v>0</v>
      </c>
      <c r="U69" s="389">
        <v>0</v>
      </c>
      <c r="V69" s="389">
        <v>0</v>
      </c>
      <c r="W69" s="389">
        <v>0</v>
      </c>
      <c r="X69" s="376"/>
      <c r="Y69" s="376"/>
      <c r="Z69" s="220"/>
      <c r="AA69" s="116"/>
      <c r="AB69" s="116"/>
      <c r="AC69" s="116"/>
      <c r="AD69" s="116"/>
      <c r="AJ69" s="170"/>
    </row>
    <row r="70" spans="2:36" ht="13.5" customHeight="1">
      <c r="B70" s="19" t="s">
        <v>88</v>
      </c>
      <c r="C70" s="5" t="s">
        <v>163</v>
      </c>
      <c r="D70" s="17" t="s">
        <v>246</v>
      </c>
      <c r="E70" s="109" t="str">
        <f t="shared" si="3"/>
        <v>00</v>
      </c>
      <c r="F70" s="127" t="s">
        <v>577</v>
      </c>
      <c r="G70" s="140">
        <f t="shared" ref="G70:G133" si="4">HEX2DEC(E70)</f>
        <v>0</v>
      </c>
      <c r="H70" s="506" t="s">
        <v>830</v>
      </c>
      <c r="I70" s="506"/>
      <c r="J70" s="14" t="s">
        <v>1165</v>
      </c>
      <c r="K70" s="140">
        <f>IF(L70="Interlace",1,0)</f>
        <v>0</v>
      </c>
      <c r="L70" s="387" t="str">
        <f>IF(Main_Parameters!$S$3="Original",Main_Parameters!$M$21,J70)</f>
        <v>Progressive</v>
      </c>
      <c r="M70" s="392"/>
      <c r="N70" s="389">
        <f>IF(Main_Parameters!$S$3="640x480p60Hz (1)",P70,IF(Main_Parameters!$S$3="720x480p60Hz (2)",Q70,IF(Main_Parameters!$S$3="1280x720p60Hz (4)",R70,IF(Main_Parameters!$S$3="1920x1080p60Hz (16)",S70,IF(Main_Parameters!$S$3="1920x1200p60Hz (68)",V70,IF(Main_Parameters!$S$3="2560x1600p60Hz (76)",W70,O70))))))</f>
        <v>0</v>
      </c>
      <c r="O70" s="389">
        <f>HEX2DEC(RIGHT(DEC2HEX(L68,3),2))</f>
        <v>56</v>
      </c>
      <c r="P70" s="389">
        <v>196</v>
      </c>
      <c r="Q70" s="389">
        <v>19</v>
      </c>
      <c r="R70" s="389">
        <v>196</v>
      </c>
      <c r="S70" s="389">
        <v>196</v>
      </c>
      <c r="T70" s="389">
        <v>0</v>
      </c>
      <c r="U70" s="389">
        <v>0</v>
      </c>
      <c r="V70" s="389">
        <v>128</v>
      </c>
      <c r="W70" s="389">
        <v>0</v>
      </c>
      <c r="X70" s="376"/>
      <c r="Y70" s="376"/>
      <c r="Z70" s="220"/>
      <c r="AA70" s="116"/>
      <c r="AB70" s="116"/>
      <c r="AC70" s="116"/>
      <c r="AD70" s="116"/>
      <c r="AJ70" s="170"/>
    </row>
    <row r="71" spans="2:36" ht="15">
      <c r="B71" s="19" t="s">
        <v>88</v>
      </c>
      <c r="C71" s="5" t="s">
        <v>163</v>
      </c>
      <c r="D71" s="17" t="s">
        <v>247</v>
      </c>
      <c r="E71" s="109" t="str">
        <f t="shared" si="3"/>
        <v>40</v>
      </c>
      <c r="F71" s="127" t="s">
        <v>578</v>
      </c>
      <c r="G71" s="140">
        <f t="shared" si="4"/>
        <v>64</v>
      </c>
      <c r="H71" s="506" t="s">
        <v>831</v>
      </c>
      <c r="I71" s="506"/>
      <c r="J71" s="14" t="s">
        <v>134</v>
      </c>
      <c r="K71" s="140">
        <f>IF(L71="H Active",1,0)</f>
        <v>1</v>
      </c>
      <c r="L71" s="387" t="str">
        <f>IF(Main_Parameters!$S$3="Original",Main_Parameters!$M$24,J71)</f>
        <v>H Active</v>
      </c>
      <c r="M71" s="392"/>
      <c r="N71" s="389">
        <f>IF(Main_Parameters!$S$3="640x480p60Hz (1)",P71,IF(Main_Parameters!$S$3="720x480p60Hz (2)",Q71,IF(Main_Parameters!$S$3="1280x720p60Hz (4)",R71,IF(Main_Parameters!$S$3="1920x1080p60Hz (16)",S71,IF(Main_Parameters!$S$3="1920x1200p60Hz (68)",V71,IF(Main_Parameters!$S$3="2560x1600p60Hz (76)",W71,O71))))))</f>
        <v>64</v>
      </c>
      <c r="O71" s="389">
        <f>HEX2DEC(RIGHT(DEC2HEX(L69,3),2))</f>
        <v>128</v>
      </c>
      <c r="P71" s="389">
        <v>142</v>
      </c>
      <c r="Q71" s="389">
        <v>142</v>
      </c>
      <c r="R71" s="389">
        <v>142</v>
      </c>
      <c r="S71" s="389">
        <v>142</v>
      </c>
      <c r="T71" s="389">
        <v>0</v>
      </c>
      <c r="U71" s="389">
        <v>32</v>
      </c>
      <c r="V71" s="389">
        <v>176</v>
      </c>
      <c r="W71" s="389">
        <v>64</v>
      </c>
      <c r="X71" s="376"/>
      <c r="Y71" s="376"/>
      <c r="Z71" s="220"/>
      <c r="AA71" s="116"/>
      <c r="AB71" s="116"/>
      <c r="AC71" s="116"/>
      <c r="AD71" s="116"/>
      <c r="AJ71" s="170"/>
    </row>
    <row r="72" spans="2:36" ht="15">
      <c r="B72" s="19" t="s">
        <v>88</v>
      </c>
      <c r="C72" s="5" t="s">
        <v>163</v>
      </c>
      <c r="D72" s="17" t="s">
        <v>248</v>
      </c>
      <c r="E72" s="109" t="str">
        <f t="shared" si="3"/>
        <v>A6</v>
      </c>
      <c r="F72" s="127" t="s">
        <v>579</v>
      </c>
      <c r="G72" s="140">
        <f t="shared" si="4"/>
        <v>166</v>
      </c>
      <c r="H72" s="506" t="s">
        <v>832</v>
      </c>
      <c r="I72" s="506"/>
      <c r="J72" s="14" t="s">
        <v>134</v>
      </c>
      <c r="K72" s="140">
        <f>IF(L72="H Active",1,0)</f>
        <v>1</v>
      </c>
      <c r="L72" s="387" t="str">
        <f>IF(Main_Parameters!$S$3="Original",Main_Parameters!$M$23,J72)</f>
        <v>H Active</v>
      </c>
      <c r="M72" s="392"/>
      <c r="N72" s="389">
        <f>IF(Main_Parameters!$S$3="640x480p60Hz (1)",P72,IF(Main_Parameters!$S$3="720x480p60Hz (2)",Q72,IF(Main_Parameters!$S$3="1280x720p60Hz (4)",R72,IF(Main_Parameters!$S$3="1920x1080p60Hz (16)",S72,IF(Main_Parameters!$S$3="1920x1200p60Hz (68)",V72,IF(Main_Parameters!$S$3="2560x1600p60Hz (76)",W72,O72))))))</f>
        <v>166</v>
      </c>
      <c r="O72" s="389">
        <f>HEX2DEC((LEFT(DEC2HEX(L68,3),1)))*2^4+HEX2DEC(LEFT(DEC2HEX(L69,3),1))</f>
        <v>71</v>
      </c>
      <c r="P72" s="389">
        <v>33</v>
      </c>
      <c r="Q72" s="389">
        <v>33</v>
      </c>
      <c r="R72" s="389">
        <v>33</v>
      </c>
      <c r="S72" s="389">
        <v>33</v>
      </c>
      <c r="T72" s="389">
        <v>67</v>
      </c>
      <c r="U72" s="389">
        <v>83</v>
      </c>
      <c r="V72" s="389">
        <v>116</v>
      </c>
      <c r="W72" s="389">
        <v>166</v>
      </c>
      <c r="X72" s="376"/>
      <c r="Y72" s="376"/>
      <c r="Z72" s="220"/>
      <c r="AA72" s="116"/>
      <c r="AB72" s="116"/>
      <c r="AC72" s="116"/>
      <c r="AD72" s="116"/>
      <c r="AJ72" s="170"/>
    </row>
    <row r="73" spans="2:36" hidden="1">
      <c r="B73" s="19" t="s">
        <v>88</v>
      </c>
      <c r="C73" s="5" t="s">
        <v>163</v>
      </c>
      <c r="D73" s="17" t="s">
        <v>249</v>
      </c>
      <c r="E73" s="109" t="str">
        <f t="shared" si="3"/>
        <v>00</v>
      </c>
      <c r="F73" s="127" t="s">
        <v>580</v>
      </c>
      <c r="G73" s="140">
        <f t="shared" si="4"/>
        <v>0</v>
      </c>
      <c r="H73"/>
      <c r="I73"/>
      <c r="J73"/>
      <c r="K73" s="140">
        <f>K70*2^7+3*2^3+K71*2^2+K72*2^1</f>
        <v>30</v>
      </c>
      <c r="L73" s="392"/>
      <c r="M73" s="392"/>
      <c r="N73" s="389">
        <f>IF(Main_Parameters!$S$3="640x480p60Hz (1)",P73,IF(Main_Parameters!$S$3="720x480p60Hz (2)",Q73,IF(Main_Parameters!$S$3="1280x720p60Hz (4)",R73,IF(Main_Parameters!$S$3="1920x1080p60Hz (16)",S73,IF(Main_Parameters!$S$3="1920x1200p60Hz (68)",V73,IF(Main_Parameters!$S$3="2560x1600p60Hz (76)",W73,O73))))))</f>
        <v>0</v>
      </c>
      <c r="O73" s="389">
        <v>0</v>
      </c>
      <c r="P73" s="389">
        <v>0</v>
      </c>
      <c r="Q73" s="389">
        <v>0</v>
      </c>
      <c r="R73" s="389">
        <v>0</v>
      </c>
      <c r="S73" s="389">
        <v>0</v>
      </c>
      <c r="T73" s="389">
        <v>0</v>
      </c>
      <c r="U73" s="389">
        <v>0</v>
      </c>
      <c r="V73" s="389">
        <v>0</v>
      </c>
      <c r="W73" s="389">
        <v>0</v>
      </c>
      <c r="X73" s="376"/>
      <c r="Y73" s="376"/>
      <c r="Z73" s="220"/>
      <c r="AA73" s="116"/>
      <c r="AB73" s="116"/>
      <c r="AC73" s="116"/>
      <c r="AD73" s="116"/>
      <c r="AJ73" s="170"/>
    </row>
    <row r="74" spans="2:36" hidden="1">
      <c r="B74" s="19" t="s">
        <v>88</v>
      </c>
      <c r="C74" s="5" t="s">
        <v>163</v>
      </c>
      <c r="D74" s="17" t="s">
        <v>250</v>
      </c>
      <c r="E74" s="109" t="str">
        <f t="shared" si="3"/>
        <v>00</v>
      </c>
      <c r="F74" s="127" t="s">
        <v>581</v>
      </c>
      <c r="G74" s="140">
        <f t="shared" si="4"/>
        <v>0</v>
      </c>
      <c r="H74"/>
      <c r="I74"/>
      <c r="J74"/>
      <c r="K74"/>
      <c r="L74" s="392"/>
      <c r="M74" s="392"/>
      <c r="N74" s="389">
        <f>IF(Main_Parameters!$S$3="640x480p60Hz (1)",P74,IF(Main_Parameters!$S$3="720x480p60Hz (2)",Q74,IF(Main_Parameters!$S$3="1280x720p60Hz (4)",R74,IF(Main_Parameters!$S$3="1920x1080p60Hz (16)",S74,IF(Main_Parameters!$S$3="1920x1200p60Hz (68)",V74,IF(Main_Parameters!$S$3="2560x1600p60Hz (76)",W74,O74))))))</f>
        <v>0</v>
      </c>
      <c r="O74" s="389">
        <v>0</v>
      </c>
      <c r="P74" s="389">
        <v>0</v>
      </c>
      <c r="Q74" s="389">
        <v>0</v>
      </c>
      <c r="R74" s="389">
        <v>0</v>
      </c>
      <c r="S74" s="389">
        <v>0</v>
      </c>
      <c r="T74" s="389">
        <v>0</v>
      </c>
      <c r="U74" s="389">
        <v>0</v>
      </c>
      <c r="V74" s="389">
        <v>0</v>
      </c>
      <c r="W74" s="389">
        <v>0</v>
      </c>
      <c r="X74" s="376"/>
      <c r="Y74" s="376"/>
      <c r="Z74" s="220"/>
      <c r="AA74" s="116"/>
      <c r="AB74" s="116"/>
      <c r="AC74" s="116"/>
      <c r="AD74" s="116"/>
      <c r="AJ74" s="170"/>
    </row>
    <row r="75" spans="2:36" hidden="1">
      <c r="B75" s="19" t="s">
        <v>88</v>
      </c>
      <c r="C75" s="5" t="s">
        <v>163</v>
      </c>
      <c r="D75" s="17" t="s">
        <v>251</v>
      </c>
      <c r="E75" s="109" t="str">
        <f t="shared" si="3"/>
        <v>18</v>
      </c>
      <c r="F75" s="127" t="s">
        <v>582</v>
      </c>
      <c r="G75" s="140">
        <f t="shared" si="4"/>
        <v>24</v>
      </c>
      <c r="H75"/>
      <c r="I75"/>
      <c r="J75"/>
      <c r="K75" s="140" t="str">
        <f>IF(Main_Parameters!$R$4="Select","Disable","Enable")</f>
        <v>Enable</v>
      </c>
      <c r="L75" s="392"/>
      <c r="M75" s="392"/>
      <c r="N75" s="389">
        <f>IF(Main_Parameters!$S$3="640x480p60Hz (1)",P75,IF(Main_Parameters!$S$3="720x480p60Hz (2)",Q75,IF(Main_Parameters!$S$3="1280x720p60Hz (4)",R75,IF(Main_Parameters!$S$3="1920x1080p60Hz (16)",S75,IF(Main_Parameters!$S$3="1920x1200p60Hz (68)",V75,IF(Main_Parameters!$S$3="2560x1600p60Hz (76)",W75,O75))))))</f>
        <v>24</v>
      </c>
      <c r="O75" s="389">
        <f>K73</f>
        <v>30</v>
      </c>
      <c r="P75" s="389">
        <v>30</v>
      </c>
      <c r="Q75" s="389">
        <v>30</v>
      </c>
      <c r="R75" s="389">
        <v>30</v>
      </c>
      <c r="S75" s="389">
        <v>30</v>
      </c>
      <c r="T75" s="389">
        <v>24</v>
      </c>
      <c r="U75" s="389">
        <v>24</v>
      </c>
      <c r="V75" s="389">
        <v>24</v>
      </c>
      <c r="W75" s="389">
        <v>24</v>
      </c>
      <c r="X75" s="376"/>
      <c r="Y75" s="376"/>
      <c r="Z75" s="220"/>
      <c r="AA75" s="116"/>
      <c r="AB75" s="116"/>
      <c r="AC75" s="116"/>
      <c r="AD75" s="116"/>
      <c r="AJ75" s="170"/>
    </row>
    <row r="76" spans="2:36" ht="15" customHeight="1">
      <c r="B76" s="19" t="s">
        <v>88</v>
      </c>
      <c r="C76" s="5" t="s">
        <v>163</v>
      </c>
      <c r="D76" s="17" t="s">
        <v>252</v>
      </c>
      <c r="E76" s="109" t="str">
        <f t="shared" si="3"/>
        <v>EC</v>
      </c>
      <c r="F76" s="126" t="s">
        <v>599</v>
      </c>
      <c r="G76" s="140">
        <f t="shared" si="4"/>
        <v>236</v>
      </c>
      <c r="H76" s="507" t="s">
        <v>1188</v>
      </c>
      <c r="I76" s="507"/>
      <c r="J76" s="507"/>
      <c r="K76" s="133" t="s">
        <v>700</v>
      </c>
      <c r="L76" s="387"/>
      <c r="M76" s="387"/>
      <c r="N76" s="389">
        <f>IF(Main_Parameters!$S$4="640x480p60Hz (1)",P76,IF(Main_Parameters!$S$4="720x480p60Hz (2)",Q76,IF(Main_Parameters!$S$4="1280x720p60Hz (4)",R76,IF(Main_Parameters!$S$4="1920x1080p60Hz (16)",S76,IF(Main_Parameters!$S$4="1920x1200p60Hz (68)",V76,IF(Main_Parameters!$S$4="2560x1600p60Hz (76)",W76,O76))))))</f>
        <v>236</v>
      </c>
      <c r="O76" s="389">
        <f>HEX2DEC(RIGHT(DEC2HEX(L77*100,4),2))</f>
        <v>140</v>
      </c>
      <c r="P76" s="389">
        <v>216</v>
      </c>
      <c r="Q76" s="389">
        <v>140</v>
      </c>
      <c r="R76" s="389">
        <v>1</v>
      </c>
      <c r="S76" s="389">
        <v>2</v>
      </c>
      <c r="T76" s="389">
        <v>100</v>
      </c>
      <c r="U76" s="389">
        <v>188</v>
      </c>
      <c r="V76" s="389">
        <v>40</v>
      </c>
      <c r="W76" s="389">
        <v>236</v>
      </c>
      <c r="X76" s="376"/>
      <c r="Y76" s="376"/>
      <c r="Z76" s="220"/>
      <c r="AA76" s="116"/>
      <c r="AB76" s="116"/>
      <c r="AC76" s="116"/>
      <c r="AD76" s="116"/>
      <c r="AJ76" s="170"/>
    </row>
    <row r="77" spans="2:36" ht="15">
      <c r="B77" s="19" t="s">
        <v>88</v>
      </c>
      <c r="C77" s="5" t="s">
        <v>163</v>
      </c>
      <c r="D77" s="17" t="s">
        <v>253</v>
      </c>
      <c r="E77" s="109" t="str">
        <f t="shared" si="3"/>
        <v>68</v>
      </c>
      <c r="F77" s="128"/>
      <c r="G77" s="140">
        <f t="shared" si="4"/>
        <v>104</v>
      </c>
      <c r="H77" s="504" t="s">
        <v>699</v>
      </c>
      <c r="I77" s="504"/>
      <c r="J77" s="142">
        <v>27</v>
      </c>
      <c r="K77" s="132" t="str">
        <f>IF(Main_Parameters!$U$4=1,IF(L77*100&gt;65535,"NG","OK"),"-")</f>
        <v>-</v>
      </c>
      <c r="L77" s="387">
        <f>IF(Main_Parameters!$S$4="Original",Main_Parameters!$C$20,J77)</f>
        <v>27</v>
      </c>
      <c r="M77" s="391"/>
      <c r="N77" s="389">
        <f>IF(Main_Parameters!$S$4="640x480p60Hz (1)",P77,IF(Main_Parameters!$S$4="720x480p60Hz (2)",Q77,IF(Main_Parameters!$S$4="1280x720p60Hz (4)",R77,IF(Main_Parameters!$S$4="1920x1080p60Hz (16)",S77,IF(Main_Parameters!$S$4="1920x1200p60Hz (68)",V77,IF(Main_Parameters!$S$4="2560x1600p60Hz (76)",W77,O77))))))</f>
        <v>104</v>
      </c>
      <c r="O77" s="389">
        <f>HEX2DEC(LEFT(DEC2HEX(L77*100,4),2))</f>
        <v>10</v>
      </c>
      <c r="P77" s="389">
        <v>9</v>
      </c>
      <c r="Q77" s="389">
        <v>10</v>
      </c>
      <c r="R77" s="389">
        <v>29</v>
      </c>
      <c r="S77" s="389">
        <v>58</v>
      </c>
      <c r="T77" s="389">
        <v>25</v>
      </c>
      <c r="U77" s="389">
        <v>27</v>
      </c>
      <c r="V77" s="389">
        <v>60</v>
      </c>
      <c r="W77" s="389">
        <v>104</v>
      </c>
      <c r="X77" s="376"/>
      <c r="Y77" s="376"/>
      <c r="Z77" s="220"/>
      <c r="AA77" s="116"/>
      <c r="AB77" s="116"/>
      <c r="AC77" s="116"/>
      <c r="AD77" s="116"/>
      <c r="AJ77" s="170"/>
    </row>
    <row r="78" spans="2:36" ht="15">
      <c r="B78" s="19" t="s">
        <v>88</v>
      </c>
      <c r="C78" s="5" t="s">
        <v>163</v>
      </c>
      <c r="D78" s="17" t="s">
        <v>254</v>
      </c>
      <c r="E78" s="109" t="str">
        <f t="shared" si="3"/>
        <v>00</v>
      </c>
      <c r="F78" s="126" t="s">
        <v>583</v>
      </c>
      <c r="G78" s="140">
        <f t="shared" si="4"/>
        <v>0</v>
      </c>
      <c r="H78" s="504" t="s">
        <v>698</v>
      </c>
      <c r="I78" s="504"/>
      <c r="J78" s="142">
        <v>720</v>
      </c>
      <c r="K78" s="132" t="str">
        <f>IF(Main_Parameters!$U$4=1,IF(L78&gt;4095,"NG","OK"),"-")</f>
        <v>-</v>
      </c>
      <c r="L78" s="387">
        <f>IF(Main_Parameters!$S$4="Original",Main_Parameters!$F$20,J78)</f>
        <v>720</v>
      </c>
      <c r="M78" s="391"/>
      <c r="N78" s="389">
        <f>IF(Main_Parameters!$S$4="640x480p60Hz (1)",P78,IF(Main_Parameters!$S$4="720x480p60Hz (2)",Q78,IF(Main_Parameters!$S$4="1280x720p60Hz (4)",R78,IF(Main_Parameters!$S$4="1920x1080p60Hz (16)",S78,IF(Main_Parameters!$S$4="1920x1200p60Hz (68)",V78,IF(Main_Parameters!$S$4="2560x1600p60Hz (76)",W78,O78))))))</f>
        <v>0</v>
      </c>
      <c r="O78" s="389">
        <f>HEX2DEC(RIGHT(DEC2HEX(L78,3),2))</f>
        <v>208</v>
      </c>
      <c r="P78" s="389">
        <v>128</v>
      </c>
      <c r="Q78" s="389">
        <v>208</v>
      </c>
      <c r="R78" s="389">
        <v>0</v>
      </c>
      <c r="S78" s="389">
        <v>128</v>
      </c>
      <c r="T78" s="389">
        <v>0</v>
      </c>
      <c r="U78" s="389">
        <v>0</v>
      </c>
      <c r="V78" s="389">
        <v>128</v>
      </c>
      <c r="W78" s="389">
        <v>0</v>
      </c>
      <c r="X78" s="376"/>
      <c r="Y78" s="376"/>
      <c r="Z78" s="220"/>
      <c r="AA78" s="116"/>
      <c r="AB78" s="116"/>
      <c r="AC78" s="116"/>
      <c r="AD78" s="116"/>
      <c r="AJ78" s="170"/>
    </row>
    <row r="79" spans="2:36" ht="15">
      <c r="B79" s="19" t="s">
        <v>88</v>
      </c>
      <c r="C79" s="5" t="s">
        <v>163</v>
      </c>
      <c r="D79" s="17" t="s">
        <v>255</v>
      </c>
      <c r="E79" s="109" t="str">
        <f t="shared" si="3"/>
        <v>A0</v>
      </c>
      <c r="F79" s="126" t="s">
        <v>584</v>
      </c>
      <c r="G79" s="140">
        <f t="shared" si="4"/>
        <v>160</v>
      </c>
      <c r="H79" s="504" t="s">
        <v>731</v>
      </c>
      <c r="I79" s="504"/>
      <c r="J79" s="142">
        <v>62</v>
      </c>
      <c r="K79" s="132" t="str">
        <f>IF(Main_Parameters!$U$4=1,IF(L79&gt;1023,"NG","OK"),"-")</f>
        <v>-</v>
      </c>
      <c r="L79" s="387">
        <f>IF(Main_Parameters!$S$4="Original",Main_Parameters!$D$20,J79)</f>
        <v>62</v>
      </c>
      <c r="M79" s="391"/>
      <c r="N79" s="389">
        <f>IF(Main_Parameters!$S$4="640x480p60Hz (1)",P79,IF(Main_Parameters!$S$4="720x480p60Hz (2)",Q79,IF(Main_Parameters!$S$4="1280x720p60Hz (4)",R79,IF(Main_Parameters!$S$4="1920x1080p60Hz (16)",S79,IF(Main_Parameters!$S$4="1920x1200p60Hz (68)",V79,IF(Main_Parameters!$S$4="2560x1600p60Hz (76)",W79,O79))))))</f>
        <v>160</v>
      </c>
      <c r="O79" s="389">
        <f>HEX2DEC(RIGHT(DEC2HEX(L79+L80+L81,3),2))</f>
        <v>138</v>
      </c>
      <c r="P79" s="389">
        <v>160</v>
      </c>
      <c r="Q79" s="389">
        <v>138</v>
      </c>
      <c r="R79" s="389">
        <v>114</v>
      </c>
      <c r="S79" s="389">
        <v>24</v>
      </c>
      <c r="T79" s="389">
        <v>64</v>
      </c>
      <c r="U79" s="389">
        <v>160</v>
      </c>
      <c r="V79" s="389">
        <v>160</v>
      </c>
      <c r="W79" s="389">
        <v>160</v>
      </c>
      <c r="X79" s="376"/>
      <c r="Y79" s="376"/>
      <c r="Z79" s="220"/>
      <c r="AA79" s="116"/>
      <c r="AB79" s="116"/>
      <c r="AC79" s="116"/>
      <c r="AD79" s="116"/>
      <c r="AJ79" s="170"/>
    </row>
    <row r="80" spans="2:36" ht="15">
      <c r="B80" s="19" t="s">
        <v>88</v>
      </c>
      <c r="C80" s="5" t="s">
        <v>163</v>
      </c>
      <c r="D80" s="17" t="s">
        <v>256</v>
      </c>
      <c r="E80" s="109" t="str">
        <f t="shared" si="3"/>
        <v>A0</v>
      </c>
      <c r="F80" s="126" t="s">
        <v>585</v>
      </c>
      <c r="G80" s="140">
        <f t="shared" si="4"/>
        <v>160</v>
      </c>
      <c r="H80" s="504" t="s">
        <v>693</v>
      </c>
      <c r="I80" s="504"/>
      <c r="J80" s="142">
        <v>60</v>
      </c>
      <c r="K80" s="132" t="str">
        <f>IF(Main_Parameters!$U$4=1,IF(L79+L80+L81&gt;4095,"NG","OK"),"-")</f>
        <v>-</v>
      </c>
      <c r="L80" s="387">
        <f>IF(Main_Parameters!$S$4="Original",Main_Parameters!$E$20,J80)</f>
        <v>60</v>
      </c>
      <c r="M80" s="391"/>
      <c r="N80" s="389">
        <f>IF(Main_Parameters!$S$4="640x480p60Hz (1)",P80,IF(Main_Parameters!$S$4="720x480p60Hz (2)",Q80,IF(Main_Parameters!$S$4="1280x720p60Hz (4)",R80,IF(Main_Parameters!$S$4="1920x1080p60Hz (16)",S80,IF(Main_Parameters!$S$4="1920x1200p60Hz (68)",V80,IF(Main_Parameters!$S$4="2560x1600p60Hz (76)",W80,O80))))))</f>
        <v>160</v>
      </c>
      <c r="O80" s="389">
        <f>HEX2DEC((LEFT(DEC2HEX(L78,3),1)))*2^4+HEX2DEC(LEFT(DEC2HEX(L79+L80+L81,3),1))</f>
        <v>32</v>
      </c>
      <c r="P80" s="389">
        <v>32</v>
      </c>
      <c r="Q80" s="389">
        <v>32</v>
      </c>
      <c r="R80" s="389">
        <v>81</v>
      </c>
      <c r="S80" s="389">
        <v>113</v>
      </c>
      <c r="T80" s="389">
        <v>65</v>
      </c>
      <c r="U80" s="389">
        <v>80</v>
      </c>
      <c r="V80" s="389">
        <v>112</v>
      </c>
      <c r="W80" s="389">
        <v>160</v>
      </c>
      <c r="X80" s="376"/>
      <c r="Y80" s="376"/>
      <c r="Z80" s="220"/>
      <c r="AA80" s="116"/>
      <c r="AB80" s="116"/>
      <c r="AC80" s="116"/>
      <c r="AD80" s="116"/>
      <c r="AJ80" s="170"/>
    </row>
    <row r="81" spans="2:36" ht="15">
      <c r="B81" s="19" t="s">
        <v>88</v>
      </c>
      <c r="C81" s="5" t="s">
        <v>163</v>
      </c>
      <c r="D81" s="17" t="s">
        <v>257</v>
      </c>
      <c r="E81" s="109" t="str">
        <f t="shared" si="3"/>
        <v>40</v>
      </c>
      <c r="F81" s="126" t="s">
        <v>586</v>
      </c>
      <c r="G81" s="140">
        <f t="shared" si="4"/>
        <v>64</v>
      </c>
      <c r="H81" s="504" t="s">
        <v>732</v>
      </c>
      <c r="I81" s="504"/>
      <c r="J81" s="142">
        <v>16</v>
      </c>
      <c r="K81" s="132" t="str">
        <f>IF(Main_Parameters!$U$4=1,IF(L81&gt;1023,"NG","OK"),"-")</f>
        <v>-</v>
      </c>
      <c r="L81" s="387">
        <f>IF(Main_Parameters!$S$4="Original",Main_Parameters!$G$20,J81)</f>
        <v>16</v>
      </c>
      <c r="M81" s="391"/>
      <c r="N81" s="389">
        <f>IF(Main_Parameters!$S$4="640x480p60Hz (1)",P81,IF(Main_Parameters!$S$4="720x480p60Hz (2)",Q81,IF(Main_Parameters!$S$4="1280x720p60Hz (4)",R81,IF(Main_Parameters!$S$4="1920x1080p60Hz (16)",S81,IF(Main_Parameters!$S$4="1920x1200p60Hz (68)",V81,IF(Main_Parameters!$S$4="2560x1600p60Hz (76)",W81,O81))))))</f>
        <v>64</v>
      </c>
      <c r="O81" s="389">
        <f>HEX2DEC(RIGHT(DEC2HEX(L82,3),2))</f>
        <v>224</v>
      </c>
      <c r="P81" s="389">
        <v>224</v>
      </c>
      <c r="Q81" s="389">
        <v>224</v>
      </c>
      <c r="R81" s="389">
        <v>208</v>
      </c>
      <c r="S81" s="389">
        <v>56</v>
      </c>
      <c r="T81" s="389">
        <v>0</v>
      </c>
      <c r="U81" s="389">
        <v>32</v>
      </c>
      <c r="V81" s="389">
        <v>176</v>
      </c>
      <c r="W81" s="389">
        <v>64</v>
      </c>
      <c r="X81" s="376"/>
      <c r="Y81" s="376"/>
      <c r="Z81" s="220"/>
      <c r="AA81" s="116"/>
      <c r="AB81" s="116"/>
      <c r="AC81" s="116"/>
      <c r="AD81" s="116"/>
      <c r="AJ81" s="170"/>
    </row>
    <row r="82" spans="2:36" ht="15">
      <c r="B82" s="19" t="s">
        <v>88</v>
      </c>
      <c r="C82" s="5" t="s">
        <v>163</v>
      </c>
      <c r="D82" s="17" t="s">
        <v>258</v>
      </c>
      <c r="E82" s="109" t="str">
        <f t="shared" si="3"/>
        <v>2E</v>
      </c>
      <c r="F82" s="126" t="s">
        <v>587</v>
      </c>
      <c r="G82" s="140">
        <f t="shared" si="4"/>
        <v>46</v>
      </c>
      <c r="H82" s="504" t="s">
        <v>697</v>
      </c>
      <c r="I82" s="504"/>
      <c r="J82" s="142">
        <v>480</v>
      </c>
      <c r="K82" s="132" t="str">
        <f>IF(Main_Parameters!$U$4=1,IF(L82&gt;4095,"NG","OK"),"-")</f>
        <v>-</v>
      </c>
      <c r="L82" s="387">
        <f>IF(Main_Parameters!$S$4="Original",Main_Parameters!$J$20,J82)</f>
        <v>480</v>
      </c>
      <c r="M82" s="391"/>
      <c r="N82" s="389">
        <f>IF(Main_Parameters!$S$4="640x480p60Hz (1)",P82,IF(Main_Parameters!$S$4="720x480p60Hz (2)",Q82,IF(Main_Parameters!$S$4="1280x720p60Hz (4)",R82,IF(Main_Parameters!$S$4="1920x1080p60Hz (16)",S82,IF(Main_Parameters!$S$4="1920x1200p60Hz (68)",V82,IF(Main_Parameters!$S$4="2560x1600p60Hz (76)",W82,O82))))))</f>
        <v>46</v>
      </c>
      <c r="O82" s="389">
        <f>HEX2DEC(RIGHT(DEC2HEX(L83+L84+L85,3),2))</f>
        <v>45</v>
      </c>
      <c r="P82" s="389">
        <v>45</v>
      </c>
      <c r="Q82" s="389">
        <v>45</v>
      </c>
      <c r="R82" s="389">
        <v>30</v>
      </c>
      <c r="S82" s="389">
        <v>45</v>
      </c>
      <c r="T82" s="389">
        <v>38</v>
      </c>
      <c r="U82" s="389">
        <v>23</v>
      </c>
      <c r="V82" s="389">
        <v>35</v>
      </c>
      <c r="W82" s="389">
        <v>46</v>
      </c>
      <c r="X82" s="376"/>
      <c r="Y82" s="376"/>
      <c r="Z82" s="220"/>
      <c r="AA82" s="116"/>
      <c r="AB82" s="116"/>
      <c r="AC82" s="116"/>
      <c r="AD82" s="116"/>
      <c r="AJ82" s="170"/>
    </row>
    <row r="83" spans="2:36" ht="15">
      <c r="B83" s="19" t="s">
        <v>88</v>
      </c>
      <c r="C83" s="5" t="s">
        <v>163</v>
      </c>
      <c r="D83" s="17" t="s">
        <v>259</v>
      </c>
      <c r="E83" s="109" t="str">
        <f t="shared" si="3"/>
        <v>60</v>
      </c>
      <c r="F83" s="126" t="s">
        <v>588</v>
      </c>
      <c r="G83" s="140">
        <f t="shared" si="4"/>
        <v>96</v>
      </c>
      <c r="H83" s="504" t="s">
        <v>733</v>
      </c>
      <c r="I83" s="504"/>
      <c r="J83" s="142">
        <v>6</v>
      </c>
      <c r="K83" s="132" t="str">
        <f>IF(Main_Parameters!$U$4=1,IF(L83&gt;15,"NG","OK"),"-")</f>
        <v>-</v>
      </c>
      <c r="L83" s="387">
        <f>IF(Main_Parameters!$S$4="Original",Main_Parameters!$H$20,J83)</f>
        <v>6</v>
      </c>
      <c r="M83" s="391"/>
      <c r="N83" s="389">
        <f>IF(Main_Parameters!$S$4="640x480p60Hz (1)",P83,IF(Main_Parameters!$S$4="720x480p60Hz (2)",Q83,IF(Main_Parameters!$S$4="1280x720p60Hz (4)",R83,IF(Main_Parameters!$S$4="1920x1080p60Hz (16)",S83,IF(Main_Parameters!$S$4="1920x1200p60Hz (68)",V83,IF(Main_Parameters!$S$4="2560x1600p60Hz (76)",W83,O83))))))</f>
        <v>96</v>
      </c>
      <c r="O83" s="389">
        <f>HEX2DEC((LEFT(DEC2HEX(L82,3),1)))*2^4+HEX2DEC(LEFT(DEC2HEX(L83+L84+L85,3),1))</f>
        <v>16</v>
      </c>
      <c r="P83" s="389">
        <v>16</v>
      </c>
      <c r="Q83" s="389">
        <v>16</v>
      </c>
      <c r="R83" s="389">
        <v>32</v>
      </c>
      <c r="S83" s="389">
        <v>64</v>
      </c>
      <c r="T83" s="389">
        <v>48</v>
      </c>
      <c r="U83" s="389">
        <v>48</v>
      </c>
      <c r="V83" s="389">
        <v>64</v>
      </c>
      <c r="W83" s="389">
        <v>96</v>
      </c>
      <c r="X83" s="376"/>
      <c r="Y83" s="376"/>
      <c r="Z83" s="220"/>
      <c r="AA83" s="116"/>
      <c r="AB83" s="116"/>
      <c r="AC83" s="116"/>
      <c r="AD83" s="116"/>
      <c r="AJ83" s="170"/>
    </row>
    <row r="84" spans="2:36" ht="15">
      <c r="B84" s="19" t="s">
        <v>88</v>
      </c>
      <c r="C84" s="5" t="s">
        <v>163</v>
      </c>
      <c r="D84" s="17" t="s">
        <v>260</v>
      </c>
      <c r="E84" s="109" t="str">
        <f t="shared" si="3"/>
        <v>30</v>
      </c>
      <c r="F84" s="126" t="s">
        <v>589</v>
      </c>
      <c r="G84" s="140">
        <f t="shared" si="4"/>
        <v>48</v>
      </c>
      <c r="H84" s="504" t="s">
        <v>694</v>
      </c>
      <c r="I84" s="504"/>
      <c r="J84" s="142">
        <v>30</v>
      </c>
      <c r="K84" s="132" t="str">
        <f>IF(Main_Parameters!$U$4=1,IF(L83+L84+L85&gt;4095,"NG","OK"),"-")</f>
        <v>-</v>
      </c>
      <c r="L84" s="387">
        <f>IF(Main_Parameters!$S$4="Original",Main_Parameters!$I$20,J84)</f>
        <v>30</v>
      </c>
      <c r="M84" s="391"/>
      <c r="N84" s="389">
        <f>IF(Main_Parameters!$S$4="640x480p60Hz (1)",P84,IF(Main_Parameters!$S$4="720x480p60Hz (2)",Q84,IF(Main_Parameters!$S$4="1280x720p60Hz (4)",R84,IF(Main_Parameters!$S$4="1920x1080p60Hz (16)",S84,IF(Main_Parameters!$S$4="1920x1200p60Hz (68)",V84,IF(Main_Parameters!$S$4="2560x1600p60Hz (76)",W84,O84))))))</f>
        <v>48</v>
      </c>
      <c r="O84" s="389">
        <f>HEX2DEC(RIGHT(DEC2HEX(L81,3),2))</f>
        <v>16</v>
      </c>
      <c r="P84" s="389">
        <v>16</v>
      </c>
      <c r="Q84" s="389">
        <v>16</v>
      </c>
      <c r="R84" s="389">
        <v>110</v>
      </c>
      <c r="S84" s="389">
        <v>88</v>
      </c>
      <c r="T84" s="389">
        <v>24</v>
      </c>
      <c r="U84" s="389">
        <v>48</v>
      </c>
      <c r="V84" s="389">
        <v>48</v>
      </c>
      <c r="W84" s="389">
        <v>48</v>
      </c>
      <c r="X84" s="376"/>
      <c r="Y84" s="376"/>
      <c r="Z84" s="220"/>
      <c r="AA84" s="116"/>
      <c r="AB84" s="116"/>
      <c r="AC84" s="116"/>
      <c r="AD84" s="116"/>
      <c r="AJ84" s="170"/>
    </row>
    <row r="85" spans="2:36" ht="15">
      <c r="B85" s="19" t="s">
        <v>88</v>
      </c>
      <c r="C85" s="5" t="s">
        <v>163</v>
      </c>
      <c r="D85" s="17" t="s">
        <v>261</v>
      </c>
      <c r="E85" s="109" t="str">
        <f t="shared" si="3"/>
        <v>20</v>
      </c>
      <c r="F85" s="126" t="s">
        <v>590</v>
      </c>
      <c r="G85" s="140">
        <f t="shared" si="4"/>
        <v>32</v>
      </c>
      <c r="H85" s="504" t="s">
        <v>734</v>
      </c>
      <c r="I85" s="504"/>
      <c r="J85" s="142">
        <v>9</v>
      </c>
      <c r="K85" s="132" t="str">
        <f>IF(Main_Parameters!$U$4=1,IF(L85&gt;15,"NG","OK"),"-")</f>
        <v>-</v>
      </c>
      <c r="L85" s="387">
        <f>IF(Main_Parameters!$S$4="Original",Main_Parameters!$K$20,J85)</f>
        <v>9</v>
      </c>
      <c r="M85" s="391"/>
      <c r="N85" s="389">
        <f>IF(Main_Parameters!$S$4="640x480p60Hz (1)",P85,IF(Main_Parameters!$S$4="720x480p60Hz (2)",Q85,IF(Main_Parameters!$S$4="1280x720p60Hz (4)",R85,IF(Main_Parameters!$S$4="1920x1080p60Hz (16)",S85,IF(Main_Parameters!$S$4="1920x1200p60Hz (68)",V85,IF(Main_Parameters!$S$4="2560x1600p60Hz (76)",W85,O85))))))</f>
        <v>32</v>
      </c>
      <c r="O85" s="389">
        <f>HEX2DEC(RIGHT(DEC2HEX(L79,3),2))</f>
        <v>62</v>
      </c>
      <c r="P85" s="389">
        <v>96</v>
      </c>
      <c r="Q85" s="389">
        <v>62</v>
      </c>
      <c r="R85" s="389">
        <v>40</v>
      </c>
      <c r="S85" s="389">
        <v>44</v>
      </c>
      <c r="T85" s="389">
        <v>136</v>
      </c>
      <c r="U85" s="389">
        <v>32</v>
      </c>
      <c r="V85" s="389">
        <v>32</v>
      </c>
      <c r="W85" s="389">
        <v>32</v>
      </c>
      <c r="X85" s="376"/>
      <c r="Y85" s="376"/>
      <c r="Z85" s="220"/>
      <c r="AA85" s="116"/>
      <c r="AB85" s="116"/>
      <c r="AC85" s="116"/>
      <c r="AD85" s="116"/>
      <c r="AJ85" s="170"/>
    </row>
    <row r="86" spans="2:36" ht="15">
      <c r="B86" s="19" t="s">
        <v>88</v>
      </c>
      <c r="C86" s="5" t="s">
        <v>163</v>
      </c>
      <c r="D86" s="17" t="s">
        <v>262</v>
      </c>
      <c r="E86" s="109" t="str">
        <f t="shared" si="3"/>
        <v>36</v>
      </c>
      <c r="F86" s="126" t="s">
        <v>591</v>
      </c>
      <c r="G86" s="140">
        <f t="shared" si="4"/>
        <v>54</v>
      </c>
      <c r="H86" s="504" t="s">
        <v>695</v>
      </c>
      <c r="I86" s="504"/>
      <c r="J86" s="142">
        <v>531</v>
      </c>
      <c r="K86" s="132" t="str">
        <f>IF(Main_Parameters!$U$4=1,IF(L86&gt;4095,"NG","OK"),"-")</f>
        <v>-</v>
      </c>
      <c r="L86" s="387">
        <f>IF(Main_Parameters!$S$4="Original",Main_Parameters!$F$20,J86)</f>
        <v>531</v>
      </c>
      <c r="M86" s="391"/>
      <c r="N86" s="389">
        <f>IF(Main_Parameters!$S$4="640x480p60Hz (1)",P86,IF(Main_Parameters!$S$4="720x480p60Hz (2)",Q86,IF(Main_Parameters!$S$4="1280x720p60Hz (4)",R86,IF(Main_Parameters!$S$4="1920x1080p60Hz (16)",S86,IF(Main_Parameters!$S$4="1920x1200p60Hz (68)",V86,IF(Main_Parameters!$S$4="2560x1600p60Hz (76)",W86,O86))))))</f>
        <v>54</v>
      </c>
      <c r="O86" s="389">
        <f>HEX2DEC(RIGHT(DEC2HEX(L85,2),1))*2^4+HEX2DEC(RIGHT(DEC2HEX(L83,2),1))</f>
        <v>150</v>
      </c>
      <c r="P86" s="389">
        <v>162</v>
      </c>
      <c r="Q86" s="389">
        <v>150</v>
      </c>
      <c r="R86" s="389">
        <v>85</v>
      </c>
      <c r="S86" s="389">
        <v>69</v>
      </c>
      <c r="T86" s="389">
        <v>54</v>
      </c>
      <c r="U86" s="389">
        <v>54</v>
      </c>
      <c r="V86" s="389">
        <v>54</v>
      </c>
      <c r="W86" s="389">
        <v>54</v>
      </c>
      <c r="X86" s="376"/>
      <c r="Y86" s="376"/>
      <c r="Z86" s="220"/>
      <c r="AA86" s="116"/>
      <c r="AB86" s="116"/>
      <c r="AC86" s="116"/>
      <c r="AD86" s="116"/>
      <c r="AJ86" s="170"/>
    </row>
    <row r="87" spans="2:36" ht="15">
      <c r="B87" s="19" t="s">
        <v>88</v>
      </c>
      <c r="C87" s="5" t="s">
        <v>163</v>
      </c>
      <c r="D87" s="17" t="s">
        <v>263</v>
      </c>
      <c r="E87" s="109" t="str">
        <f t="shared" si="3"/>
        <v>00</v>
      </c>
      <c r="F87" s="126" t="s">
        <v>592</v>
      </c>
      <c r="G87" s="140">
        <f t="shared" si="4"/>
        <v>0</v>
      </c>
      <c r="H87" s="504" t="s">
        <v>696</v>
      </c>
      <c r="I87" s="504"/>
      <c r="J87" s="142">
        <v>398</v>
      </c>
      <c r="K87" s="132" t="str">
        <f>IF(Main_Parameters!$U$4=1,IF(L87&gt;4095,"NG","OK"),"-")</f>
        <v>-</v>
      </c>
      <c r="L87" s="387">
        <f>IF(Main_Parameters!$S$4="Original",Main_Parameters!$J$20,J87)</f>
        <v>398</v>
      </c>
      <c r="M87" s="391"/>
      <c r="N87" s="389">
        <f>IF(Main_Parameters!$S$4="640x480p60Hz (1)",P87,IF(Main_Parameters!$S$4="720x480p60Hz (2)",Q87,IF(Main_Parameters!$S$4="1280x720p60Hz (4)",R87,IF(Main_Parameters!$S$4="1920x1080p60Hz (16)",S87,IF(Main_Parameters!$S$4="1920x1200p60Hz (68)",V87,IF(Main_Parameters!$S$4="2560x1600p60Hz (76)",W87,O87))))))</f>
        <v>0</v>
      </c>
      <c r="O87" s="389">
        <f>HEX2DEC(LEFT(DEC2HEX(L81,3),1))*2^6+HEX2DEC(LEFT(DEC2HEX(L79,3),1))*2^4+HEX2DEC(LEFT(DEC2HEX(L85,2),1))*2^2+HEX2DEC(LEFT(DEC2HEX(L83,2),1))</f>
        <v>0</v>
      </c>
      <c r="P87" s="389">
        <v>0</v>
      </c>
      <c r="Q87" s="389">
        <v>0</v>
      </c>
      <c r="R87" s="389">
        <v>0</v>
      </c>
      <c r="S87" s="389">
        <v>0</v>
      </c>
      <c r="T87" s="389">
        <v>0</v>
      </c>
      <c r="U87" s="389">
        <v>0</v>
      </c>
      <c r="V87" s="389">
        <v>0</v>
      </c>
      <c r="W87" s="389">
        <v>0</v>
      </c>
      <c r="X87" s="376"/>
      <c r="Y87" s="376"/>
      <c r="Z87" s="220"/>
      <c r="AA87" s="116"/>
      <c r="AB87" s="116"/>
      <c r="AC87" s="116"/>
      <c r="AD87" s="116"/>
      <c r="AJ87" s="170"/>
    </row>
    <row r="88" spans="2:36" ht="15">
      <c r="B88" s="19" t="s">
        <v>88</v>
      </c>
      <c r="C88" s="5" t="s">
        <v>163</v>
      </c>
      <c r="D88" s="17" t="s">
        <v>264</v>
      </c>
      <c r="E88" s="109" t="str">
        <f t="shared" si="3"/>
        <v>00</v>
      </c>
      <c r="F88" s="126" t="s">
        <v>593</v>
      </c>
      <c r="G88" s="140">
        <f t="shared" si="4"/>
        <v>0</v>
      </c>
      <c r="H88" s="504" t="s">
        <v>830</v>
      </c>
      <c r="I88" s="504"/>
      <c r="J88" s="14" t="s">
        <v>1165</v>
      </c>
      <c r="K88" s="140">
        <f>IF(L88="Interlace",1,0)</f>
        <v>0</v>
      </c>
      <c r="L88" s="387" t="str">
        <f>IF(Main_Parameters!$S$4="Original",Main_Parameters!$M$21,J88)</f>
        <v>Progressive</v>
      </c>
      <c r="M88" s="392"/>
      <c r="N88" s="389">
        <f>IF(Main_Parameters!$S$4="640x480p60Hz (1)",P88,IF(Main_Parameters!$S$4="720x480p60Hz (2)",Q88,IF(Main_Parameters!$S$4="1280x720p60Hz (4)",R88,IF(Main_Parameters!$S$4="1920x1080p60Hz (16)",S88,IF(Main_Parameters!$S$4="1920x1200p60Hz (68)",V88,IF(Main_Parameters!$S$4="2560x1600p60Hz (76)",W88,O88))))))</f>
        <v>0</v>
      </c>
      <c r="O88" s="389">
        <f>HEX2DEC(RIGHT(DEC2HEX(L86,3),2))</f>
        <v>19</v>
      </c>
      <c r="P88" s="389">
        <v>196</v>
      </c>
      <c r="Q88" s="389">
        <v>19</v>
      </c>
      <c r="R88" s="389">
        <v>196</v>
      </c>
      <c r="S88" s="389">
        <v>196</v>
      </c>
      <c r="T88" s="389">
        <v>0</v>
      </c>
      <c r="U88" s="389">
        <v>0</v>
      </c>
      <c r="V88" s="389">
        <v>128</v>
      </c>
      <c r="W88" s="389">
        <v>0</v>
      </c>
      <c r="X88" s="376"/>
      <c r="Y88" s="376"/>
      <c r="Z88" s="220"/>
      <c r="AA88" s="116"/>
      <c r="AB88" s="116"/>
      <c r="AC88" s="116"/>
      <c r="AD88" s="116"/>
      <c r="AJ88" s="170"/>
    </row>
    <row r="89" spans="2:36" ht="15">
      <c r="B89" s="19" t="s">
        <v>88</v>
      </c>
      <c r="C89" s="5" t="s">
        <v>163</v>
      </c>
      <c r="D89" s="17" t="s">
        <v>265</v>
      </c>
      <c r="E89" s="109" t="str">
        <f t="shared" si="3"/>
        <v>40</v>
      </c>
      <c r="F89" s="126" t="s">
        <v>594</v>
      </c>
      <c r="G89" s="140">
        <f t="shared" si="4"/>
        <v>64</v>
      </c>
      <c r="H89" s="504" t="s">
        <v>831</v>
      </c>
      <c r="I89" s="504"/>
      <c r="J89" s="14" t="s">
        <v>134</v>
      </c>
      <c r="K89" s="140">
        <f>IF(L89="H Active",1,0)</f>
        <v>1</v>
      </c>
      <c r="L89" s="387" t="str">
        <f>IF(Main_Parameters!$S$4="Original",Main_Parameters!$M$24,J89)</f>
        <v>H Active</v>
      </c>
      <c r="M89" s="392"/>
      <c r="N89" s="389">
        <f>IF(Main_Parameters!$S$4="640x480p60Hz (1)",P89,IF(Main_Parameters!$S$4="720x480p60Hz (2)",Q89,IF(Main_Parameters!$S$4="1280x720p60Hz (4)",R89,IF(Main_Parameters!$S$4="1920x1080p60Hz (16)",S89,IF(Main_Parameters!$S$4="1920x1200p60Hz (68)",V89,IF(Main_Parameters!$S$4="2560x1600p60Hz (76)",W89,O89))))))</f>
        <v>64</v>
      </c>
      <c r="O89" s="389">
        <f>HEX2DEC(RIGHT(DEC2HEX(L87,3),2))</f>
        <v>142</v>
      </c>
      <c r="P89" s="389">
        <v>142</v>
      </c>
      <c r="Q89" s="389">
        <v>142</v>
      </c>
      <c r="R89" s="389">
        <v>142</v>
      </c>
      <c r="S89" s="389">
        <v>142</v>
      </c>
      <c r="T89" s="389">
        <v>0</v>
      </c>
      <c r="U89" s="389">
        <v>32</v>
      </c>
      <c r="V89" s="389">
        <v>176</v>
      </c>
      <c r="W89" s="389">
        <v>64</v>
      </c>
      <c r="X89" s="376"/>
      <c r="Y89" s="376"/>
      <c r="Z89" s="220"/>
      <c r="AA89" s="116"/>
      <c r="AB89" s="116"/>
      <c r="AC89" s="116"/>
      <c r="AD89" s="116"/>
      <c r="AJ89" s="170"/>
    </row>
    <row r="90" spans="2:36" ht="15">
      <c r="B90" s="19" t="s">
        <v>88</v>
      </c>
      <c r="C90" s="5" t="s">
        <v>163</v>
      </c>
      <c r="D90" s="17" t="s">
        <v>266</v>
      </c>
      <c r="E90" s="109" t="str">
        <f t="shared" si="3"/>
        <v>A6</v>
      </c>
      <c r="F90" s="126" t="s">
        <v>595</v>
      </c>
      <c r="G90" s="140">
        <f t="shared" si="4"/>
        <v>166</v>
      </c>
      <c r="H90" s="504" t="s">
        <v>832</v>
      </c>
      <c r="I90" s="504"/>
      <c r="J90" s="14" t="s">
        <v>134</v>
      </c>
      <c r="K90" s="140">
        <f>IF(L90="H Active",1,0)</f>
        <v>1</v>
      </c>
      <c r="L90" s="387" t="str">
        <f>IF(Main_Parameters!$S$4="Original",Main_Parameters!$M$23,J90)</f>
        <v>H Active</v>
      </c>
      <c r="M90" s="392"/>
      <c r="N90" s="389">
        <f>IF(Main_Parameters!$S$4="640x480p60Hz (1)",P90,IF(Main_Parameters!$S$4="720x480p60Hz (2)",Q90,IF(Main_Parameters!$S$4="1280x720p60Hz (4)",R90,IF(Main_Parameters!$S$4="1920x1080p60Hz (16)",S90,IF(Main_Parameters!$S$4="1920x1200p60Hz (68)",V90,IF(Main_Parameters!$S$4="2560x1600p60Hz (76)",W90,O90))))))</f>
        <v>166</v>
      </c>
      <c r="O90" s="389">
        <f>HEX2DEC((LEFT(DEC2HEX(L86,3),1)))*2^4+HEX2DEC(LEFT(DEC2HEX(L87,3),1))</f>
        <v>33</v>
      </c>
      <c r="P90" s="389">
        <v>33</v>
      </c>
      <c r="Q90" s="389">
        <v>33</v>
      </c>
      <c r="R90" s="389">
        <v>33</v>
      </c>
      <c r="S90" s="389">
        <v>33</v>
      </c>
      <c r="T90" s="389">
        <v>67</v>
      </c>
      <c r="U90" s="389">
        <v>83</v>
      </c>
      <c r="V90" s="389">
        <v>116</v>
      </c>
      <c r="W90" s="389">
        <v>166</v>
      </c>
      <c r="X90" s="376"/>
      <c r="Y90" s="376"/>
      <c r="Z90" s="220"/>
      <c r="AA90" s="116"/>
      <c r="AB90" s="116"/>
      <c r="AC90" s="116"/>
      <c r="AD90" s="116"/>
      <c r="AJ90" s="170"/>
    </row>
    <row r="91" spans="2:36" hidden="1">
      <c r="B91" s="19" t="s">
        <v>88</v>
      </c>
      <c r="C91" s="5" t="s">
        <v>163</v>
      </c>
      <c r="D91" s="17" t="s">
        <v>267</v>
      </c>
      <c r="E91" s="109" t="str">
        <f t="shared" si="3"/>
        <v>00</v>
      </c>
      <c r="F91" s="126" t="s">
        <v>596</v>
      </c>
      <c r="G91" s="140">
        <f t="shared" si="4"/>
        <v>0</v>
      </c>
      <c r="H91"/>
      <c r="I91"/>
      <c r="J91"/>
      <c r="K91" s="140">
        <f>K88*2^7+3*2^3+K89*2^2+K90*2^1</f>
        <v>30</v>
      </c>
      <c r="L91" s="392"/>
      <c r="M91" s="392"/>
      <c r="N91" s="389">
        <f>IF(Main_Parameters!$S$4="640x480p60Hz (1)",P91,IF(Main_Parameters!$S$4="720x480p60Hz (2)",Q91,IF(Main_Parameters!$S$4="1280x720p60Hz (4)",R91,IF(Main_Parameters!$S$4="1920x1080p60Hz (16)",S91,IF(Main_Parameters!$S$4="1920x1200p60Hz (68)",V91,IF(Main_Parameters!$S$4="2560x1600p60Hz (76)",W91,O91))))))</f>
        <v>0</v>
      </c>
      <c r="O91" s="389">
        <v>0</v>
      </c>
      <c r="P91" s="389">
        <v>0</v>
      </c>
      <c r="Q91" s="389">
        <v>0</v>
      </c>
      <c r="R91" s="389">
        <v>0</v>
      </c>
      <c r="S91" s="389">
        <v>0</v>
      </c>
      <c r="T91" s="389">
        <v>0</v>
      </c>
      <c r="U91" s="389">
        <v>0</v>
      </c>
      <c r="V91" s="389">
        <v>0</v>
      </c>
      <c r="W91" s="389">
        <v>0</v>
      </c>
      <c r="X91" s="376"/>
      <c r="Y91" s="376"/>
      <c r="Z91" s="220"/>
      <c r="AA91" s="116"/>
      <c r="AB91" s="116"/>
      <c r="AC91" s="116"/>
      <c r="AD91" s="116"/>
      <c r="AJ91" s="170"/>
    </row>
    <row r="92" spans="2:36" hidden="1">
      <c r="B92" s="19" t="s">
        <v>88</v>
      </c>
      <c r="C92" s="5" t="s">
        <v>163</v>
      </c>
      <c r="D92" s="17" t="s">
        <v>268</v>
      </c>
      <c r="E92" s="109" t="str">
        <f t="shared" si="3"/>
        <v>00</v>
      </c>
      <c r="F92" s="126" t="s">
        <v>597</v>
      </c>
      <c r="G92" s="140">
        <f t="shared" si="4"/>
        <v>0</v>
      </c>
      <c r="H92"/>
      <c r="I92"/>
      <c r="J92"/>
      <c r="K92"/>
      <c r="L92" s="392"/>
      <c r="M92" s="392"/>
      <c r="N92" s="389">
        <f>IF(Main_Parameters!$S$4="640x480p60Hz (1)",P92,IF(Main_Parameters!$S$4="720x480p60Hz (2)",Q92,IF(Main_Parameters!$S$4="1280x720p60Hz (4)",R92,IF(Main_Parameters!$S$4="1920x1080p60Hz (16)",S92,IF(Main_Parameters!$S$4="1920x1200p60Hz (68)",V92,IF(Main_Parameters!$S$4="2560x1600p60Hz (76)",W92,O92))))))</f>
        <v>0</v>
      </c>
      <c r="O92" s="389">
        <v>0</v>
      </c>
      <c r="P92" s="389">
        <v>0</v>
      </c>
      <c r="Q92" s="389">
        <v>0</v>
      </c>
      <c r="R92" s="389">
        <v>0</v>
      </c>
      <c r="S92" s="389">
        <v>0</v>
      </c>
      <c r="T92" s="389">
        <v>0</v>
      </c>
      <c r="U92" s="389">
        <v>0</v>
      </c>
      <c r="V92" s="389">
        <v>0</v>
      </c>
      <c r="W92" s="389">
        <v>0</v>
      </c>
      <c r="X92" s="376"/>
      <c r="Y92" s="376"/>
      <c r="Z92" s="220"/>
      <c r="AA92" s="116"/>
      <c r="AB92" s="116"/>
      <c r="AC92" s="116"/>
      <c r="AD92" s="116"/>
      <c r="AJ92" s="170"/>
    </row>
    <row r="93" spans="2:36" hidden="1">
      <c r="B93" s="19" t="s">
        <v>88</v>
      </c>
      <c r="C93" s="5" t="s">
        <v>163</v>
      </c>
      <c r="D93" s="17" t="s">
        <v>269</v>
      </c>
      <c r="E93" s="109" t="str">
        <f t="shared" si="3"/>
        <v>18</v>
      </c>
      <c r="F93" s="126" t="s">
        <v>598</v>
      </c>
      <c r="G93" s="140">
        <f t="shared" si="4"/>
        <v>24</v>
      </c>
      <c r="H93"/>
      <c r="I93"/>
      <c r="J93"/>
      <c r="K93"/>
      <c r="L93" s="392"/>
      <c r="M93" s="392"/>
      <c r="N93" s="389">
        <f>IF(Main_Parameters!$S$4="640x480p60Hz (1)",P93,IF(Main_Parameters!$S$4="720x480p60Hz (2)",Q93,IF(Main_Parameters!$S$4="1280x720p60Hz (4)",R93,IF(Main_Parameters!$S$4="1920x1080p60Hz (16)",S93,IF(Main_Parameters!$S$4="1920x1200p60Hz (68)",V93,IF(Main_Parameters!$S$4="2560x1600p60Hz (76)",W93,O93))))))</f>
        <v>24</v>
      </c>
      <c r="O93" s="389">
        <f>K91</f>
        <v>30</v>
      </c>
      <c r="P93" s="389">
        <v>30</v>
      </c>
      <c r="Q93" s="389">
        <v>30</v>
      </c>
      <c r="R93" s="389">
        <v>30</v>
      </c>
      <c r="S93" s="389">
        <v>30</v>
      </c>
      <c r="T93" s="389">
        <v>24</v>
      </c>
      <c r="U93" s="389">
        <v>24</v>
      </c>
      <c r="V93" s="389">
        <v>24</v>
      </c>
      <c r="W93" s="389">
        <v>24</v>
      </c>
      <c r="X93" s="376"/>
      <c r="Y93" s="376"/>
      <c r="Z93" s="220"/>
      <c r="AA93" s="116"/>
      <c r="AB93" s="116"/>
      <c r="AC93" s="116"/>
      <c r="AD93" s="116"/>
      <c r="AJ93" s="170"/>
    </row>
    <row r="94" spans="2:36" hidden="1">
      <c r="B94" s="19" t="s">
        <v>88</v>
      </c>
      <c r="C94" s="5" t="s">
        <v>163</v>
      </c>
      <c r="D94" s="17" t="s">
        <v>270</v>
      </c>
      <c r="E94" s="89" t="s">
        <v>151</v>
      </c>
      <c r="F94" s="127" t="s">
        <v>639</v>
      </c>
      <c r="G94" s="140">
        <f t="shared" si="4"/>
        <v>0</v>
      </c>
      <c r="H94"/>
      <c r="I94"/>
      <c r="J94"/>
      <c r="K94"/>
      <c r="L94" s="392"/>
      <c r="M94" s="392"/>
      <c r="N94" s="376"/>
      <c r="O94" s="168"/>
      <c r="P94" s="168"/>
      <c r="Q94" s="168"/>
      <c r="R94" s="168"/>
      <c r="S94" s="168"/>
      <c r="T94" s="168"/>
      <c r="U94" s="168"/>
      <c r="V94" s="168"/>
      <c r="W94" s="168"/>
      <c r="X94" s="376"/>
      <c r="Y94" s="376"/>
      <c r="Z94" s="220"/>
      <c r="AA94" s="116"/>
      <c r="AB94" s="116"/>
      <c r="AC94" s="116"/>
      <c r="AD94" s="116"/>
      <c r="AJ94" s="170"/>
    </row>
    <row r="95" spans="2:36" hidden="1">
      <c r="B95" s="19" t="s">
        <v>88</v>
      </c>
      <c r="C95" s="5" t="s">
        <v>163</v>
      </c>
      <c r="D95" s="17" t="s">
        <v>271</v>
      </c>
      <c r="E95" s="89" t="s">
        <v>151</v>
      </c>
      <c r="F95" s="127"/>
      <c r="G95" s="140">
        <f t="shared" si="4"/>
        <v>0</v>
      </c>
      <c r="H95"/>
      <c r="I95"/>
      <c r="J95"/>
      <c r="K95"/>
      <c r="L95" s="392"/>
      <c r="M95" s="392"/>
      <c r="N95" s="376"/>
      <c r="O95" s="376"/>
      <c r="P95" s="376"/>
      <c r="Q95" s="376"/>
      <c r="R95" s="376"/>
      <c r="S95" s="376"/>
      <c r="T95" s="168"/>
      <c r="U95" s="168"/>
      <c r="V95" s="168"/>
      <c r="W95" s="168"/>
      <c r="X95" s="376"/>
      <c r="Y95" s="376"/>
      <c r="Z95" s="220"/>
      <c r="AA95" s="116"/>
      <c r="AB95" s="116"/>
      <c r="AC95" s="116"/>
      <c r="AD95" s="116"/>
      <c r="AJ95" s="170"/>
    </row>
    <row r="96" spans="2:36" hidden="1">
      <c r="B96" s="19" t="s">
        <v>88</v>
      </c>
      <c r="C96" s="5" t="s">
        <v>163</v>
      </c>
      <c r="D96" s="17" t="s">
        <v>272</v>
      </c>
      <c r="E96" s="89" t="s">
        <v>151</v>
      </c>
      <c r="F96" s="127" t="s">
        <v>640</v>
      </c>
      <c r="G96" s="140">
        <f t="shared" si="4"/>
        <v>0</v>
      </c>
      <c r="H96"/>
      <c r="I96"/>
      <c r="J96"/>
      <c r="K96"/>
      <c r="L96" s="392"/>
      <c r="M96" s="392"/>
      <c r="N96" s="376"/>
      <c r="O96" s="376"/>
      <c r="P96" s="376"/>
      <c r="Q96" s="376"/>
      <c r="R96" s="376"/>
      <c r="S96" s="376"/>
      <c r="T96" s="168"/>
      <c r="U96" s="168"/>
      <c r="V96" s="168"/>
      <c r="W96" s="168"/>
      <c r="X96" s="376"/>
      <c r="Y96" s="376"/>
      <c r="Z96" s="220"/>
      <c r="AA96" s="116"/>
      <c r="AB96" s="116"/>
      <c r="AC96" s="116"/>
      <c r="AD96" s="116"/>
      <c r="AJ96" s="170"/>
    </row>
    <row r="97" spans="2:36" hidden="1">
      <c r="B97" s="19" t="s">
        <v>88</v>
      </c>
      <c r="C97" s="5" t="s">
        <v>163</v>
      </c>
      <c r="D97" s="17" t="s">
        <v>273</v>
      </c>
      <c r="E97" s="89" t="s">
        <v>702</v>
      </c>
      <c r="F97" s="127" t="s">
        <v>641</v>
      </c>
      <c r="G97" s="298">
        <f t="shared" si="4"/>
        <v>252</v>
      </c>
      <c r="H97"/>
      <c r="I97"/>
      <c r="J97"/>
      <c r="K97"/>
      <c r="L97" s="392"/>
      <c r="M97" s="392"/>
      <c r="N97" s="376"/>
      <c r="O97" s="376"/>
      <c r="P97" s="376"/>
      <c r="Q97" s="376"/>
      <c r="R97" s="376"/>
      <c r="S97" s="376"/>
      <c r="T97" s="168"/>
      <c r="U97" s="168"/>
      <c r="V97" s="168"/>
      <c r="W97" s="168"/>
      <c r="X97" s="376"/>
      <c r="Y97" s="376"/>
      <c r="Z97" s="220"/>
      <c r="AA97" s="116"/>
      <c r="AB97" s="116"/>
      <c r="AC97" s="116"/>
      <c r="AD97" s="116"/>
      <c r="AJ97" s="170"/>
    </row>
    <row r="98" spans="2:36" ht="15">
      <c r="B98" s="19" t="s">
        <v>88</v>
      </c>
      <c r="C98" s="5" t="s">
        <v>163</v>
      </c>
      <c r="D98" s="17" t="s">
        <v>274</v>
      </c>
      <c r="E98" s="89" t="s">
        <v>151</v>
      </c>
      <c r="F98" s="127" t="s">
        <v>642</v>
      </c>
      <c r="G98" s="140">
        <f t="shared" si="4"/>
        <v>0</v>
      </c>
      <c r="H98" s="505" t="s">
        <v>722</v>
      </c>
      <c r="I98" s="505"/>
      <c r="J98" s="505"/>
      <c r="K98" s="134" t="s">
        <v>700</v>
      </c>
      <c r="L98" s="387"/>
      <c r="M98" s="387"/>
      <c r="N98" s="376"/>
      <c r="O98" s="376"/>
      <c r="P98" s="376"/>
      <c r="Q98" s="376"/>
      <c r="R98" s="376"/>
      <c r="S98" s="376"/>
      <c r="T98" s="168"/>
      <c r="U98" s="168"/>
      <c r="V98" s="168"/>
      <c r="W98" s="168"/>
      <c r="X98" s="376"/>
      <c r="Y98" s="376"/>
      <c r="Z98" s="220"/>
      <c r="AA98" s="116"/>
      <c r="AB98" s="116"/>
      <c r="AC98" s="116"/>
      <c r="AD98" s="116"/>
      <c r="AJ98" s="170"/>
    </row>
    <row r="99" spans="2:36" ht="15">
      <c r="B99" s="19" t="s">
        <v>88</v>
      </c>
      <c r="C99" s="5" t="s">
        <v>163</v>
      </c>
      <c r="D99" s="17" t="s">
        <v>275</v>
      </c>
      <c r="E99" s="109" t="str">
        <f t="shared" ref="E99:E109" si="5">IF(J99="","20",IF(J99="LF","0A",DEC2HEX(CODE(J99),2)))</f>
        <v>54</v>
      </c>
      <c r="F99" s="127" t="s">
        <v>643</v>
      </c>
      <c r="G99" s="140">
        <f t="shared" si="4"/>
        <v>84</v>
      </c>
      <c r="H99" s="508" t="s">
        <v>682</v>
      </c>
      <c r="I99" s="508"/>
      <c r="J99" s="144" t="s">
        <v>781</v>
      </c>
      <c r="K99" s="132" t="str">
        <f t="shared" ref="K99:K109" si="6">IF(J99="","OK",IF(J99="LF","OK",IF(CODE(J99)&gt;=30,IF(CODE(J99)&lt;=126,"OK","NG"),"NG")))</f>
        <v>OK</v>
      </c>
      <c r="L99" s="391"/>
      <c r="M99" s="391"/>
      <c r="N99" s="376"/>
      <c r="O99" s="376"/>
      <c r="P99" s="390" t="s">
        <v>691</v>
      </c>
      <c r="Q99" s="389" t="s">
        <v>690</v>
      </c>
      <c r="R99" s="389" t="s">
        <v>689</v>
      </c>
      <c r="S99" s="389" t="s">
        <v>692</v>
      </c>
      <c r="T99" s="389" t="s">
        <v>1505</v>
      </c>
      <c r="U99" s="389" t="s">
        <v>1506</v>
      </c>
      <c r="V99" s="389" t="s">
        <v>1507</v>
      </c>
      <c r="W99" s="389" t="s">
        <v>1504</v>
      </c>
      <c r="X99" s="376"/>
      <c r="Y99" s="376"/>
      <c r="Z99" s="220"/>
      <c r="AA99" s="116"/>
      <c r="AB99" s="116"/>
      <c r="AC99" s="116"/>
      <c r="AD99" s="116"/>
      <c r="AJ99" s="170"/>
    </row>
    <row r="100" spans="2:36" ht="15">
      <c r="B100" s="19" t="s">
        <v>88</v>
      </c>
      <c r="C100" s="5" t="s">
        <v>163</v>
      </c>
      <c r="D100" s="17" t="s">
        <v>276</v>
      </c>
      <c r="E100" s="109" t="str">
        <f t="shared" si="5"/>
        <v>6F</v>
      </c>
      <c r="F100" s="127"/>
      <c r="G100" s="140">
        <f t="shared" si="4"/>
        <v>111</v>
      </c>
      <c r="H100" s="508" t="s">
        <v>682</v>
      </c>
      <c r="I100" s="508"/>
      <c r="J100" s="144" t="s">
        <v>782</v>
      </c>
      <c r="K100" s="132" t="str">
        <f t="shared" si="6"/>
        <v>OK</v>
      </c>
      <c r="L100" s="391"/>
      <c r="M100" s="391"/>
      <c r="N100" s="376"/>
      <c r="O100" s="168" t="s">
        <v>816</v>
      </c>
      <c r="P100" s="389">
        <v>25.2</v>
      </c>
      <c r="Q100" s="389">
        <v>27.027000000000001</v>
      </c>
      <c r="R100" s="389">
        <v>74.25</v>
      </c>
      <c r="S100" s="389">
        <v>148.5</v>
      </c>
      <c r="T100" s="389">
        <v>65</v>
      </c>
      <c r="U100" s="389">
        <v>71</v>
      </c>
      <c r="V100" s="389">
        <v>154</v>
      </c>
      <c r="W100" s="389">
        <v>268.60000000000002</v>
      </c>
      <c r="X100" s="376"/>
      <c r="Y100" s="376"/>
      <c r="Z100" s="220"/>
      <c r="AA100" s="116"/>
      <c r="AB100" s="116"/>
      <c r="AC100" s="116"/>
      <c r="AD100" s="116"/>
      <c r="AJ100" s="170"/>
    </row>
    <row r="101" spans="2:36" ht="15">
      <c r="B101" s="19" t="s">
        <v>88</v>
      </c>
      <c r="C101" s="5" t="s">
        <v>163</v>
      </c>
      <c r="D101" s="17" t="s">
        <v>277</v>
      </c>
      <c r="E101" s="109" t="str">
        <f t="shared" si="5"/>
        <v>73</v>
      </c>
      <c r="F101" s="127"/>
      <c r="G101" s="140">
        <f t="shared" si="4"/>
        <v>115</v>
      </c>
      <c r="H101" s="508" t="s">
        <v>682</v>
      </c>
      <c r="I101" s="508"/>
      <c r="J101" s="144" t="s">
        <v>783</v>
      </c>
      <c r="K101" s="132" t="str">
        <f t="shared" si="6"/>
        <v>OK</v>
      </c>
      <c r="L101" s="391"/>
      <c r="M101" s="391"/>
      <c r="N101" s="376"/>
      <c r="O101" s="168" t="s">
        <v>817</v>
      </c>
      <c r="P101" s="389">
        <v>96</v>
      </c>
      <c r="Q101" s="389">
        <v>62</v>
      </c>
      <c r="R101" s="389">
        <v>40</v>
      </c>
      <c r="S101" s="387">
        <v>44</v>
      </c>
      <c r="T101" s="389">
        <v>136</v>
      </c>
      <c r="U101" s="389">
        <v>32</v>
      </c>
      <c r="V101" s="389">
        <v>32</v>
      </c>
      <c r="W101" s="389">
        <v>32</v>
      </c>
      <c r="X101" s="376"/>
      <c r="Y101" s="376"/>
      <c r="Z101" s="220"/>
      <c r="AA101" s="116"/>
      <c r="AB101" s="116"/>
      <c r="AC101" s="116"/>
      <c r="AD101" s="116"/>
      <c r="AJ101" s="170"/>
    </row>
    <row r="102" spans="2:36" ht="15">
      <c r="B102" s="19" t="s">
        <v>88</v>
      </c>
      <c r="C102" s="5" t="s">
        <v>163</v>
      </c>
      <c r="D102" s="17" t="s">
        <v>278</v>
      </c>
      <c r="E102" s="109" t="str">
        <f t="shared" si="5"/>
        <v>68</v>
      </c>
      <c r="F102" s="127"/>
      <c r="G102" s="140">
        <f t="shared" si="4"/>
        <v>104</v>
      </c>
      <c r="H102" s="508" t="s">
        <v>682</v>
      </c>
      <c r="I102" s="508"/>
      <c r="J102" s="144" t="s">
        <v>784</v>
      </c>
      <c r="K102" s="132" t="str">
        <f t="shared" si="6"/>
        <v>OK</v>
      </c>
      <c r="L102" s="391"/>
      <c r="M102" s="391"/>
      <c r="N102" s="376"/>
      <c r="O102" s="168" t="s">
        <v>818</v>
      </c>
      <c r="P102" s="389">
        <v>48</v>
      </c>
      <c r="Q102" s="389">
        <v>60</v>
      </c>
      <c r="R102" s="389">
        <v>220</v>
      </c>
      <c r="S102" s="387">
        <v>148</v>
      </c>
      <c r="T102" s="389">
        <v>160</v>
      </c>
      <c r="U102" s="389">
        <v>80</v>
      </c>
      <c r="V102" s="389">
        <v>80</v>
      </c>
      <c r="W102" s="389">
        <v>80</v>
      </c>
      <c r="X102" s="376"/>
      <c r="Y102" s="376"/>
      <c r="Z102" s="220"/>
      <c r="AA102" s="116"/>
      <c r="AB102" s="116"/>
      <c r="AC102" s="116"/>
      <c r="AD102" s="116"/>
      <c r="AJ102" s="170"/>
    </row>
    <row r="103" spans="2:36" ht="15">
      <c r="B103" s="19" t="s">
        <v>88</v>
      </c>
      <c r="C103" s="5" t="s">
        <v>163</v>
      </c>
      <c r="D103" s="17" t="s">
        <v>279</v>
      </c>
      <c r="E103" s="109" t="str">
        <f t="shared" si="5"/>
        <v>69</v>
      </c>
      <c r="F103" s="127"/>
      <c r="G103" s="140">
        <f t="shared" si="4"/>
        <v>105</v>
      </c>
      <c r="H103" s="508" t="s">
        <v>682</v>
      </c>
      <c r="I103" s="508"/>
      <c r="J103" s="144" t="s">
        <v>785</v>
      </c>
      <c r="K103" s="132" t="str">
        <f t="shared" si="6"/>
        <v>OK</v>
      </c>
      <c r="L103" s="391"/>
      <c r="M103" s="391"/>
      <c r="N103" s="376"/>
      <c r="O103" s="168" t="s">
        <v>819</v>
      </c>
      <c r="P103" s="389">
        <v>640</v>
      </c>
      <c r="Q103" s="389">
        <v>720</v>
      </c>
      <c r="R103" s="389">
        <v>1280</v>
      </c>
      <c r="S103" s="387">
        <v>1920</v>
      </c>
      <c r="T103" s="389">
        <v>1024</v>
      </c>
      <c r="U103" s="389">
        <v>1280</v>
      </c>
      <c r="V103" s="389">
        <v>1920</v>
      </c>
      <c r="W103" s="389">
        <v>2560</v>
      </c>
      <c r="X103" s="376"/>
      <c r="Y103" s="376"/>
      <c r="Z103" s="220"/>
      <c r="AA103" s="116"/>
      <c r="AB103" s="116"/>
      <c r="AC103" s="116"/>
      <c r="AD103" s="116"/>
      <c r="AJ103" s="170"/>
    </row>
    <row r="104" spans="2:36" ht="15">
      <c r="B104" s="19" t="s">
        <v>88</v>
      </c>
      <c r="C104" s="5" t="s">
        <v>163</v>
      </c>
      <c r="D104" s="17" t="s">
        <v>280</v>
      </c>
      <c r="E104" s="109" t="str">
        <f t="shared" si="5"/>
        <v>62</v>
      </c>
      <c r="F104" s="127"/>
      <c r="G104" s="140">
        <f t="shared" si="4"/>
        <v>98</v>
      </c>
      <c r="H104" s="508" t="s">
        <v>682</v>
      </c>
      <c r="I104" s="508"/>
      <c r="J104" s="144" t="s">
        <v>786</v>
      </c>
      <c r="K104" s="132" t="str">
        <f t="shared" si="6"/>
        <v>OK</v>
      </c>
      <c r="L104" s="391"/>
      <c r="M104" s="391"/>
      <c r="N104" s="376"/>
      <c r="O104" s="168" t="s">
        <v>820</v>
      </c>
      <c r="P104" s="389">
        <v>16</v>
      </c>
      <c r="Q104" s="389">
        <v>16</v>
      </c>
      <c r="R104" s="389">
        <v>110</v>
      </c>
      <c r="S104" s="387">
        <v>88</v>
      </c>
      <c r="T104" s="389">
        <v>24</v>
      </c>
      <c r="U104" s="389">
        <v>48</v>
      </c>
      <c r="V104" s="389">
        <v>48</v>
      </c>
      <c r="W104" s="389">
        <v>48</v>
      </c>
      <c r="X104" s="376"/>
      <c r="Y104" s="376"/>
      <c r="Z104" s="220"/>
      <c r="AA104" s="116"/>
      <c r="AB104" s="116"/>
      <c r="AC104" s="116"/>
      <c r="AD104" s="116"/>
      <c r="AJ104" s="170"/>
    </row>
    <row r="105" spans="2:36" ht="15">
      <c r="B105" s="19" t="s">
        <v>88</v>
      </c>
      <c r="C105" s="5" t="s">
        <v>163</v>
      </c>
      <c r="D105" s="17" t="s">
        <v>281</v>
      </c>
      <c r="E105" s="109" t="str">
        <f t="shared" si="5"/>
        <v>61</v>
      </c>
      <c r="F105" s="127"/>
      <c r="G105" s="140">
        <f t="shared" si="4"/>
        <v>97</v>
      </c>
      <c r="H105" s="508" t="s">
        <v>682</v>
      </c>
      <c r="I105" s="508"/>
      <c r="J105" s="144" t="s">
        <v>787</v>
      </c>
      <c r="K105" s="132" t="str">
        <f t="shared" si="6"/>
        <v>OK</v>
      </c>
      <c r="L105" s="391"/>
      <c r="M105" s="391"/>
      <c r="N105" s="376"/>
      <c r="O105" s="168" t="s">
        <v>821</v>
      </c>
      <c r="P105" s="389">
        <v>2</v>
      </c>
      <c r="Q105" s="389">
        <v>6</v>
      </c>
      <c r="R105" s="389">
        <v>5</v>
      </c>
      <c r="S105" s="387">
        <v>5</v>
      </c>
      <c r="T105" s="389">
        <v>6</v>
      </c>
      <c r="U105" s="389">
        <v>6</v>
      </c>
      <c r="V105" s="389">
        <v>6</v>
      </c>
      <c r="W105" s="389">
        <v>6</v>
      </c>
      <c r="X105" s="376"/>
      <c r="Y105" s="376"/>
      <c r="Z105" s="220"/>
      <c r="AA105" s="116"/>
      <c r="AB105" s="116"/>
      <c r="AC105" s="116"/>
      <c r="AD105" s="116"/>
      <c r="AJ105" s="170"/>
    </row>
    <row r="106" spans="2:36" ht="15">
      <c r="B106" s="19" t="s">
        <v>88</v>
      </c>
      <c r="C106" s="5" t="s">
        <v>163</v>
      </c>
      <c r="D106" s="17" t="s">
        <v>282</v>
      </c>
      <c r="E106" s="109" t="str">
        <f t="shared" si="5"/>
        <v>2D</v>
      </c>
      <c r="F106" s="127"/>
      <c r="G106" s="140">
        <f t="shared" si="4"/>
        <v>45</v>
      </c>
      <c r="H106" s="508" t="s">
        <v>682</v>
      </c>
      <c r="I106" s="508"/>
      <c r="J106" s="144" t="s">
        <v>512</v>
      </c>
      <c r="K106" s="132" t="str">
        <f t="shared" si="6"/>
        <v>OK</v>
      </c>
      <c r="L106" s="391"/>
      <c r="M106" s="391"/>
      <c r="N106" s="376"/>
      <c r="O106" s="168" t="s">
        <v>822</v>
      </c>
      <c r="P106" s="389">
        <v>33</v>
      </c>
      <c r="Q106" s="389">
        <v>30</v>
      </c>
      <c r="R106" s="389">
        <v>20</v>
      </c>
      <c r="S106" s="387">
        <v>36</v>
      </c>
      <c r="T106" s="389">
        <v>29</v>
      </c>
      <c r="U106" s="389">
        <v>14</v>
      </c>
      <c r="V106" s="389">
        <v>26</v>
      </c>
      <c r="W106" s="389">
        <v>37</v>
      </c>
      <c r="X106" s="376"/>
      <c r="Y106" s="376"/>
      <c r="Z106" s="220"/>
      <c r="AA106" s="116"/>
      <c r="AB106" s="116"/>
      <c r="AC106" s="116"/>
      <c r="AD106" s="116"/>
      <c r="AJ106" s="170"/>
    </row>
    <row r="107" spans="2:36" ht="15">
      <c r="B107" s="19" t="s">
        <v>88</v>
      </c>
      <c r="C107" s="5" t="s">
        <v>163</v>
      </c>
      <c r="D107" s="17" t="s">
        <v>283</v>
      </c>
      <c r="E107" s="109" t="str">
        <f t="shared" si="5"/>
        <v>55</v>
      </c>
      <c r="F107" s="127"/>
      <c r="G107" s="140">
        <f t="shared" si="4"/>
        <v>85</v>
      </c>
      <c r="H107" s="508" t="s">
        <v>682</v>
      </c>
      <c r="I107" s="508"/>
      <c r="J107" s="144" t="s">
        <v>1183</v>
      </c>
      <c r="K107" s="132" t="str">
        <f t="shared" si="6"/>
        <v>OK</v>
      </c>
      <c r="L107" s="391"/>
      <c r="M107" s="391"/>
      <c r="N107" s="376"/>
      <c r="O107" s="168" t="s">
        <v>823</v>
      </c>
      <c r="P107" s="389">
        <v>480</v>
      </c>
      <c r="Q107" s="389">
        <v>480</v>
      </c>
      <c r="R107" s="389">
        <v>720</v>
      </c>
      <c r="S107" s="387">
        <v>1080</v>
      </c>
      <c r="T107" s="389">
        <v>768</v>
      </c>
      <c r="U107" s="389">
        <v>800</v>
      </c>
      <c r="V107" s="389">
        <v>1200</v>
      </c>
      <c r="W107" s="389">
        <v>1600</v>
      </c>
      <c r="X107" s="376"/>
      <c r="Y107" s="376"/>
      <c r="Z107" s="220"/>
      <c r="AA107" s="116"/>
      <c r="AB107" s="116"/>
      <c r="AC107" s="116"/>
      <c r="AD107" s="116"/>
      <c r="AJ107" s="170"/>
    </row>
    <row r="108" spans="2:36" ht="15">
      <c r="B108" s="19" t="s">
        <v>88</v>
      </c>
      <c r="C108" s="5" t="s">
        <v>163</v>
      </c>
      <c r="D108" s="17" t="s">
        <v>284</v>
      </c>
      <c r="E108" s="109" t="str">
        <f t="shared" si="5"/>
        <v>48</v>
      </c>
      <c r="F108" s="127"/>
      <c r="G108" s="140">
        <f t="shared" si="4"/>
        <v>72</v>
      </c>
      <c r="H108" s="508" t="s">
        <v>682</v>
      </c>
      <c r="I108" s="508"/>
      <c r="J108" s="144" t="s">
        <v>788</v>
      </c>
      <c r="K108" s="132" t="str">
        <f t="shared" si="6"/>
        <v>OK</v>
      </c>
      <c r="L108" s="391"/>
      <c r="M108" s="391"/>
      <c r="N108" s="376"/>
      <c r="O108" s="168" t="s">
        <v>824</v>
      </c>
      <c r="P108" s="389">
        <v>10</v>
      </c>
      <c r="Q108" s="389">
        <v>9</v>
      </c>
      <c r="R108" s="389">
        <v>5</v>
      </c>
      <c r="S108" s="387">
        <v>4</v>
      </c>
      <c r="T108" s="389">
        <v>3</v>
      </c>
      <c r="U108" s="389">
        <v>3</v>
      </c>
      <c r="V108" s="389">
        <v>3</v>
      </c>
      <c r="W108" s="389">
        <v>3</v>
      </c>
      <c r="X108" s="376"/>
      <c r="Y108" s="376"/>
      <c r="Z108" s="220"/>
      <c r="AA108" s="116"/>
      <c r="AB108" s="116"/>
      <c r="AC108" s="116"/>
      <c r="AD108" s="116"/>
      <c r="AJ108" s="170"/>
    </row>
    <row r="109" spans="2:36" ht="15">
      <c r="B109" s="19" t="s">
        <v>88</v>
      </c>
      <c r="C109" s="5" t="s">
        <v>163</v>
      </c>
      <c r="D109" s="17" t="s">
        <v>285</v>
      </c>
      <c r="E109" s="109" t="str">
        <f t="shared" si="5"/>
        <v>32</v>
      </c>
      <c r="F109" s="127"/>
      <c r="G109" s="140">
        <f t="shared" si="4"/>
        <v>50</v>
      </c>
      <c r="H109" s="508" t="s">
        <v>682</v>
      </c>
      <c r="I109" s="508"/>
      <c r="J109" s="144" t="s">
        <v>1184</v>
      </c>
      <c r="K109" s="132" t="str">
        <f t="shared" si="6"/>
        <v>OK</v>
      </c>
      <c r="L109" s="391"/>
      <c r="M109" s="391"/>
      <c r="N109" s="376"/>
      <c r="O109" s="168" t="s">
        <v>1553</v>
      </c>
      <c r="P109" s="376"/>
      <c r="Q109" s="376"/>
      <c r="R109" s="376"/>
      <c r="S109" s="376"/>
      <c r="T109" s="168"/>
      <c r="U109" s="376"/>
      <c r="V109" s="376"/>
      <c r="W109" s="376"/>
      <c r="X109" s="376"/>
      <c r="Y109" s="376"/>
      <c r="Z109" s="220"/>
      <c r="AA109" s="116"/>
      <c r="AB109" s="116"/>
      <c r="AC109" s="116"/>
      <c r="AD109" s="116"/>
      <c r="AJ109" s="170"/>
    </row>
    <row r="110" spans="2:36" ht="15">
      <c r="B110" s="19" t="s">
        <v>88</v>
      </c>
      <c r="C110" s="5" t="s">
        <v>163</v>
      </c>
      <c r="D110" s="17" t="s">
        <v>286</v>
      </c>
      <c r="E110" s="109" t="str">
        <f>IF(J110="","20",IF(J110="LF","0A",DEC2HEX(CODE(J110),2)))</f>
        <v>44</v>
      </c>
      <c r="F110" s="127"/>
      <c r="G110" s="140">
        <f t="shared" si="4"/>
        <v>68</v>
      </c>
      <c r="H110" s="508" t="s">
        <v>682</v>
      </c>
      <c r="I110" s="508"/>
      <c r="J110" s="144" t="s">
        <v>1185</v>
      </c>
      <c r="K110" s="132" t="str">
        <f>IF(J110="","OK",IF(J110="LF","OK",IF(CODE(J110)&gt;=30,IF(CODE(J110)&lt;=126,"OK","NG"),"NG")))</f>
        <v>OK</v>
      </c>
      <c r="L110" s="391"/>
      <c r="M110" s="391"/>
      <c r="N110" s="376"/>
      <c r="O110" s="168" t="s">
        <v>1554</v>
      </c>
      <c r="P110" s="376"/>
      <c r="Q110" s="376"/>
      <c r="R110" s="376"/>
      <c r="S110" s="376"/>
      <c r="T110" s="168"/>
      <c r="U110" s="376"/>
      <c r="V110" s="376"/>
      <c r="W110" s="376"/>
      <c r="X110" s="376"/>
      <c r="Y110" s="376"/>
      <c r="Z110" s="220"/>
      <c r="AA110" s="116"/>
      <c r="AB110" s="116"/>
      <c r="AC110" s="116"/>
      <c r="AD110" s="116"/>
      <c r="AJ110" s="170"/>
    </row>
    <row r="111" spans="2:36" ht="15">
      <c r="B111" s="19" t="s">
        <v>88</v>
      </c>
      <c r="C111" s="5" t="s">
        <v>163</v>
      </c>
      <c r="D111" s="17" t="s">
        <v>287</v>
      </c>
      <c r="E111" s="109" t="str">
        <f>IF(J111="","20",IF(J111="LF","0A",DEC2HEX(CODE(J111),2)))</f>
        <v>0A</v>
      </c>
      <c r="F111" s="129"/>
      <c r="G111" s="140">
        <f t="shared" si="4"/>
        <v>10</v>
      </c>
      <c r="H111" s="508" t="s">
        <v>682</v>
      </c>
      <c r="I111" s="508"/>
      <c r="J111" s="145" t="s">
        <v>1182</v>
      </c>
      <c r="K111" s="132" t="str">
        <f>IF(J111="","OK",IF(J111="LF","OK",IF(CODE(J111)&gt;=30,IF(CODE(J111)&lt;=126,"OK","NG"),"NG")))</f>
        <v>OK</v>
      </c>
      <c r="L111" s="391"/>
      <c r="M111" s="391"/>
      <c r="N111" s="376"/>
      <c r="O111" s="376"/>
      <c r="P111" s="376"/>
      <c r="Q111" s="376"/>
      <c r="R111" s="376"/>
      <c r="S111" s="376"/>
      <c r="T111" s="168"/>
      <c r="U111" s="376"/>
      <c r="V111" s="376"/>
      <c r="W111" s="376"/>
      <c r="X111" s="376"/>
      <c r="Y111" s="376"/>
      <c r="Z111" s="220"/>
      <c r="AA111" s="116"/>
      <c r="AB111" s="116"/>
      <c r="AC111" s="116"/>
      <c r="AD111" s="116"/>
      <c r="AJ111" s="170"/>
    </row>
    <row r="112" spans="2:36" hidden="1">
      <c r="B112" s="19" t="s">
        <v>88</v>
      </c>
      <c r="C112" s="5" t="s">
        <v>163</v>
      </c>
      <c r="D112" s="17" t="s">
        <v>288</v>
      </c>
      <c r="E112" s="89" t="s">
        <v>151</v>
      </c>
      <c r="F112" s="130" t="s">
        <v>644</v>
      </c>
      <c r="G112" s="140">
        <f t="shared" si="4"/>
        <v>0</v>
      </c>
      <c r="H112"/>
      <c r="I112"/>
      <c r="J112"/>
      <c r="K112"/>
      <c r="L112" s="392"/>
      <c r="M112" s="392"/>
      <c r="N112" s="376"/>
      <c r="O112" s="376"/>
      <c r="P112" s="376"/>
      <c r="Q112" s="376"/>
      <c r="R112" s="376"/>
      <c r="S112" s="376"/>
      <c r="T112" s="168"/>
      <c r="U112" s="376"/>
      <c r="V112" s="376"/>
      <c r="W112" s="376"/>
      <c r="X112" s="376"/>
      <c r="Y112" s="376"/>
      <c r="Z112" s="220"/>
      <c r="AA112" s="116"/>
      <c r="AB112" s="116"/>
      <c r="AC112" s="116"/>
      <c r="AD112" s="116"/>
      <c r="AJ112" s="170"/>
    </row>
    <row r="113" spans="2:36" hidden="1">
      <c r="B113" s="19" t="s">
        <v>88</v>
      </c>
      <c r="C113" s="5" t="s">
        <v>163</v>
      </c>
      <c r="D113" s="17" t="s">
        <v>289</v>
      </c>
      <c r="E113" s="89" t="s">
        <v>151</v>
      </c>
      <c r="F113" s="130"/>
      <c r="G113" s="140">
        <f t="shared" si="4"/>
        <v>0</v>
      </c>
      <c r="H113"/>
      <c r="I113"/>
      <c r="J113"/>
      <c r="K113"/>
      <c r="L113" s="392"/>
      <c r="M113" s="392"/>
      <c r="N113" s="376"/>
      <c r="O113" s="376"/>
      <c r="P113" s="376"/>
      <c r="Q113" s="376"/>
      <c r="R113" s="376"/>
      <c r="S113" s="376"/>
      <c r="T113" s="168"/>
      <c r="U113" s="376"/>
      <c r="V113" s="376"/>
      <c r="W113" s="376"/>
      <c r="X113" s="376"/>
      <c r="Y113" s="376"/>
      <c r="Z113" s="220"/>
      <c r="AA113" s="116"/>
      <c r="AB113" s="116"/>
      <c r="AC113" s="116"/>
      <c r="AD113" s="116"/>
      <c r="AJ113" s="170"/>
    </row>
    <row r="114" spans="2:36" hidden="1">
      <c r="B114" s="19" t="s">
        <v>88</v>
      </c>
      <c r="C114" s="5" t="s">
        <v>163</v>
      </c>
      <c r="D114" s="17" t="s">
        <v>290</v>
      </c>
      <c r="E114" s="89" t="s">
        <v>151</v>
      </c>
      <c r="F114" s="130" t="s">
        <v>645</v>
      </c>
      <c r="G114" s="140">
        <f t="shared" si="4"/>
        <v>0</v>
      </c>
      <c r="H114"/>
      <c r="I114"/>
      <c r="J114"/>
      <c r="K114"/>
      <c r="L114" s="392"/>
      <c r="M114" s="392"/>
      <c r="N114" s="376"/>
      <c r="O114" s="376"/>
      <c r="P114" s="376"/>
      <c r="Q114" s="376"/>
      <c r="R114" s="376"/>
      <c r="S114" s="376"/>
      <c r="T114" s="168"/>
      <c r="U114" s="376"/>
      <c r="V114" s="376"/>
      <c r="W114" s="376"/>
      <c r="X114" s="376"/>
      <c r="Y114" s="376"/>
      <c r="Z114" s="220"/>
      <c r="AA114" s="116"/>
      <c r="AB114" s="116"/>
      <c r="AC114" s="116"/>
      <c r="AD114" s="116"/>
      <c r="AJ114" s="170"/>
    </row>
    <row r="115" spans="2:36" hidden="1">
      <c r="B115" s="19" t="s">
        <v>88</v>
      </c>
      <c r="C115" s="5" t="s">
        <v>163</v>
      </c>
      <c r="D115" s="17" t="s">
        <v>291</v>
      </c>
      <c r="E115" s="89" t="s">
        <v>704</v>
      </c>
      <c r="F115" s="130" t="s">
        <v>646</v>
      </c>
      <c r="G115" s="298">
        <f t="shared" si="4"/>
        <v>253</v>
      </c>
      <c r="H115"/>
      <c r="I115"/>
      <c r="J115"/>
      <c r="K115"/>
      <c r="L115" s="392"/>
      <c r="M115" s="392"/>
      <c r="N115" s="376"/>
      <c r="O115" s="376"/>
      <c r="P115" s="376"/>
      <c r="Q115" s="376"/>
      <c r="R115" s="376"/>
      <c r="S115" s="376"/>
      <c r="T115" s="168"/>
      <c r="U115" s="376"/>
      <c r="V115" s="376"/>
      <c r="W115" s="376"/>
      <c r="X115" s="376"/>
      <c r="Y115" s="376"/>
      <c r="Z115" s="220"/>
      <c r="AA115" s="116"/>
      <c r="AB115" s="116"/>
      <c r="AC115" s="116"/>
      <c r="AD115" s="116"/>
      <c r="AJ115" s="170"/>
    </row>
    <row r="116" spans="2:36" hidden="1">
      <c r="B116" s="19" t="s">
        <v>88</v>
      </c>
      <c r="C116" s="5" t="s">
        <v>163</v>
      </c>
      <c r="D116" s="17" t="s">
        <v>292</v>
      </c>
      <c r="E116" s="89" t="s">
        <v>151</v>
      </c>
      <c r="F116" s="130" t="s">
        <v>644</v>
      </c>
      <c r="G116" s="298">
        <f t="shared" si="4"/>
        <v>0</v>
      </c>
      <c r="H116"/>
      <c r="I116"/>
      <c r="J116"/>
      <c r="K116"/>
      <c r="L116" s="392"/>
      <c r="M116" s="392"/>
      <c r="N116" s="376"/>
      <c r="O116" s="376"/>
      <c r="P116" s="376"/>
      <c r="Q116" s="376"/>
      <c r="R116" s="376"/>
      <c r="S116" s="376"/>
      <c r="T116" s="168"/>
      <c r="U116" s="376"/>
      <c r="V116" s="376"/>
      <c r="W116" s="376"/>
      <c r="X116" s="376"/>
      <c r="Y116" s="376"/>
      <c r="Z116" s="220"/>
      <c r="AA116" s="116"/>
      <c r="AB116" s="116"/>
      <c r="AC116" s="116"/>
      <c r="AD116" s="116"/>
      <c r="AJ116" s="170"/>
    </row>
    <row r="117" spans="2:36" hidden="1">
      <c r="B117" s="19" t="s">
        <v>88</v>
      </c>
      <c r="C117" s="5" t="s">
        <v>163</v>
      </c>
      <c r="D117" s="17" t="s">
        <v>293</v>
      </c>
      <c r="E117" s="89" t="s">
        <v>688</v>
      </c>
      <c r="F117" s="130" t="s">
        <v>647</v>
      </c>
      <c r="G117" s="298">
        <f t="shared" si="4"/>
        <v>23</v>
      </c>
      <c r="H117"/>
      <c r="I117"/>
      <c r="J117"/>
      <c r="K117"/>
      <c r="L117" s="392"/>
      <c r="M117" s="392"/>
      <c r="N117" s="376"/>
      <c r="O117" s="376"/>
      <c r="P117" s="376"/>
      <c r="Q117" s="376"/>
      <c r="R117" s="376"/>
      <c r="S117" s="376"/>
      <c r="T117" s="168"/>
      <c r="U117" s="376"/>
      <c r="V117" s="376"/>
      <c r="W117" s="376"/>
      <c r="X117" s="376"/>
      <c r="Y117" s="376"/>
      <c r="Z117" s="220"/>
      <c r="AA117" s="116"/>
      <c r="AB117" s="116"/>
      <c r="AC117" s="116"/>
      <c r="AD117" s="116"/>
      <c r="AJ117" s="170"/>
    </row>
    <row r="118" spans="2:36" hidden="1">
      <c r="B118" s="19" t="s">
        <v>88</v>
      </c>
      <c r="C118" s="5" t="s">
        <v>163</v>
      </c>
      <c r="D118" s="17" t="s">
        <v>294</v>
      </c>
      <c r="E118" s="89" t="s">
        <v>705</v>
      </c>
      <c r="F118" s="130" t="s">
        <v>648</v>
      </c>
      <c r="G118" s="298">
        <f t="shared" si="4"/>
        <v>61</v>
      </c>
      <c r="H118"/>
      <c r="I118"/>
      <c r="J118"/>
      <c r="K118"/>
      <c r="L118" s="392"/>
      <c r="M118" s="392"/>
      <c r="N118" s="376"/>
      <c r="O118" s="376"/>
      <c r="P118" s="376"/>
      <c r="Q118" s="376"/>
      <c r="R118" s="376"/>
      <c r="S118" s="376"/>
      <c r="T118" s="168"/>
      <c r="U118" s="376"/>
      <c r="V118" s="376"/>
      <c r="W118" s="376"/>
      <c r="X118" s="376"/>
      <c r="Y118" s="376"/>
      <c r="Z118" s="220"/>
      <c r="AA118" s="116"/>
      <c r="AB118" s="116"/>
      <c r="AC118" s="116"/>
      <c r="AD118" s="116"/>
      <c r="AJ118" s="170"/>
    </row>
    <row r="119" spans="2:36" hidden="1">
      <c r="B119" s="19" t="s">
        <v>88</v>
      </c>
      <c r="C119" s="5" t="s">
        <v>163</v>
      </c>
      <c r="D119" s="17" t="s">
        <v>295</v>
      </c>
      <c r="E119" s="89" t="s">
        <v>706</v>
      </c>
      <c r="F119" s="130" t="s">
        <v>649</v>
      </c>
      <c r="G119" s="298">
        <f t="shared" si="4"/>
        <v>15</v>
      </c>
      <c r="H119"/>
      <c r="I119"/>
      <c r="J119"/>
      <c r="K119"/>
      <c r="L119" s="392"/>
      <c r="M119" s="392"/>
      <c r="N119" s="376"/>
      <c r="O119" s="376"/>
      <c r="P119" s="376"/>
      <c r="Q119" s="376"/>
      <c r="R119" s="376"/>
      <c r="S119" s="376"/>
      <c r="T119" s="168"/>
      <c r="U119" s="376"/>
      <c r="V119" s="376"/>
      <c r="W119" s="376"/>
      <c r="X119" s="376"/>
      <c r="Y119" s="376"/>
      <c r="Z119" s="220"/>
      <c r="AA119" s="116"/>
      <c r="AB119" s="116"/>
      <c r="AC119" s="116"/>
      <c r="AD119" s="116"/>
      <c r="AJ119" s="170"/>
    </row>
    <row r="120" spans="2:36" hidden="1">
      <c r="B120" s="19" t="s">
        <v>88</v>
      </c>
      <c r="C120" s="5" t="s">
        <v>163</v>
      </c>
      <c r="D120" s="17" t="s">
        <v>296</v>
      </c>
      <c r="E120" s="89" t="s">
        <v>707</v>
      </c>
      <c r="F120" s="130" t="s">
        <v>650</v>
      </c>
      <c r="G120" s="298">
        <f t="shared" si="4"/>
        <v>140</v>
      </c>
      <c r="H120"/>
      <c r="I120"/>
      <c r="J120"/>
      <c r="K120"/>
      <c r="L120" s="392"/>
      <c r="M120" s="392"/>
      <c r="N120" s="376"/>
      <c r="O120" s="376"/>
      <c r="P120" s="376"/>
      <c r="Q120" s="376"/>
      <c r="R120" s="376"/>
      <c r="S120" s="376"/>
      <c r="T120" s="168"/>
      <c r="U120" s="376"/>
      <c r="V120" s="376"/>
      <c r="W120" s="376"/>
      <c r="X120" s="376"/>
      <c r="Y120" s="376"/>
      <c r="Z120" s="220"/>
      <c r="AA120" s="116"/>
      <c r="AB120" s="116"/>
      <c r="AC120" s="116"/>
      <c r="AD120" s="116"/>
      <c r="AJ120" s="170"/>
    </row>
    <row r="121" spans="2:36" hidden="1">
      <c r="B121" s="19" t="s">
        <v>88</v>
      </c>
      <c r="C121" s="5" t="s">
        <v>163</v>
      </c>
      <c r="D121" s="17" t="s">
        <v>297</v>
      </c>
      <c r="E121" s="89" t="s">
        <v>688</v>
      </c>
      <c r="F121" s="130" t="s">
        <v>651</v>
      </c>
      <c r="G121" s="298">
        <f t="shared" si="4"/>
        <v>23</v>
      </c>
      <c r="H121"/>
      <c r="I121"/>
      <c r="J121"/>
      <c r="K121"/>
      <c r="L121" s="392"/>
      <c r="M121" s="392"/>
      <c r="N121" s="376"/>
      <c r="O121" s="376"/>
      <c r="P121" s="376"/>
      <c r="Q121" s="376"/>
      <c r="R121" s="376"/>
      <c r="S121" s="376"/>
      <c r="T121" s="168"/>
      <c r="U121" s="376"/>
      <c r="V121" s="376"/>
      <c r="W121" s="376"/>
      <c r="X121" s="376"/>
      <c r="Y121" s="376"/>
      <c r="Z121" s="220"/>
      <c r="AA121" s="116"/>
      <c r="AB121" s="116"/>
      <c r="AC121" s="116"/>
      <c r="AD121" s="116"/>
      <c r="AJ121" s="170"/>
    </row>
    <row r="122" spans="2:36" hidden="1">
      <c r="B122" s="19" t="s">
        <v>88</v>
      </c>
      <c r="C122" s="5" t="s">
        <v>163</v>
      </c>
      <c r="D122" s="17" t="s">
        <v>298</v>
      </c>
      <c r="E122" s="89" t="s">
        <v>151</v>
      </c>
      <c r="F122" s="130" t="s">
        <v>652</v>
      </c>
      <c r="G122" s="298">
        <f t="shared" si="4"/>
        <v>0</v>
      </c>
      <c r="H122"/>
      <c r="I122"/>
      <c r="J122"/>
      <c r="K122"/>
      <c r="L122" s="392"/>
      <c r="M122" s="392"/>
      <c r="N122" s="376"/>
      <c r="O122" s="376"/>
      <c r="P122" s="376"/>
      <c r="Q122" s="376"/>
      <c r="R122" s="376"/>
      <c r="S122" s="376"/>
      <c r="T122" s="168"/>
      <c r="U122" s="376"/>
      <c r="V122" s="376"/>
      <c r="W122" s="376"/>
      <c r="X122" s="376"/>
      <c r="Y122" s="376"/>
      <c r="Z122" s="220"/>
      <c r="AA122" s="116"/>
      <c r="AB122" s="116"/>
      <c r="AC122" s="116"/>
      <c r="AD122" s="116"/>
      <c r="AJ122" s="170"/>
    </row>
    <row r="123" spans="2:36" hidden="1">
      <c r="B123" s="19" t="s">
        <v>88</v>
      </c>
      <c r="C123" s="5" t="s">
        <v>163</v>
      </c>
      <c r="D123" s="17" t="s">
        <v>299</v>
      </c>
      <c r="E123" s="89" t="s">
        <v>148</v>
      </c>
      <c r="F123" s="130" t="s">
        <v>721</v>
      </c>
      <c r="G123" s="298">
        <f t="shared" si="4"/>
        <v>10</v>
      </c>
      <c r="H123"/>
      <c r="I123"/>
      <c r="J123"/>
      <c r="K123"/>
      <c r="L123" s="392"/>
      <c r="M123" s="392"/>
      <c r="N123" s="376"/>
      <c r="O123" s="376"/>
      <c r="P123" s="376"/>
      <c r="Q123" s="376"/>
      <c r="R123" s="376"/>
      <c r="S123" s="376"/>
      <c r="T123" s="168"/>
      <c r="U123" s="376"/>
      <c r="V123" s="376"/>
      <c r="W123" s="376"/>
      <c r="X123" s="376"/>
      <c r="Y123" s="376"/>
      <c r="Z123" s="220"/>
      <c r="AA123" s="116"/>
      <c r="AB123" s="116"/>
      <c r="AC123" s="116"/>
      <c r="AD123" s="116"/>
      <c r="AJ123" s="170"/>
    </row>
    <row r="124" spans="2:36" hidden="1">
      <c r="B124" s="19" t="s">
        <v>88</v>
      </c>
      <c r="C124" s="5" t="s">
        <v>163</v>
      </c>
      <c r="D124" s="17" t="s">
        <v>300</v>
      </c>
      <c r="E124" s="89" t="s">
        <v>653</v>
      </c>
      <c r="F124" s="130"/>
      <c r="G124" s="298">
        <f t="shared" si="4"/>
        <v>32</v>
      </c>
      <c r="H124"/>
      <c r="I124"/>
      <c r="J124"/>
      <c r="K124"/>
      <c r="L124" s="392"/>
      <c r="M124" s="392"/>
      <c r="N124" s="376"/>
      <c r="O124" s="376"/>
      <c r="P124" s="376"/>
      <c r="Q124" s="376"/>
      <c r="R124" s="376"/>
      <c r="S124" s="376"/>
      <c r="T124" s="168"/>
      <c r="U124" s="376"/>
      <c r="V124" s="376"/>
      <c r="W124" s="376"/>
      <c r="X124" s="376"/>
      <c r="Y124" s="376"/>
      <c r="Z124" s="220"/>
      <c r="AA124" s="116"/>
      <c r="AB124" s="116"/>
      <c r="AC124" s="116"/>
      <c r="AD124" s="116"/>
      <c r="AJ124" s="170"/>
    </row>
    <row r="125" spans="2:36" hidden="1">
      <c r="B125" s="19" t="s">
        <v>88</v>
      </c>
      <c r="C125" s="5" t="s">
        <v>163</v>
      </c>
      <c r="D125" s="17" t="s">
        <v>301</v>
      </c>
      <c r="E125" s="89" t="s">
        <v>653</v>
      </c>
      <c r="F125" s="130"/>
      <c r="G125" s="298">
        <f t="shared" si="4"/>
        <v>32</v>
      </c>
      <c r="H125"/>
      <c r="I125"/>
      <c r="J125"/>
      <c r="K125"/>
      <c r="L125" s="392"/>
      <c r="M125" s="392"/>
      <c r="N125" s="376"/>
      <c r="O125" s="376"/>
      <c r="P125" s="376"/>
      <c r="Q125" s="376"/>
      <c r="R125" s="376"/>
      <c r="S125" s="376"/>
      <c r="T125" s="168"/>
      <c r="U125" s="376"/>
      <c r="V125" s="376"/>
      <c r="W125" s="376"/>
      <c r="X125" s="376"/>
      <c r="Y125" s="376"/>
      <c r="Z125" s="220"/>
      <c r="AA125" s="116"/>
      <c r="AB125" s="116"/>
      <c r="AC125" s="116"/>
      <c r="AD125" s="116"/>
      <c r="AJ125" s="170"/>
    </row>
    <row r="126" spans="2:36" hidden="1">
      <c r="B126" s="19" t="s">
        <v>88</v>
      </c>
      <c r="C126" s="5" t="s">
        <v>163</v>
      </c>
      <c r="D126" s="17" t="s">
        <v>302</v>
      </c>
      <c r="E126" s="89" t="s">
        <v>653</v>
      </c>
      <c r="F126" s="130"/>
      <c r="G126" s="140">
        <f t="shared" si="4"/>
        <v>32</v>
      </c>
      <c r="H126"/>
      <c r="I126"/>
      <c r="J126"/>
      <c r="K126"/>
      <c r="L126" s="392"/>
      <c r="M126" s="392"/>
      <c r="N126" s="376"/>
      <c r="O126" s="376"/>
      <c r="P126" s="376"/>
      <c r="Q126" s="376"/>
      <c r="R126" s="376"/>
      <c r="S126" s="376"/>
      <c r="T126" s="168"/>
      <c r="U126" s="376"/>
      <c r="V126" s="376"/>
      <c r="W126" s="376"/>
      <c r="X126" s="376"/>
      <c r="Y126" s="376"/>
      <c r="Z126" s="220"/>
      <c r="AA126" s="116"/>
      <c r="AB126" s="116"/>
      <c r="AC126" s="116"/>
      <c r="AD126" s="116"/>
      <c r="AJ126" s="170"/>
    </row>
    <row r="127" spans="2:36" hidden="1">
      <c r="B127" s="19" t="s">
        <v>88</v>
      </c>
      <c r="C127" s="5" t="s">
        <v>163</v>
      </c>
      <c r="D127" s="17" t="s">
        <v>303</v>
      </c>
      <c r="E127" s="89" t="s">
        <v>653</v>
      </c>
      <c r="F127" s="130"/>
      <c r="G127" s="140">
        <f t="shared" si="4"/>
        <v>32</v>
      </c>
      <c r="H127"/>
      <c r="I127"/>
      <c r="J127"/>
      <c r="K127"/>
      <c r="L127" s="392"/>
      <c r="M127" s="392"/>
      <c r="N127" s="376"/>
      <c r="O127" s="376"/>
      <c r="P127" s="376"/>
      <c r="Q127" s="376"/>
      <c r="R127" s="376"/>
      <c r="S127" s="376"/>
      <c r="T127" s="168"/>
      <c r="U127" s="376"/>
      <c r="V127" s="376"/>
      <c r="W127" s="376"/>
      <c r="X127" s="376"/>
      <c r="Y127" s="376"/>
      <c r="Z127" s="220"/>
      <c r="AA127" s="116"/>
      <c r="AB127" s="116"/>
      <c r="AC127" s="116"/>
      <c r="AD127" s="116"/>
      <c r="AJ127" s="170"/>
    </row>
    <row r="128" spans="2:36" hidden="1">
      <c r="B128" s="19" t="s">
        <v>88</v>
      </c>
      <c r="C128" s="5" t="s">
        <v>163</v>
      </c>
      <c r="D128" s="17" t="s">
        <v>304</v>
      </c>
      <c r="E128" s="89" t="s">
        <v>653</v>
      </c>
      <c r="F128" s="130"/>
      <c r="G128" s="140">
        <f t="shared" si="4"/>
        <v>32</v>
      </c>
      <c r="H128"/>
      <c r="I128"/>
      <c r="J128"/>
      <c r="K128"/>
      <c r="L128" s="392"/>
      <c r="M128" s="392"/>
      <c r="N128" s="376"/>
      <c r="O128" s="376"/>
      <c r="P128" s="376"/>
      <c r="Q128" s="376"/>
      <c r="R128" s="376"/>
      <c r="S128" s="376"/>
      <c r="T128" s="168"/>
      <c r="U128" s="376"/>
      <c r="V128" s="376"/>
      <c r="W128" s="376"/>
      <c r="X128" s="376"/>
      <c r="Y128" s="376"/>
      <c r="Z128" s="220"/>
      <c r="AA128" s="116"/>
      <c r="AB128" s="116"/>
      <c r="AC128" s="116"/>
      <c r="AD128" s="116"/>
      <c r="AJ128" s="170"/>
    </row>
    <row r="129" spans="2:36" hidden="1">
      <c r="B129" s="19" t="s">
        <v>88</v>
      </c>
      <c r="C129" s="5" t="s">
        <v>163</v>
      </c>
      <c r="D129" s="17" t="s">
        <v>305</v>
      </c>
      <c r="E129" s="89" t="s">
        <v>653</v>
      </c>
      <c r="F129" s="130"/>
      <c r="G129" s="140">
        <f t="shared" si="4"/>
        <v>32</v>
      </c>
      <c r="H129"/>
      <c r="I129"/>
      <c r="J129"/>
      <c r="K129"/>
      <c r="L129" s="392"/>
      <c r="M129" s="392"/>
      <c r="N129" s="376"/>
      <c r="O129" s="376"/>
      <c r="P129" s="376"/>
      <c r="Q129" s="376"/>
      <c r="R129" s="376"/>
      <c r="S129" s="376"/>
      <c r="T129" s="168"/>
      <c r="U129" s="376"/>
      <c r="V129" s="376"/>
      <c r="W129" s="376"/>
      <c r="X129" s="376"/>
      <c r="Y129" s="376"/>
      <c r="Z129" s="220"/>
      <c r="AA129" s="116"/>
      <c r="AB129" s="116"/>
      <c r="AC129" s="116"/>
      <c r="AD129" s="116"/>
      <c r="AJ129" s="170"/>
    </row>
    <row r="130" spans="2:36" hidden="1">
      <c r="B130" s="19" t="s">
        <v>88</v>
      </c>
      <c r="C130" s="5" t="s">
        <v>163</v>
      </c>
      <c r="D130" s="17" t="s">
        <v>306</v>
      </c>
      <c r="E130" s="109" t="str">
        <f>IF(Main_Parameters!$R$5="Disable","00","01")</f>
        <v>01</v>
      </c>
      <c r="F130" s="126" t="s">
        <v>600</v>
      </c>
      <c r="G130" s="140">
        <f t="shared" si="4"/>
        <v>1</v>
      </c>
      <c r="H130"/>
      <c r="I130"/>
      <c r="J130"/>
      <c r="K130"/>
      <c r="L130" s="392"/>
      <c r="M130" s="392"/>
      <c r="N130" s="376"/>
      <c r="O130" s="376"/>
      <c r="P130" s="376"/>
      <c r="Q130" s="376"/>
      <c r="R130" s="376"/>
      <c r="S130" s="376"/>
      <c r="T130" s="168"/>
      <c r="U130" s="376"/>
      <c r="V130" s="376"/>
      <c r="W130" s="376"/>
      <c r="X130" s="376"/>
      <c r="Y130" s="376"/>
      <c r="Z130" s="220"/>
      <c r="AA130" s="116"/>
      <c r="AB130" s="116"/>
      <c r="AC130" s="116"/>
      <c r="AD130" s="116"/>
      <c r="AJ130" s="170"/>
    </row>
    <row r="131" spans="2:36" hidden="1">
      <c r="B131" s="19" t="s">
        <v>88</v>
      </c>
      <c r="C131" s="5" t="s">
        <v>163</v>
      </c>
      <c r="D131" s="17" t="s">
        <v>307</v>
      </c>
      <c r="E131" s="109" t="str">
        <f>DEC2HEX(G131,2)</f>
        <v>40</v>
      </c>
      <c r="F131" s="126" t="s">
        <v>666</v>
      </c>
      <c r="G131" s="298">
        <f>MOD(256-MOD(SUM(G4:G130),256),256)</f>
        <v>64</v>
      </c>
      <c r="H131"/>
      <c r="I131"/>
      <c r="J131"/>
      <c r="K131"/>
      <c r="L131" s="392"/>
      <c r="M131" s="392"/>
      <c r="N131" s="376"/>
      <c r="O131" s="376"/>
      <c r="P131" s="376"/>
      <c r="Q131" s="376"/>
      <c r="R131" s="376"/>
      <c r="S131" s="376"/>
      <c r="T131" s="168"/>
      <c r="U131" s="376"/>
      <c r="V131" s="376"/>
      <c r="W131" s="376"/>
      <c r="X131" s="376"/>
      <c r="Y131" s="376"/>
      <c r="Z131" s="220"/>
      <c r="AA131" s="116"/>
      <c r="AB131" s="116"/>
      <c r="AC131" s="116"/>
      <c r="AD131" s="116"/>
      <c r="AJ131" s="170"/>
    </row>
    <row r="132" spans="2:36" hidden="1">
      <c r="B132" s="19" t="s">
        <v>88</v>
      </c>
      <c r="C132" s="5" t="s">
        <v>163</v>
      </c>
      <c r="D132" s="17" t="s">
        <v>308</v>
      </c>
      <c r="E132" s="89" t="s">
        <v>708</v>
      </c>
      <c r="F132" s="127" t="s">
        <v>601</v>
      </c>
      <c r="G132" s="140">
        <f t="shared" si="4"/>
        <v>2</v>
      </c>
      <c r="H132"/>
      <c r="I132"/>
      <c r="J132"/>
      <c r="K132"/>
      <c r="L132" s="392"/>
      <c r="M132" s="392"/>
      <c r="N132" s="376"/>
      <c r="O132" s="376"/>
      <c r="P132" s="376"/>
      <c r="Q132" s="376"/>
      <c r="R132" s="376"/>
      <c r="S132" s="376"/>
      <c r="T132" s="168"/>
      <c r="U132" s="376"/>
      <c r="V132" s="376"/>
      <c r="W132" s="376"/>
      <c r="X132" s="376"/>
      <c r="Y132" s="376"/>
      <c r="Z132" s="220"/>
      <c r="AA132" s="116"/>
      <c r="AB132" s="116"/>
      <c r="AC132" s="116"/>
      <c r="AD132" s="116"/>
      <c r="AJ132" s="170"/>
    </row>
    <row r="133" spans="2:36" hidden="1">
      <c r="B133" s="19" t="s">
        <v>88</v>
      </c>
      <c r="C133" s="5" t="s">
        <v>163</v>
      </c>
      <c r="D133" s="17" t="s">
        <v>309</v>
      </c>
      <c r="E133" s="89" t="s">
        <v>685</v>
      </c>
      <c r="F133" s="127" t="s">
        <v>602</v>
      </c>
      <c r="G133" s="140">
        <f t="shared" si="4"/>
        <v>3</v>
      </c>
      <c r="H133"/>
      <c r="I133"/>
      <c r="J133"/>
      <c r="K133"/>
      <c r="L133" s="392"/>
      <c r="M133" s="392"/>
      <c r="N133" s="376"/>
      <c r="O133" s="376"/>
      <c r="P133" s="376"/>
      <c r="Q133" s="376"/>
      <c r="R133" s="376"/>
      <c r="S133" s="376"/>
      <c r="T133" s="168"/>
      <c r="U133" s="376"/>
      <c r="V133" s="376"/>
      <c r="W133" s="376"/>
      <c r="X133" s="376"/>
      <c r="Y133" s="376"/>
      <c r="Z133" s="220"/>
      <c r="AA133" s="116"/>
      <c r="AB133" s="116"/>
      <c r="AC133" s="116"/>
      <c r="AD133" s="116"/>
      <c r="AJ133" s="170"/>
    </row>
    <row r="134" spans="2:36" hidden="1">
      <c r="B134" s="19" t="s">
        <v>88</v>
      </c>
      <c r="C134" s="5" t="s">
        <v>163</v>
      </c>
      <c r="D134" s="17" t="s">
        <v>310</v>
      </c>
      <c r="E134" s="89" t="s">
        <v>688</v>
      </c>
      <c r="F134" s="127" t="s">
        <v>603</v>
      </c>
      <c r="G134" s="140">
        <f t="shared" ref="G134:G197" si="7">HEX2DEC(E134)</f>
        <v>23</v>
      </c>
      <c r="H134"/>
      <c r="I134"/>
      <c r="J134"/>
      <c r="K134"/>
      <c r="L134" s="392"/>
      <c r="M134" s="392"/>
      <c r="N134" s="376"/>
      <c r="O134" s="376"/>
      <c r="P134" s="376"/>
      <c r="Q134" s="376"/>
      <c r="R134" s="376"/>
      <c r="S134" s="376"/>
      <c r="T134" s="168"/>
      <c r="U134" s="376"/>
      <c r="V134" s="376"/>
      <c r="W134" s="376"/>
      <c r="X134" s="376"/>
      <c r="Y134" s="376"/>
      <c r="Z134" s="220"/>
      <c r="AA134" s="116"/>
      <c r="AB134" s="116"/>
      <c r="AC134" s="116"/>
      <c r="AD134" s="116"/>
      <c r="AJ134" s="170"/>
    </row>
    <row r="135" spans="2:36" hidden="1">
      <c r="B135" s="19" t="s">
        <v>88</v>
      </c>
      <c r="C135" s="5" t="s">
        <v>163</v>
      </c>
      <c r="D135" s="17" t="s">
        <v>311</v>
      </c>
      <c r="E135" s="89" t="s">
        <v>709</v>
      </c>
      <c r="F135" s="127" t="s">
        <v>604</v>
      </c>
      <c r="G135" s="140">
        <f t="shared" si="7"/>
        <v>116</v>
      </c>
      <c r="H135"/>
      <c r="I135"/>
      <c r="J135"/>
      <c r="K135"/>
      <c r="L135" s="392"/>
      <c r="M135" s="392"/>
      <c r="N135" s="389"/>
      <c r="O135" s="389"/>
      <c r="P135" s="390"/>
      <c r="Q135" s="389"/>
      <c r="R135" s="389"/>
      <c r="S135" s="389"/>
      <c r="T135" s="168"/>
      <c r="U135" s="376"/>
      <c r="V135" s="376"/>
      <c r="W135" s="376"/>
      <c r="X135" s="376"/>
      <c r="Y135" s="376"/>
      <c r="Z135" s="220"/>
      <c r="AA135" s="116"/>
      <c r="AB135" s="116"/>
      <c r="AC135" s="116"/>
      <c r="AD135" s="116"/>
      <c r="AJ135" s="170"/>
    </row>
    <row r="136" spans="2:36" ht="15" customHeight="1">
      <c r="B136" s="19" t="s">
        <v>88</v>
      </c>
      <c r="C136" s="5" t="s">
        <v>163</v>
      </c>
      <c r="D136" s="17" t="s">
        <v>312</v>
      </c>
      <c r="E136" s="89" t="s">
        <v>789</v>
      </c>
      <c r="F136" s="126" t="s">
        <v>605</v>
      </c>
      <c r="G136" s="140">
        <f t="shared" si="7"/>
        <v>71</v>
      </c>
      <c r="H136" s="509" t="s">
        <v>802</v>
      </c>
      <c r="I136" s="509"/>
      <c r="J136" s="133" t="s">
        <v>790</v>
      </c>
      <c r="K136" s="133" t="s">
        <v>791</v>
      </c>
      <c r="L136" s="387" t="s">
        <v>1559</v>
      </c>
      <c r="M136" s="387" t="s">
        <v>1558</v>
      </c>
      <c r="N136" s="389"/>
      <c r="O136" s="389"/>
      <c r="P136" s="390" t="s">
        <v>691</v>
      </c>
      <c r="Q136" s="389" t="s">
        <v>690</v>
      </c>
      <c r="R136" s="389" t="s">
        <v>689</v>
      </c>
      <c r="S136" s="389" t="s">
        <v>692</v>
      </c>
      <c r="T136" s="389" t="s">
        <v>1505</v>
      </c>
      <c r="U136" s="389" t="s">
        <v>1506</v>
      </c>
      <c r="V136" s="389" t="s">
        <v>1507</v>
      </c>
      <c r="W136" s="389" t="s">
        <v>1504</v>
      </c>
      <c r="X136" s="376"/>
      <c r="Y136" s="376"/>
      <c r="Z136" s="220"/>
      <c r="AA136" s="116"/>
      <c r="AB136" s="116"/>
      <c r="AC136" s="116"/>
      <c r="AD136" s="116"/>
      <c r="AJ136" s="170"/>
    </row>
    <row r="137" spans="2:36" ht="15">
      <c r="B137" s="19" t="s">
        <v>88</v>
      </c>
      <c r="C137" s="5" t="s">
        <v>163</v>
      </c>
      <c r="D137" s="17" t="s">
        <v>313</v>
      </c>
      <c r="E137" s="109" t="str">
        <f t="shared" ref="E137:E143" si="8">DEC2HEX(L137+M137,2)</f>
        <v>4C</v>
      </c>
      <c r="F137" s="126"/>
      <c r="G137" s="140">
        <f t="shared" si="7"/>
        <v>76</v>
      </c>
      <c r="H137" s="504" t="s">
        <v>793</v>
      </c>
      <c r="I137" s="504"/>
      <c r="J137" s="383" t="s">
        <v>779</v>
      </c>
      <c r="K137" s="384">
        <v>4</v>
      </c>
      <c r="L137" s="389">
        <f>IF(Main_Parameters!$S$3="Original",IF(J137="Yes",1*2^7,0),IF(Main_Parameters!$S$3="New",IF(J137="Yes",1*2^7,0),0))</f>
        <v>0</v>
      </c>
      <c r="M137" s="389">
        <f>IF(Main_Parameters!$S$3="640x480p60Hz (1)",P137,IF(Main_Parameters!$S$3="720x480p60Hz (2)",Q137,IF(Main_Parameters!$S$3="1280x720p60Hz (4)",R137,IF(Main_Parameters!$S$3="1920x1080p60Hz (16)",S137,IF(Main_Parameters!$S$3="1920x1200p60Hz (68)",V137,IF(Main_Parameters!$S$3="2560x1600p60Hz (76)",W137,K137))))))</f>
        <v>76</v>
      </c>
      <c r="N137" s="389"/>
      <c r="O137" s="389"/>
      <c r="P137" s="389">
        <v>1</v>
      </c>
      <c r="Q137" s="389">
        <v>2</v>
      </c>
      <c r="R137" s="389">
        <v>4</v>
      </c>
      <c r="S137" s="389">
        <v>16</v>
      </c>
      <c r="T137" s="389">
        <v>16</v>
      </c>
      <c r="U137" s="393">
        <v>27</v>
      </c>
      <c r="V137" s="393">
        <v>68</v>
      </c>
      <c r="W137" s="393">
        <v>76</v>
      </c>
      <c r="X137" s="376"/>
      <c r="Y137" s="376"/>
      <c r="Z137" s="220"/>
      <c r="AA137" s="116"/>
      <c r="AB137" s="116"/>
      <c r="AC137" s="116"/>
      <c r="AD137" s="116"/>
      <c r="AJ137" s="170"/>
    </row>
    <row r="138" spans="2:36" ht="15">
      <c r="B138" s="19" t="s">
        <v>88</v>
      </c>
      <c r="C138" s="5" t="s">
        <v>163</v>
      </c>
      <c r="D138" s="17" t="s">
        <v>314</v>
      </c>
      <c r="E138" s="109" t="str">
        <f t="shared" si="8"/>
        <v>4C</v>
      </c>
      <c r="F138" s="126" t="s">
        <v>606</v>
      </c>
      <c r="G138" s="140">
        <f t="shared" si="7"/>
        <v>76</v>
      </c>
      <c r="H138" s="504" t="s">
        <v>792</v>
      </c>
      <c r="I138" s="504"/>
      <c r="J138" s="383" t="s">
        <v>779</v>
      </c>
      <c r="K138" s="384">
        <v>19</v>
      </c>
      <c r="L138" s="389">
        <f>IF(Main_Parameters!$S$4="Original",IF(J138="Yes",1*2^7,0),IF(Main_Parameters!$S$4="New",IF(J138="Yes",1*2^7,0),0))</f>
        <v>0</v>
      </c>
      <c r="M138" s="389">
        <f>IF(Main_Parameters!$S$4="640x480p60Hz (1)",P138,IF(Main_Parameters!$S$4="720x480p60Hz (2)",Q138,IF(Main_Parameters!$S$4="1280x720p60Hz (4)",R138,IF(Main_Parameters!$S$4="1920x1080p60Hz (16)",S138,IF(Main_Parameters!$S$4="1920x1200p60Hz (68)",V138,IF(Main_Parameters!$S$4="2560x1600p60Hz (76)",W138,K138))))))</f>
        <v>76</v>
      </c>
      <c r="N138" s="389"/>
      <c r="O138" s="389"/>
      <c r="P138" s="389">
        <v>1</v>
      </c>
      <c r="Q138" s="389">
        <v>2</v>
      </c>
      <c r="R138" s="389">
        <v>4</v>
      </c>
      <c r="S138" s="389">
        <v>16</v>
      </c>
      <c r="T138" s="389">
        <v>16</v>
      </c>
      <c r="U138" s="393">
        <v>27</v>
      </c>
      <c r="V138" s="393">
        <v>68</v>
      </c>
      <c r="W138" s="393">
        <v>76</v>
      </c>
      <c r="X138" s="376"/>
      <c r="Y138" s="376"/>
      <c r="Z138" s="220"/>
      <c r="AA138" s="116"/>
      <c r="AB138" s="116"/>
      <c r="AC138" s="116"/>
      <c r="AD138" s="116"/>
      <c r="AJ138" s="170"/>
    </row>
    <row r="139" spans="2:36" ht="15">
      <c r="B139" s="19" t="s">
        <v>88</v>
      </c>
      <c r="C139" s="5" t="s">
        <v>163</v>
      </c>
      <c r="D139" s="17" t="s">
        <v>315</v>
      </c>
      <c r="E139" s="109" t="str">
        <f t="shared" si="8"/>
        <v>4C</v>
      </c>
      <c r="F139" s="126" t="s">
        <v>607</v>
      </c>
      <c r="G139" s="140">
        <f t="shared" si="7"/>
        <v>76</v>
      </c>
      <c r="H139" s="504" t="s">
        <v>794</v>
      </c>
      <c r="I139" s="504"/>
      <c r="J139" s="383" t="s">
        <v>779</v>
      </c>
      <c r="K139" s="384">
        <v>3</v>
      </c>
      <c r="L139" s="389">
        <f>IF(Main_Parameters!$S$6="Original",IF(J139="Yes",1*2^7,0),IF(Main_Parameters!$S$6="New",IF(J139="Yes",1*2^7,0),0))</f>
        <v>0</v>
      </c>
      <c r="M139" s="389">
        <f>IF(Main_Parameters!$S$6="640x480p60Hz (1)",P139,IF(Main_Parameters!$S$6="720x480p60Hz (2)",Q139,IF(Main_Parameters!$S$6="1280x720p60Hz (4)",R139,IF(Main_Parameters!$S$6="1920x1080p60Hz (16)",S139,IF(Main_Parameters!$S$6="1920x1200p60Hz (68)",V139,IF(Main_Parameters!$S$6="2560x1600p60Hz (76)",W139,K139))))))</f>
        <v>76</v>
      </c>
      <c r="N139" s="389"/>
      <c r="O139" s="389"/>
      <c r="P139" s="389">
        <v>1</v>
      </c>
      <c r="Q139" s="389">
        <v>2</v>
      </c>
      <c r="R139" s="389">
        <v>4</v>
      </c>
      <c r="S139" s="389">
        <v>16</v>
      </c>
      <c r="T139" s="389">
        <v>16</v>
      </c>
      <c r="U139" s="393">
        <v>27</v>
      </c>
      <c r="V139" s="393">
        <v>68</v>
      </c>
      <c r="W139" s="393">
        <v>76</v>
      </c>
      <c r="X139" s="376"/>
      <c r="Y139" s="376"/>
      <c r="Z139" s="220"/>
      <c r="AA139" s="116"/>
      <c r="AB139" s="116"/>
      <c r="AC139" s="116"/>
      <c r="AD139" s="116"/>
      <c r="AJ139" s="170"/>
    </row>
    <row r="140" spans="2:36" ht="15">
      <c r="B140" s="19" t="s">
        <v>88</v>
      </c>
      <c r="C140" s="5" t="s">
        <v>163</v>
      </c>
      <c r="D140" s="17" t="s">
        <v>316</v>
      </c>
      <c r="E140" s="109" t="str">
        <f t="shared" si="8"/>
        <v>4C</v>
      </c>
      <c r="F140" s="126" t="s">
        <v>608</v>
      </c>
      <c r="G140" s="140">
        <f t="shared" si="7"/>
        <v>76</v>
      </c>
      <c r="H140" s="504" t="s">
        <v>795</v>
      </c>
      <c r="I140" s="504"/>
      <c r="J140" s="383" t="s">
        <v>779</v>
      </c>
      <c r="K140" s="384">
        <v>2</v>
      </c>
      <c r="L140" s="389">
        <f>IF(Main_Parameters!$S$7="Original",IF(J140="Yes",1*2^7,0),IF(Main_Parameters!$S$7="New",IF(J140="Yes",1*2^7,0),0))</f>
        <v>0</v>
      </c>
      <c r="M140" s="389">
        <f>IF(Main_Parameters!$S$7="640x480p60Hz (1)",P140,IF(Main_Parameters!$S$7="720x480p60Hz (2)",Q140,IF(Main_Parameters!$S$7="1280x720p60Hz (4)",R140,IF(Main_Parameters!$S$7="1920x1080p60Hz (16)",S140,IF(Main_Parameters!$S$7="1920x1200p60Hz (68)",V140,IF(Main_Parameters!$S$7="2560x1600p60Hz (76)",W140,K140))))))</f>
        <v>76</v>
      </c>
      <c r="N140" s="389"/>
      <c r="O140" s="389"/>
      <c r="P140" s="389">
        <v>1</v>
      </c>
      <c r="Q140" s="389">
        <v>2</v>
      </c>
      <c r="R140" s="389">
        <v>4</v>
      </c>
      <c r="S140" s="389">
        <v>16</v>
      </c>
      <c r="T140" s="389">
        <v>16</v>
      </c>
      <c r="U140" s="393">
        <v>27</v>
      </c>
      <c r="V140" s="393">
        <v>68</v>
      </c>
      <c r="W140" s="393">
        <v>76</v>
      </c>
      <c r="X140" s="376"/>
      <c r="Y140" s="376"/>
      <c r="Z140" s="220"/>
      <c r="AA140" s="116"/>
      <c r="AB140" s="116"/>
      <c r="AC140" s="116"/>
      <c r="AD140" s="116"/>
      <c r="AJ140" s="170"/>
    </row>
    <row r="141" spans="2:36" ht="15">
      <c r="B141" s="19" t="s">
        <v>88</v>
      </c>
      <c r="C141" s="5" t="s">
        <v>163</v>
      </c>
      <c r="D141" s="17" t="s">
        <v>317</v>
      </c>
      <c r="E141" s="109" t="str">
        <f t="shared" si="8"/>
        <v>4C</v>
      </c>
      <c r="F141" s="126" t="s">
        <v>609</v>
      </c>
      <c r="G141" s="140">
        <f t="shared" si="7"/>
        <v>76</v>
      </c>
      <c r="H141" s="504" t="s">
        <v>796</v>
      </c>
      <c r="I141" s="504"/>
      <c r="J141" s="383" t="s">
        <v>779</v>
      </c>
      <c r="K141" s="384">
        <v>7</v>
      </c>
      <c r="L141" s="389">
        <f>IF(Main_Parameters!$S$8="Original",IF(J141="Yes",1*2^7,0),IF(Main_Parameters!$S$8="New",IF(J141="Yes",1*2^7,0),0))</f>
        <v>0</v>
      </c>
      <c r="M141" s="389">
        <f>IF(Main_Parameters!$S$8="640x480p60Hz (1)",P141,IF(Main_Parameters!$S$8="720x480p60Hz (2)",Q141,IF(Main_Parameters!$S$8="1280x720p60Hz (4)",R141,IF(Main_Parameters!$S$8="1920x1080p60Hz (16)",S141,IF(Main_Parameters!$S$8="1920x1200p60Hz (68)",V141,IF(Main_Parameters!$S$8="2560x1600p60Hz (76)",W141,K141))))))</f>
        <v>76</v>
      </c>
      <c r="N141" s="389"/>
      <c r="O141" s="389"/>
      <c r="P141" s="389">
        <v>1</v>
      </c>
      <c r="Q141" s="389">
        <v>2</v>
      </c>
      <c r="R141" s="389">
        <v>4</v>
      </c>
      <c r="S141" s="389">
        <v>16</v>
      </c>
      <c r="T141" s="389">
        <v>16</v>
      </c>
      <c r="U141" s="393">
        <v>27</v>
      </c>
      <c r="V141" s="393">
        <v>68</v>
      </c>
      <c r="W141" s="393">
        <v>76</v>
      </c>
      <c r="X141" s="376"/>
      <c r="Y141" s="376"/>
      <c r="Z141" s="220"/>
      <c r="AA141" s="116"/>
      <c r="AB141" s="116"/>
      <c r="AC141" s="116"/>
      <c r="AD141" s="116"/>
      <c r="AJ141" s="170"/>
    </row>
    <row r="142" spans="2:36" ht="15">
      <c r="B142" s="19" t="s">
        <v>88</v>
      </c>
      <c r="C142" s="5" t="s">
        <v>163</v>
      </c>
      <c r="D142" s="17" t="s">
        <v>318</v>
      </c>
      <c r="E142" s="109" t="str">
        <f t="shared" si="8"/>
        <v>4C</v>
      </c>
      <c r="F142" s="126" t="s">
        <v>610</v>
      </c>
      <c r="G142" s="140">
        <f t="shared" si="7"/>
        <v>76</v>
      </c>
      <c r="H142" s="504" t="s">
        <v>797</v>
      </c>
      <c r="I142" s="504"/>
      <c r="J142" s="383" t="s">
        <v>779</v>
      </c>
      <c r="K142" s="384">
        <v>6</v>
      </c>
      <c r="L142" s="389">
        <f>IF(Main_Parameters!$S$9="Original",IF(J142="Yes",1*2^7,0),IF(Main_Parameters!$S$9="New",IF(J142="Yes",1*2^7,0),0))</f>
        <v>0</v>
      </c>
      <c r="M142" s="389">
        <f>IF(Main_Parameters!$S$9="640x480p60Hz (1)",P142,IF(Main_Parameters!$S$9="720x480p60Hz (2)",Q142,IF(Main_Parameters!$S$9="1280x720p60Hz (4)",R142,IF(Main_Parameters!$S$9="1920x1080p60Hz (16)",S142,IF(Main_Parameters!$S$9="1920x1200p60Hz (68)",V142,IF(Main_Parameters!$S$9="2560x1600p60Hz (76)",W142,K142))))))</f>
        <v>76</v>
      </c>
      <c r="N142" s="389"/>
      <c r="O142" s="389"/>
      <c r="P142" s="389">
        <v>1</v>
      </c>
      <c r="Q142" s="389">
        <v>2</v>
      </c>
      <c r="R142" s="389">
        <v>4</v>
      </c>
      <c r="S142" s="389">
        <v>16</v>
      </c>
      <c r="T142" s="389">
        <v>16</v>
      </c>
      <c r="U142" s="393">
        <v>27</v>
      </c>
      <c r="V142" s="393">
        <v>68</v>
      </c>
      <c r="W142" s="393">
        <v>76</v>
      </c>
      <c r="X142" s="376"/>
      <c r="Y142" s="376"/>
      <c r="Z142" s="220"/>
      <c r="AA142" s="116"/>
      <c r="AB142" s="116"/>
      <c r="AC142" s="116"/>
      <c r="AD142" s="116"/>
      <c r="AJ142" s="170"/>
    </row>
    <row r="143" spans="2:36" ht="15">
      <c r="B143" s="19" t="s">
        <v>88</v>
      </c>
      <c r="C143" s="5" t="s">
        <v>163</v>
      </c>
      <c r="D143" s="17" t="s">
        <v>319</v>
      </c>
      <c r="E143" s="109" t="str">
        <f t="shared" si="8"/>
        <v>4C</v>
      </c>
      <c r="F143" s="126" t="s">
        <v>611</v>
      </c>
      <c r="G143" s="140">
        <f t="shared" si="7"/>
        <v>76</v>
      </c>
      <c r="H143" s="504" t="s">
        <v>798</v>
      </c>
      <c r="I143" s="504"/>
      <c r="J143" s="383" t="s">
        <v>779</v>
      </c>
      <c r="K143" s="384">
        <v>1</v>
      </c>
      <c r="L143" s="389">
        <f>IF(Main_Parameters!$S$10="Original",IF(J143="Yes",1*2^7,0),IF(Main_Parameters!$S$10="New",IF(J143="Yes",1*2^7,0),0))</f>
        <v>0</v>
      </c>
      <c r="M143" s="389">
        <f>IF(Main_Parameters!$S$10="640x480p60Hz (1)",P143,IF(Main_Parameters!$S$10="720x480p60Hz (2)",Q143,IF(Main_Parameters!$S$10="1280x720p60Hz (4)",R143,IF(Main_Parameters!$S$10="1920x1080p60Hz (16)",S143,IF(Main_Parameters!$S$10="1920x1200p60Hz (68)",V143,IF(Main_Parameters!$S$10="2560x1600p60Hz (76)",W143,K143))))))</f>
        <v>76</v>
      </c>
      <c r="N143" s="389"/>
      <c r="O143" s="389"/>
      <c r="P143" s="389">
        <v>1</v>
      </c>
      <c r="Q143" s="389">
        <v>2</v>
      </c>
      <c r="R143" s="389">
        <v>4</v>
      </c>
      <c r="S143" s="389">
        <v>16</v>
      </c>
      <c r="T143" s="389">
        <v>16</v>
      </c>
      <c r="U143" s="393">
        <v>27</v>
      </c>
      <c r="V143" s="393">
        <v>68</v>
      </c>
      <c r="W143" s="393">
        <v>76</v>
      </c>
      <c r="X143" s="376"/>
      <c r="Y143" s="376"/>
      <c r="Z143" s="220"/>
      <c r="AA143" s="116"/>
      <c r="AB143" s="116"/>
      <c r="AC143" s="116"/>
      <c r="AD143" s="116"/>
      <c r="AJ143" s="170"/>
    </row>
    <row r="144" spans="2:36" hidden="1">
      <c r="B144" s="19" t="s">
        <v>88</v>
      </c>
      <c r="C144" s="5" t="s">
        <v>163</v>
      </c>
      <c r="D144" s="17" t="s">
        <v>320</v>
      </c>
      <c r="E144" s="89" t="s">
        <v>803</v>
      </c>
      <c r="F144" s="126" t="s">
        <v>612</v>
      </c>
      <c r="G144" s="140">
        <f t="shared" si="7"/>
        <v>35</v>
      </c>
      <c r="H144"/>
      <c r="I144"/>
      <c r="J144"/>
      <c r="K144"/>
      <c r="L144" s="392"/>
      <c r="M144" s="392"/>
      <c r="N144" s="168"/>
      <c r="O144" s="168"/>
      <c r="P144" s="168"/>
      <c r="Q144" s="168"/>
      <c r="R144" s="168"/>
      <c r="S144" s="168"/>
      <c r="T144" s="376"/>
      <c r="U144" s="376"/>
      <c r="V144" s="376"/>
      <c r="W144" s="376"/>
      <c r="X144" s="376"/>
      <c r="Y144" s="376"/>
      <c r="Z144" s="220"/>
      <c r="AA144" s="116"/>
      <c r="AB144" s="116"/>
      <c r="AC144" s="116"/>
      <c r="AD144" s="116"/>
      <c r="AJ144" s="170"/>
    </row>
    <row r="145" spans="2:36" hidden="1">
      <c r="B145" s="19" t="s">
        <v>88</v>
      </c>
      <c r="C145" s="5" t="s">
        <v>163</v>
      </c>
      <c r="D145" s="17" t="s">
        <v>321</v>
      </c>
      <c r="E145" s="89" t="s">
        <v>804</v>
      </c>
      <c r="F145" s="126" t="s">
        <v>613</v>
      </c>
      <c r="G145" s="140">
        <f t="shared" si="7"/>
        <v>9</v>
      </c>
      <c r="H145"/>
      <c r="I145"/>
      <c r="J145"/>
      <c r="K145"/>
      <c r="L145" s="392"/>
      <c r="M145" s="392"/>
      <c r="N145" s="168"/>
      <c r="O145" s="168"/>
      <c r="P145" s="168"/>
      <c r="Q145" s="168"/>
      <c r="R145" s="168"/>
      <c r="S145" s="168"/>
      <c r="T145" s="376"/>
      <c r="U145" s="376"/>
      <c r="V145" s="376"/>
      <c r="W145" s="376"/>
      <c r="X145" s="376"/>
      <c r="Y145" s="376"/>
      <c r="Z145" s="220"/>
      <c r="AA145" s="116"/>
      <c r="AB145" s="116"/>
      <c r="AC145" s="116"/>
      <c r="AD145" s="116"/>
      <c r="AJ145" s="170"/>
    </row>
    <row r="146" spans="2:36" hidden="1">
      <c r="B146" s="19" t="s">
        <v>88</v>
      </c>
      <c r="C146" s="5" t="s">
        <v>163</v>
      </c>
      <c r="D146" s="17" t="s">
        <v>322</v>
      </c>
      <c r="E146" s="89" t="s">
        <v>805</v>
      </c>
      <c r="F146" s="126" t="s">
        <v>614</v>
      </c>
      <c r="G146" s="140">
        <f t="shared" si="7"/>
        <v>7</v>
      </c>
      <c r="H146"/>
      <c r="I146"/>
      <c r="J146"/>
      <c r="K146"/>
      <c r="L146" s="392"/>
      <c r="M146" s="392"/>
      <c r="N146" s="168"/>
      <c r="O146" s="168"/>
      <c r="P146" s="168"/>
      <c r="Q146" s="168"/>
      <c r="R146" s="168"/>
      <c r="S146" s="168"/>
      <c r="T146" s="376"/>
      <c r="U146" s="376"/>
      <c r="V146" s="376"/>
      <c r="W146" s="376"/>
      <c r="X146" s="376"/>
      <c r="Y146" s="376"/>
      <c r="Z146" s="220"/>
      <c r="AA146" s="116"/>
      <c r="AB146" s="116"/>
      <c r="AC146" s="116"/>
      <c r="AD146" s="116"/>
      <c r="AJ146" s="170"/>
    </row>
    <row r="147" spans="2:36" hidden="1">
      <c r="B147" s="19" t="s">
        <v>88</v>
      </c>
      <c r="C147" s="5" t="s">
        <v>163</v>
      </c>
      <c r="D147" s="17" t="s">
        <v>323</v>
      </c>
      <c r="E147" s="89" t="s">
        <v>806</v>
      </c>
      <c r="F147" s="126" t="s">
        <v>615</v>
      </c>
      <c r="G147" s="140">
        <f t="shared" si="7"/>
        <v>1</v>
      </c>
      <c r="H147"/>
      <c r="I147"/>
      <c r="J147"/>
      <c r="K147"/>
      <c r="L147" s="392"/>
      <c r="M147" s="392"/>
      <c r="N147" s="168"/>
      <c r="O147" s="168"/>
      <c r="P147" s="168"/>
      <c r="Q147" s="168"/>
      <c r="R147" s="168"/>
      <c r="S147" s="168"/>
      <c r="T147" s="376"/>
      <c r="U147" s="376"/>
      <c r="V147" s="376"/>
      <c r="W147" s="376"/>
      <c r="X147" s="376"/>
      <c r="Y147" s="376"/>
      <c r="Z147" s="220"/>
      <c r="AA147" s="116"/>
      <c r="AB147" s="116"/>
      <c r="AC147" s="116"/>
      <c r="AD147" s="116"/>
      <c r="AJ147" s="170"/>
    </row>
    <row r="148" spans="2:36" hidden="1">
      <c r="B148" s="19" t="s">
        <v>88</v>
      </c>
      <c r="C148" s="5" t="s">
        <v>163</v>
      </c>
      <c r="D148" s="17" t="s">
        <v>324</v>
      </c>
      <c r="E148" s="89" t="s">
        <v>807</v>
      </c>
      <c r="F148" s="126" t="s">
        <v>616</v>
      </c>
      <c r="G148" s="140">
        <f t="shared" si="7"/>
        <v>102</v>
      </c>
      <c r="H148"/>
      <c r="I148"/>
      <c r="J148"/>
      <c r="K148"/>
      <c r="L148" s="392"/>
      <c r="M148" s="392"/>
      <c r="N148" s="168"/>
      <c r="O148" s="168"/>
      <c r="P148" s="168"/>
      <c r="Q148" s="168"/>
      <c r="R148" s="168"/>
      <c r="S148" s="168"/>
      <c r="T148" s="376"/>
      <c r="U148" s="376"/>
      <c r="V148" s="376"/>
      <c r="W148" s="376"/>
      <c r="X148" s="376"/>
      <c r="Y148" s="376"/>
      <c r="Z148" s="220"/>
      <c r="AA148" s="116"/>
      <c r="AB148" s="116"/>
      <c r="AC148" s="116"/>
      <c r="AD148" s="116"/>
      <c r="AJ148" s="170"/>
    </row>
    <row r="149" spans="2:36" hidden="1">
      <c r="B149" s="19" t="s">
        <v>88</v>
      </c>
      <c r="C149" s="5" t="s">
        <v>163</v>
      </c>
      <c r="D149" s="17" t="s">
        <v>325</v>
      </c>
      <c r="E149" s="89" t="s">
        <v>808</v>
      </c>
      <c r="F149" s="126" t="s">
        <v>617</v>
      </c>
      <c r="G149" s="140">
        <f t="shared" si="7"/>
        <v>3</v>
      </c>
      <c r="H149"/>
      <c r="I149"/>
      <c r="J149"/>
      <c r="K149"/>
      <c r="L149" s="392"/>
      <c r="M149" s="392"/>
      <c r="N149" s="168"/>
      <c r="O149" s="168"/>
      <c r="P149" s="168"/>
      <c r="Q149" s="168"/>
      <c r="R149" s="168"/>
      <c r="S149" s="168"/>
      <c r="T149" s="376"/>
      <c r="U149" s="376"/>
      <c r="V149" s="376"/>
      <c r="W149" s="376"/>
      <c r="X149" s="376"/>
      <c r="Y149" s="376"/>
      <c r="Z149" s="220"/>
      <c r="AA149" s="116"/>
      <c r="AB149" s="116"/>
      <c r="AC149" s="116"/>
      <c r="AD149" s="116"/>
      <c r="AJ149" s="170"/>
    </row>
    <row r="150" spans="2:36" hidden="1">
      <c r="B150" s="19" t="s">
        <v>88</v>
      </c>
      <c r="C150" s="5" t="s">
        <v>163</v>
      </c>
      <c r="D150" s="17" t="s">
        <v>326</v>
      </c>
      <c r="E150" s="89" t="s">
        <v>809</v>
      </c>
      <c r="F150" s="126" t="s">
        <v>618</v>
      </c>
      <c r="G150" s="140">
        <f t="shared" si="7"/>
        <v>12</v>
      </c>
      <c r="H150"/>
      <c r="I150"/>
      <c r="J150"/>
      <c r="K150"/>
      <c r="L150" s="392"/>
      <c r="M150" s="392"/>
      <c r="N150" s="168"/>
      <c r="O150" s="168"/>
      <c r="P150" s="168"/>
      <c r="Q150" s="168"/>
      <c r="R150" s="168"/>
      <c r="S150" s="168"/>
      <c r="T150" s="376"/>
      <c r="U150" s="376"/>
      <c r="V150" s="376"/>
      <c r="W150" s="376"/>
      <c r="X150" s="376"/>
      <c r="Y150" s="376"/>
      <c r="Z150" s="220"/>
      <c r="AA150" s="116"/>
      <c r="AB150" s="116"/>
      <c r="AC150" s="116"/>
      <c r="AD150" s="116"/>
      <c r="AJ150" s="170"/>
    </row>
    <row r="151" spans="2:36" hidden="1">
      <c r="B151" s="19" t="s">
        <v>88</v>
      </c>
      <c r="C151" s="5" t="s">
        <v>163</v>
      </c>
      <c r="D151" s="17" t="s">
        <v>327</v>
      </c>
      <c r="E151" s="89" t="str">
        <f>DEC2HEX(N151,2)</f>
        <v>00</v>
      </c>
      <c r="F151" s="126" t="s">
        <v>619</v>
      </c>
      <c r="G151" s="140">
        <f t="shared" si="7"/>
        <v>0</v>
      </c>
      <c r="H151"/>
      <c r="I151"/>
      <c r="J151"/>
      <c r="K151"/>
      <c r="L151" s="392"/>
      <c r="M151" s="392"/>
      <c r="N151" s="168"/>
      <c r="O151" s="168"/>
      <c r="P151" s="168"/>
      <c r="Q151" s="168"/>
      <c r="R151" s="168"/>
      <c r="S151" s="168"/>
      <c r="T151" s="376"/>
      <c r="U151" s="376"/>
      <c r="V151" s="376"/>
      <c r="W151" s="376"/>
      <c r="X151" s="376"/>
      <c r="Y151" s="376"/>
      <c r="Z151" s="220"/>
      <c r="AA151" s="116"/>
      <c r="AB151" s="116"/>
      <c r="AC151" s="116"/>
      <c r="AD151" s="116"/>
      <c r="AJ151" s="170"/>
    </row>
    <row r="152" spans="2:36" hidden="1">
      <c r="B152" s="19" t="s">
        <v>88</v>
      </c>
      <c r="C152" s="5" t="s">
        <v>163</v>
      </c>
      <c r="D152" s="17" t="s">
        <v>328</v>
      </c>
      <c r="E152" s="89" t="s">
        <v>810</v>
      </c>
      <c r="F152" s="126" t="s">
        <v>620</v>
      </c>
      <c r="G152" s="140">
        <f t="shared" si="7"/>
        <v>48</v>
      </c>
      <c r="H152"/>
      <c r="I152"/>
      <c r="J152"/>
      <c r="K152"/>
      <c r="L152" s="392"/>
      <c r="M152" s="392"/>
      <c r="N152" s="168"/>
      <c r="O152" s="168"/>
      <c r="P152" s="168"/>
      <c r="Q152" s="168"/>
      <c r="R152" s="168"/>
      <c r="S152" s="168"/>
      <c r="T152" s="376"/>
      <c r="U152" s="376"/>
      <c r="V152" s="376"/>
      <c r="W152" s="376"/>
      <c r="X152" s="376"/>
      <c r="Y152" s="376"/>
      <c r="Z152" s="220"/>
      <c r="AA152" s="116"/>
      <c r="AB152" s="116"/>
      <c r="AC152" s="116"/>
      <c r="AD152" s="116"/>
      <c r="AJ152" s="170"/>
    </row>
    <row r="153" spans="2:36" hidden="1">
      <c r="B153" s="19" t="s">
        <v>88</v>
      </c>
      <c r="C153" s="5" t="s">
        <v>163</v>
      </c>
      <c r="D153" s="17" t="s">
        <v>329</v>
      </c>
      <c r="E153" s="89" t="s">
        <v>811</v>
      </c>
      <c r="F153" s="126" t="s">
        <v>621</v>
      </c>
      <c r="G153" s="140">
        <f t="shared" si="7"/>
        <v>0</v>
      </c>
      <c r="H153"/>
      <c r="I153"/>
      <c r="J153"/>
      <c r="K153"/>
      <c r="L153" s="392"/>
      <c r="M153" s="392"/>
      <c r="N153" s="168"/>
      <c r="O153" s="168"/>
      <c r="P153" s="168"/>
      <c r="Q153" s="168"/>
      <c r="R153" s="168"/>
      <c r="S153" s="168"/>
      <c r="T153" s="376"/>
      <c r="U153" s="376"/>
      <c r="V153" s="376"/>
      <c r="W153" s="376"/>
      <c r="X153" s="376"/>
      <c r="Y153" s="376"/>
      <c r="Z153" s="220"/>
      <c r="AA153" s="116"/>
      <c r="AB153" s="116"/>
      <c r="AC153" s="116"/>
      <c r="AD153" s="116"/>
      <c r="AJ153" s="170"/>
    </row>
    <row r="154" spans="2:36" ht="15" hidden="1" customHeight="1">
      <c r="B154" s="19" t="s">
        <v>88</v>
      </c>
      <c r="C154" s="5" t="s">
        <v>163</v>
      </c>
      <c r="D154" s="17" t="s">
        <v>330</v>
      </c>
      <c r="E154" s="89" t="s">
        <v>812</v>
      </c>
      <c r="F154" s="127" t="s">
        <v>622</v>
      </c>
      <c r="G154" s="140">
        <f t="shared" si="7"/>
        <v>128</v>
      </c>
      <c r="H154"/>
      <c r="I154"/>
      <c r="J154"/>
      <c r="K154"/>
      <c r="L154" s="392"/>
      <c r="M154" s="392"/>
      <c r="N154" s="376"/>
      <c r="O154" s="376"/>
      <c r="P154" s="376"/>
      <c r="Q154" s="376"/>
      <c r="R154" s="376"/>
      <c r="S154" s="376"/>
      <c r="T154" s="376"/>
      <c r="U154" s="376"/>
      <c r="V154" s="376"/>
      <c r="W154" s="376"/>
      <c r="X154" s="376"/>
      <c r="Y154" s="376"/>
      <c r="Z154" s="220"/>
      <c r="AA154" s="220"/>
      <c r="AB154" s="220"/>
      <c r="AC154" s="220"/>
      <c r="AD154" s="220"/>
      <c r="AJ154" s="170"/>
    </row>
    <row r="155" spans="2:36" hidden="1">
      <c r="B155" s="19" t="s">
        <v>88</v>
      </c>
      <c r="C155" s="5" t="s">
        <v>163</v>
      </c>
      <c r="D155" s="17" t="s">
        <v>331</v>
      </c>
      <c r="E155" s="89" t="s">
        <v>813</v>
      </c>
      <c r="F155" s="127"/>
      <c r="G155" s="140">
        <f t="shared" si="7"/>
        <v>140</v>
      </c>
      <c r="H155"/>
      <c r="I155"/>
      <c r="J155"/>
      <c r="K155"/>
      <c r="L155" s="392"/>
      <c r="M155" s="392"/>
      <c r="N155" s="376"/>
      <c r="O155" s="376"/>
      <c r="P155" s="376"/>
      <c r="Q155" s="376"/>
      <c r="R155" s="376"/>
      <c r="S155" s="376"/>
      <c r="T155" s="376"/>
      <c r="U155" s="376"/>
      <c r="V155" s="376"/>
      <c r="W155" s="376"/>
      <c r="X155" s="376"/>
      <c r="Y155" s="376"/>
      <c r="Z155" s="220"/>
      <c r="AA155" s="220"/>
      <c r="AB155" s="220"/>
      <c r="AC155" s="220"/>
      <c r="AD155" s="220"/>
      <c r="AJ155" s="170"/>
    </row>
    <row r="156" spans="2:36" hidden="1">
      <c r="B156" s="19" t="s">
        <v>88</v>
      </c>
      <c r="C156" s="5" t="s">
        <v>163</v>
      </c>
      <c r="D156" s="17" t="s">
        <v>332</v>
      </c>
      <c r="E156" s="89" t="s">
        <v>814</v>
      </c>
      <c r="F156" s="127" t="s">
        <v>623</v>
      </c>
      <c r="G156" s="140">
        <f t="shared" si="7"/>
        <v>10</v>
      </c>
      <c r="H156"/>
      <c r="I156"/>
      <c r="J156"/>
      <c r="K156"/>
      <c r="L156" s="392"/>
      <c r="M156" s="392"/>
      <c r="N156" s="376"/>
      <c r="O156" s="376"/>
      <c r="P156" s="376"/>
      <c r="Q156" s="376"/>
      <c r="R156" s="376"/>
      <c r="S156" s="376"/>
      <c r="T156" s="376"/>
      <c r="U156" s="376"/>
      <c r="V156" s="376"/>
      <c r="W156" s="376"/>
      <c r="X156" s="376"/>
      <c r="Y156" s="376"/>
      <c r="Z156" s="220"/>
      <c r="AA156" s="220"/>
      <c r="AB156" s="220"/>
      <c r="AC156" s="220"/>
      <c r="AD156" s="220"/>
      <c r="AJ156" s="170"/>
    </row>
    <row r="157" spans="2:36" hidden="1">
      <c r="B157" s="19" t="s">
        <v>88</v>
      </c>
      <c r="C157" s="5" t="s">
        <v>163</v>
      </c>
      <c r="D157" s="17" t="s">
        <v>333</v>
      </c>
      <c r="E157" s="89" t="s">
        <v>815</v>
      </c>
      <c r="F157" s="127" t="s">
        <v>624</v>
      </c>
      <c r="G157" s="140">
        <f t="shared" si="7"/>
        <v>208</v>
      </c>
      <c r="H157"/>
      <c r="I157"/>
      <c r="J157"/>
      <c r="K157" s="140" t="str">
        <f>IF(Main_Parameters!$R$6="Select","Disable","Enable")</f>
        <v>Enable</v>
      </c>
      <c r="L157" s="392"/>
      <c r="M157" s="392"/>
      <c r="N157" s="389" t="s">
        <v>701</v>
      </c>
      <c r="O157" s="389" t="s">
        <v>1179</v>
      </c>
      <c r="P157" s="390" t="s">
        <v>691</v>
      </c>
      <c r="Q157" s="389" t="s">
        <v>690</v>
      </c>
      <c r="R157" s="389" t="s">
        <v>689</v>
      </c>
      <c r="S157" s="389" t="s">
        <v>692</v>
      </c>
      <c r="T157" s="389" t="s">
        <v>1505</v>
      </c>
      <c r="U157" s="389" t="s">
        <v>1506</v>
      </c>
      <c r="V157" s="389" t="s">
        <v>1507</v>
      </c>
      <c r="W157" s="389" t="s">
        <v>1504</v>
      </c>
      <c r="X157" s="376"/>
      <c r="Y157" s="376"/>
      <c r="Z157" s="220"/>
      <c r="AA157" s="220"/>
      <c r="AB157" s="220"/>
      <c r="AC157" s="220"/>
      <c r="AD157" s="220"/>
      <c r="AJ157" s="170"/>
    </row>
    <row r="158" spans="2:36" ht="15">
      <c r="B158" s="19" t="s">
        <v>88</v>
      </c>
      <c r="C158" s="5" t="s">
        <v>163</v>
      </c>
      <c r="D158" s="17" t="s">
        <v>334</v>
      </c>
      <c r="E158" s="109" t="str">
        <f>DEC2HEX(N158,2)</f>
        <v>EC</v>
      </c>
      <c r="F158" s="127" t="s">
        <v>625</v>
      </c>
      <c r="G158" s="140">
        <f t="shared" si="7"/>
        <v>236</v>
      </c>
      <c r="H158" s="505" t="s">
        <v>1189</v>
      </c>
      <c r="I158" s="505"/>
      <c r="J158" s="505"/>
      <c r="K158" s="134" t="s">
        <v>700</v>
      </c>
      <c r="L158" s="387"/>
      <c r="M158" s="387"/>
      <c r="N158" s="389">
        <f>IF(Main_Parameters!$S$6="640x480p60Hz (1)",P158,IF(Main_Parameters!$S$6="720x480p60Hz (2)",Q158,IF(Main_Parameters!$S$6="1280x720p60Hz (4)",R158,IF(Main_Parameters!$S$6="1920x1080p60Hz (16)",S158,IF(Main_Parameters!$S$6="1920x1200p60Hz (68)",V158,IF(Main_Parameters!$S$6="2560x1600p60Hz (76)",W158,O158))))))</f>
        <v>236</v>
      </c>
      <c r="O158" s="389">
        <f>HEX2DEC(RIGHT(DEC2HEX(L159*100,4),2))</f>
        <v>140</v>
      </c>
      <c r="P158" s="389">
        <v>216</v>
      </c>
      <c r="Q158" s="389">
        <v>140</v>
      </c>
      <c r="R158" s="389">
        <v>1</v>
      </c>
      <c r="S158" s="389">
        <v>2</v>
      </c>
      <c r="T158" s="389">
        <v>100</v>
      </c>
      <c r="U158" s="389">
        <v>188</v>
      </c>
      <c r="V158" s="389">
        <v>40</v>
      </c>
      <c r="W158" s="389">
        <v>236</v>
      </c>
      <c r="X158" s="376"/>
      <c r="Y158" s="376"/>
      <c r="Z158" s="220"/>
      <c r="AA158" s="220"/>
      <c r="AB158" s="220"/>
      <c r="AC158" s="220"/>
      <c r="AD158" s="220"/>
      <c r="AJ158" s="170"/>
    </row>
    <row r="159" spans="2:36" ht="15">
      <c r="B159" s="19" t="s">
        <v>88</v>
      </c>
      <c r="C159" s="5" t="s">
        <v>163</v>
      </c>
      <c r="D159" s="17" t="s">
        <v>335</v>
      </c>
      <c r="E159" s="109" t="str">
        <f t="shared" ref="E159:E175" si="9">DEC2HEX(N159,2)</f>
        <v>68</v>
      </c>
      <c r="F159" s="127" t="s">
        <v>626</v>
      </c>
      <c r="G159" s="140">
        <f t="shared" si="7"/>
        <v>104</v>
      </c>
      <c r="H159" s="506" t="s">
        <v>699</v>
      </c>
      <c r="I159" s="506"/>
      <c r="J159" s="142">
        <v>27</v>
      </c>
      <c r="K159" s="132" t="str">
        <f>IF(Main_Parameters!$U$6=1,IF(L159*100&gt;65535,"NG","OK"),"-")</f>
        <v>-</v>
      </c>
      <c r="L159" s="387">
        <f>IF(Main_Parameters!$S$6="Original",Main_Parameters!$C$20,J159)</f>
        <v>27</v>
      </c>
      <c r="M159" s="391"/>
      <c r="N159" s="389">
        <f>IF(Main_Parameters!$S$6="640x480p60Hz (1)",P159,IF(Main_Parameters!$S$6="720x480p60Hz (2)",Q159,IF(Main_Parameters!$S$6="1280x720p60Hz (4)",R159,IF(Main_Parameters!$S$6="1920x1080p60Hz (16)",S159,IF(Main_Parameters!$S$6="1920x1200p60Hz (68)",V159,IF(Main_Parameters!$S$6="2560x1600p60Hz (76)",W159,O159))))))</f>
        <v>104</v>
      </c>
      <c r="O159" s="389">
        <f>HEX2DEC(LEFT(DEC2HEX(L159*100,4),2))</f>
        <v>10</v>
      </c>
      <c r="P159" s="389">
        <v>9</v>
      </c>
      <c r="Q159" s="389">
        <v>10</v>
      </c>
      <c r="R159" s="389">
        <v>29</v>
      </c>
      <c r="S159" s="389">
        <v>58</v>
      </c>
      <c r="T159" s="389">
        <v>25</v>
      </c>
      <c r="U159" s="389">
        <v>27</v>
      </c>
      <c r="V159" s="389">
        <v>60</v>
      </c>
      <c r="W159" s="389">
        <v>104</v>
      </c>
      <c r="X159" s="376"/>
      <c r="Y159" s="376"/>
      <c r="Z159" s="220"/>
      <c r="AA159" s="220"/>
      <c r="AB159" s="220"/>
      <c r="AC159" s="220"/>
      <c r="AD159" s="220"/>
      <c r="AJ159" s="170"/>
    </row>
    <row r="160" spans="2:36" ht="15">
      <c r="B160" s="19" t="s">
        <v>88</v>
      </c>
      <c r="C160" s="5" t="s">
        <v>163</v>
      </c>
      <c r="D160" s="17" t="s">
        <v>336</v>
      </c>
      <c r="E160" s="109" t="str">
        <f t="shared" si="9"/>
        <v>00</v>
      </c>
      <c r="F160" s="127" t="s">
        <v>627</v>
      </c>
      <c r="G160" s="140">
        <f t="shared" si="7"/>
        <v>0</v>
      </c>
      <c r="H160" s="506" t="s">
        <v>698</v>
      </c>
      <c r="I160" s="506"/>
      <c r="J160" s="142">
        <v>720</v>
      </c>
      <c r="K160" s="132" t="str">
        <f>IF(Main_Parameters!$U$6=1,IF(L160&gt;4095,"NG","OK"),"-")</f>
        <v>-</v>
      </c>
      <c r="L160" s="387">
        <f>IF(Main_Parameters!$S$6="Original",Main_Parameters!$F$20,J160)</f>
        <v>720</v>
      </c>
      <c r="M160" s="391"/>
      <c r="N160" s="389">
        <f>IF(Main_Parameters!$S$6="640x480p60Hz (1)",P160,IF(Main_Parameters!$S$6="720x480p60Hz (2)",Q160,IF(Main_Parameters!$S$6="1280x720p60Hz (4)",R160,IF(Main_Parameters!$S$6="1920x1080p60Hz (16)",S160,IF(Main_Parameters!$S$6="1920x1200p60Hz (68)",V160,IF(Main_Parameters!$S$6="2560x1600p60Hz (76)",W160,O160))))))</f>
        <v>0</v>
      </c>
      <c r="O160" s="389">
        <f>HEX2DEC(RIGHT(DEC2HEX(L160,3),2))</f>
        <v>208</v>
      </c>
      <c r="P160" s="389">
        <v>128</v>
      </c>
      <c r="Q160" s="389">
        <v>208</v>
      </c>
      <c r="R160" s="389">
        <v>0</v>
      </c>
      <c r="S160" s="389">
        <v>128</v>
      </c>
      <c r="T160" s="389">
        <v>0</v>
      </c>
      <c r="U160" s="389">
        <v>0</v>
      </c>
      <c r="V160" s="389">
        <v>128</v>
      </c>
      <c r="W160" s="389">
        <v>0</v>
      </c>
      <c r="X160" s="376"/>
      <c r="Y160" s="376"/>
      <c r="Z160" s="220"/>
      <c r="AA160" s="220"/>
      <c r="AB160" s="220"/>
      <c r="AC160" s="220"/>
      <c r="AD160" s="220"/>
      <c r="AJ160" s="170"/>
    </row>
    <row r="161" spans="2:36" ht="15">
      <c r="B161" s="19" t="s">
        <v>88</v>
      </c>
      <c r="C161" s="5" t="s">
        <v>163</v>
      </c>
      <c r="D161" s="17" t="s">
        <v>337</v>
      </c>
      <c r="E161" s="109" t="str">
        <f t="shared" si="9"/>
        <v>A0</v>
      </c>
      <c r="F161" s="127" t="s">
        <v>628</v>
      </c>
      <c r="G161" s="140">
        <f t="shared" si="7"/>
        <v>160</v>
      </c>
      <c r="H161" s="506" t="s">
        <v>731</v>
      </c>
      <c r="I161" s="506"/>
      <c r="J161" s="142">
        <v>62</v>
      </c>
      <c r="K161" s="132" t="str">
        <f>IF(Main_Parameters!$U$6=1,IF(L161&gt;1023,"NG","OK"),"-")</f>
        <v>-</v>
      </c>
      <c r="L161" s="387">
        <f>IF(Main_Parameters!$S$6="Original",Main_Parameters!$D$20,J161)</f>
        <v>62</v>
      </c>
      <c r="M161" s="391"/>
      <c r="N161" s="389">
        <f>IF(Main_Parameters!$S$6="640x480p60Hz (1)",P161,IF(Main_Parameters!$S$6="720x480p60Hz (2)",Q161,IF(Main_Parameters!$S$6="1280x720p60Hz (4)",R161,IF(Main_Parameters!$S$6="1920x1080p60Hz (16)",S161,IF(Main_Parameters!$S$6="1920x1200p60Hz (68)",V161,IF(Main_Parameters!$S$6="2560x1600p60Hz (76)",W161,O161))))))</f>
        <v>160</v>
      </c>
      <c r="O161" s="389">
        <f>HEX2DEC(RIGHT(DEC2HEX(L161+L162+L163,3),2))</f>
        <v>138</v>
      </c>
      <c r="P161" s="389">
        <v>160</v>
      </c>
      <c r="Q161" s="389">
        <v>138</v>
      </c>
      <c r="R161" s="389">
        <v>114</v>
      </c>
      <c r="S161" s="389">
        <v>24</v>
      </c>
      <c r="T161" s="389">
        <v>64</v>
      </c>
      <c r="U161" s="389">
        <v>160</v>
      </c>
      <c r="V161" s="389">
        <v>160</v>
      </c>
      <c r="W161" s="389">
        <v>160</v>
      </c>
      <c r="X161" s="376"/>
      <c r="Y161" s="376"/>
      <c r="Z161" s="220"/>
      <c r="AA161" s="220"/>
      <c r="AB161" s="220"/>
      <c r="AC161" s="220"/>
      <c r="AD161" s="220"/>
      <c r="AJ161" s="170"/>
    </row>
    <row r="162" spans="2:36" ht="15">
      <c r="B162" s="19" t="s">
        <v>88</v>
      </c>
      <c r="C162" s="5" t="s">
        <v>163</v>
      </c>
      <c r="D162" s="17" t="s">
        <v>338</v>
      </c>
      <c r="E162" s="109" t="str">
        <f t="shared" si="9"/>
        <v>A0</v>
      </c>
      <c r="F162" s="127" t="s">
        <v>629</v>
      </c>
      <c r="G162" s="140">
        <f t="shared" si="7"/>
        <v>160</v>
      </c>
      <c r="H162" s="506" t="s">
        <v>693</v>
      </c>
      <c r="I162" s="506"/>
      <c r="J162" s="142">
        <v>60</v>
      </c>
      <c r="K162" s="132" t="str">
        <f>IF(Main_Parameters!$U$6=1,IF(L161+L162+L163&gt;4095,"NG","OK"),"-")</f>
        <v>-</v>
      </c>
      <c r="L162" s="387">
        <f>IF(Main_Parameters!$S$6="Original",Main_Parameters!$E$20,J162)</f>
        <v>60</v>
      </c>
      <c r="M162" s="391"/>
      <c r="N162" s="389">
        <f>IF(Main_Parameters!$S$6="640x480p60Hz (1)",P162,IF(Main_Parameters!$S$6="720x480p60Hz (2)",Q162,IF(Main_Parameters!$S$6="1280x720p60Hz (4)",R162,IF(Main_Parameters!$S$6="1920x1080p60Hz (16)",S162,IF(Main_Parameters!$S$6="1920x1200p60Hz (68)",V162,IF(Main_Parameters!$S$6="2560x1600p60Hz (76)",W162,O162))))))</f>
        <v>160</v>
      </c>
      <c r="O162" s="389">
        <f>HEX2DEC((LEFT(DEC2HEX(L160,3),1)))*2^4+HEX2DEC(LEFT(DEC2HEX(L161+L162+L163,3),1))</f>
        <v>32</v>
      </c>
      <c r="P162" s="389">
        <v>32</v>
      </c>
      <c r="Q162" s="389">
        <v>32</v>
      </c>
      <c r="R162" s="389">
        <v>81</v>
      </c>
      <c r="S162" s="389">
        <v>113</v>
      </c>
      <c r="T162" s="389">
        <v>65</v>
      </c>
      <c r="U162" s="389">
        <v>80</v>
      </c>
      <c r="V162" s="389">
        <v>112</v>
      </c>
      <c r="W162" s="389">
        <v>160</v>
      </c>
      <c r="X162" s="376"/>
      <c r="Y162" s="376"/>
      <c r="Z162" s="220"/>
      <c r="AA162" s="220"/>
      <c r="AB162" s="220"/>
      <c r="AC162" s="220"/>
      <c r="AD162" s="220"/>
      <c r="AJ162" s="170"/>
    </row>
    <row r="163" spans="2:36" ht="15">
      <c r="B163" s="19" t="s">
        <v>88</v>
      </c>
      <c r="C163" s="5" t="s">
        <v>163</v>
      </c>
      <c r="D163" s="17" t="s">
        <v>339</v>
      </c>
      <c r="E163" s="109" t="str">
        <f t="shared" si="9"/>
        <v>40</v>
      </c>
      <c r="F163" s="127" t="s">
        <v>630</v>
      </c>
      <c r="G163" s="140">
        <f t="shared" si="7"/>
        <v>64</v>
      </c>
      <c r="H163" s="506" t="s">
        <v>732</v>
      </c>
      <c r="I163" s="506"/>
      <c r="J163" s="142">
        <v>16</v>
      </c>
      <c r="K163" s="132" t="str">
        <f>IF(Main_Parameters!$U$6=1,IF(L163&gt;1023,"NG","OK"),"-")</f>
        <v>-</v>
      </c>
      <c r="L163" s="387">
        <f>IF(Main_Parameters!$S$6="Original",Main_Parameters!$G$20,J163)</f>
        <v>16</v>
      </c>
      <c r="M163" s="391"/>
      <c r="N163" s="389">
        <f>IF(Main_Parameters!$S$6="640x480p60Hz (1)",P163,IF(Main_Parameters!$S$6="720x480p60Hz (2)",Q163,IF(Main_Parameters!$S$6="1280x720p60Hz (4)",R163,IF(Main_Parameters!$S$6="1920x1080p60Hz (16)",S163,IF(Main_Parameters!$S$6="1920x1200p60Hz (68)",V163,IF(Main_Parameters!$S$6="2560x1600p60Hz (76)",W163,O163))))))</f>
        <v>64</v>
      </c>
      <c r="O163" s="389">
        <f>HEX2DEC(RIGHT(DEC2HEX(L164,3),2))</f>
        <v>224</v>
      </c>
      <c r="P163" s="389">
        <v>224</v>
      </c>
      <c r="Q163" s="389">
        <v>224</v>
      </c>
      <c r="R163" s="389">
        <v>208</v>
      </c>
      <c r="S163" s="389">
        <v>56</v>
      </c>
      <c r="T163" s="389">
        <v>0</v>
      </c>
      <c r="U163" s="389">
        <v>32</v>
      </c>
      <c r="V163" s="389">
        <v>176</v>
      </c>
      <c r="W163" s="389">
        <v>64</v>
      </c>
      <c r="X163" s="376"/>
      <c r="Y163" s="376"/>
      <c r="Z163" s="220"/>
      <c r="AA163" s="220"/>
      <c r="AB163" s="220"/>
      <c r="AC163" s="220"/>
      <c r="AD163" s="220"/>
      <c r="AJ163" s="170"/>
    </row>
    <row r="164" spans="2:36" ht="15">
      <c r="B164" s="19" t="s">
        <v>88</v>
      </c>
      <c r="C164" s="5" t="s">
        <v>163</v>
      </c>
      <c r="D164" s="17" t="s">
        <v>340</v>
      </c>
      <c r="E164" s="109" t="str">
        <f t="shared" si="9"/>
        <v>2E</v>
      </c>
      <c r="F164" s="127" t="s">
        <v>631</v>
      </c>
      <c r="G164" s="140">
        <f t="shared" si="7"/>
        <v>46</v>
      </c>
      <c r="H164" s="506" t="s">
        <v>697</v>
      </c>
      <c r="I164" s="506"/>
      <c r="J164" s="142">
        <v>480</v>
      </c>
      <c r="K164" s="132" t="str">
        <f>IF(Main_Parameters!$U$6=1,IF(L164&gt;4095,"NG","OK"),"-")</f>
        <v>-</v>
      </c>
      <c r="L164" s="387">
        <f>IF(Main_Parameters!$S$6="Original",Main_Parameters!$J$20,J164)</f>
        <v>480</v>
      </c>
      <c r="M164" s="391"/>
      <c r="N164" s="389">
        <f>IF(Main_Parameters!$S$6="640x480p60Hz (1)",P164,IF(Main_Parameters!$S$6="720x480p60Hz (2)",Q164,IF(Main_Parameters!$S$6="1280x720p60Hz (4)",R164,IF(Main_Parameters!$S$6="1920x1080p60Hz (16)",S164,IF(Main_Parameters!$S$6="1920x1200p60Hz (68)",V164,IF(Main_Parameters!$S$6="2560x1600p60Hz (76)",W164,O164))))))</f>
        <v>46</v>
      </c>
      <c r="O164" s="389">
        <f>HEX2DEC(RIGHT(DEC2HEX(L165+L166+L167,3),2))</f>
        <v>45</v>
      </c>
      <c r="P164" s="389">
        <v>45</v>
      </c>
      <c r="Q164" s="389">
        <v>45</v>
      </c>
      <c r="R164" s="389">
        <v>30</v>
      </c>
      <c r="S164" s="389">
        <v>45</v>
      </c>
      <c r="T164" s="389">
        <v>38</v>
      </c>
      <c r="U164" s="389">
        <v>23</v>
      </c>
      <c r="V164" s="389">
        <v>35</v>
      </c>
      <c r="W164" s="389">
        <v>46</v>
      </c>
      <c r="X164" s="376"/>
      <c r="Y164" s="376"/>
      <c r="Z164" s="220"/>
      <c r="AA164" s="220"/>
      <c r="AB164" s="220"/>
      <c r="AC164" s="220"/>
      <c r="AD164" s="220"/>
      <c r="AJ164" s="170"/>
    </row>
    <row r="165" spans="2:36" ht="15">
      <c r="B165" s="19" t="s">
        <v>88</v>
      </c>
      <c r="C165" s="5" t="s">
        <v>163</v>
      </c>
      <c r="D165" s="17" t="s">
        <v>341</v>
      </c>
      <c r="E165" s="109" t="str">
        <f t="shared" si="9"/>
        <v>60</v>
      </c>
      <c r="F165" s="127" t="s">
        <v>632</v>
      </c>
      <c r="G165" s="140">
        <f t="shared" si="7"/>
        <v>96</v>
      </c>
      <c r="H165" s="506" t="s">
        <v>733</v>
      </c>
      <c r="I165" s="506"/>
      <c r="J165" s="142">
        <v>6</v>
      </c>
      <c r="K165" s="132" t="str">
        <f>IF(Main_Parameters!$U$6=1,IF(L165&gt;15,"NG","OK"),"-")</f>
        <v>-</v>
      </c>
      <c r="L165" s="387">
        <f>IF(Main_Parameters!$S$6="Original",Main_Parameters!$H$20,J165)</f>
        <v>6</v>
      </c>
      <c r="M165" s="391"/>
      <c r="N165" s="389">
        <f>IF(Main_Parameters!$S$6="640x480p60Hz (1)",P165,IF(Main_Parameters!$S$6="720x480p60Hz (2)",Q165,IF(Main_Parameters!$S$6="1280x720p60Hz (4)",R165,IF(Main_Parameters!$S$6="1920x1080p60Hz (16)",S165,IF(Main_Parameters!$S$6="1920x1200p60Hz (68)",V165,IF(Main_Parameters!$S$6="2560x1600p60Hz (76)",W165,O165))))))</f>
        <v>96</v>
      </c>
      <c r="O165" s="389">
        <f>HEX2DEC((LEFT(DEC2HEX(L164,3),1)))*2^4+HEX2DEC(LEFT(DEC2HEX(L165+L166+L167,3),1))</f>
        <v>16</v>
      </c>
      <c r="P165" s="389">
        <v>16</v>
      </c>
      <c r="Q165" s="389">
        <v>16</v>
      </c>
      <c r="R165" s="389">
        <v>32</v>
      </c>
      <c r="S165" s="389">
        <v>64</v>
      </c>
      <c r="T165" s="389">
        <v>48</v>
      </c>
      <c r="U165" s="389">
        <v>48</v>
      </c>
      <c r="V165" s="389">
        <v>64</v>
      </c>
      <c r="W165" s="389">
        <v>96</v>
      </c>
      <c r="X165" s="376"/>
      <c r="Y165" s="376"/>
      <c r="Z165" s="220"/>
      <c r="AA165" s="220"/>
      <c r="AB165" s="220"/>
      <c r="AC165" s="220"/>
      <c r="AD165" s="220"/>
      <c r="AJ165" s="170"/>
    </row>
    <row r="166" spans="2:36" ht="15">
      <c r="B166" s="19" t="s">
        <v>88</v>
      </c>
      <c r="C166" s="5" t="s">
        <v>163</v>
      </c>
      <c r="D166" s="17" t="s">
        <v>342</v>
      </c>
      <c r="E166" s="109" t="str">
        <f t="shared" si="9"/>
        <v>30</v>
      </c>
      <c r="F166" s="127" t="s">
        <v>633</v>
      </c>
      <c r="G166" s="140">
        <f t="shared" si="7"/>
        <v>48</v>
      </c>
      <c r="H166" s="506" t="s">
        <v>694</v>
      </c>
      <c r="I166" s="506"/>
      <c r="J166" s="142">
        <v>30</v>
      </c>
      <c r="K166" s="132" t="str">
        <f>IF(Main_Parameters!$U$6=1,IF(L165+L166+L167&gt;4095,"NG","OK"),"-")</f>
        <v>-</v>
      </c>
      <c r="L166" s="387">
        <f>IF(Main_Parameters!$S$6="Original",Main_Parameters!$I$20,J166)</f>
        <v>30</v>
      </c>
      <c r="M166" s="391"/>
      <c r="N166" s="389">
        <f>IF(Main_Parameters!$S$6="640x480p60Hz (1)",P166,IF(Main_Parameters!$S$6="720x480p60Hz (2)",Q166,IF(Main_Parameters!$S$6="1280x720p60Hz (4)",R166,IF(Main_Parameters!$S$6="1920x1080p60Hz (16)",S166,IF(Main_Parameters!$S$6="1920x1200p60Hz (68)",V166,IF(Main_Parameters!$S$6="2560x1600p60Hz (76)",W166,O166))))))</f>
        <v>48</v>
      </c>
      <c r="O166" s="389">
        <f>HEX2DEC(RIGHT(DEC2HEX(L163,3),2))</f>
        <v>16</v>
      </c>
      <c r="P166" s="389">
        <v>16</v>
      </c>
      <c r="Q166" s="389">
        <v>16</v>
      </c>
      <c r="R166" s="389">
        <v>110</v>
      </c>
      <c r="S166" s="389">
        <v>88</v>
      </c>
      <c r="T166" s="389">
        <v>24</v>
      </c>
      <c r="U166" s="389">
        <v>48</v>
      </c>
      <c r="V166" s="389">
        <v>48</v>
      </c>
      <c r="W166" s="389">
        <v>48</v>
      </c>
      <c r="X166" s="376"/>
      <c r="Y166" s="376"/>
      <c r="Z166" s="220"/>
      <c r="AA166" s="116"/>
      <c r="AB166" s="116"/>
      <c r="AC166" s="116"/>
      <c r="AD166" s="116"/>
      <c r="AJ166" s="170"/>
    </row>
    <row r="167" spans="2:36" ht="15">
      <c r="B167" s="19" t="s">
        <v>88</v>
      </c>
      <c r="C167" s="5" t="s">
        <v>163</v>
      </c>
      <c r="D167" s="17" t="s">
        <v>343</v>
      </c>
      <c r="E167" s="109" t="str">
        <f t="shared" si="9"/>
        <v>20</v>
      </c>
      <c r="F167" s="127" t="s">
        <v>634</v>
      </c>
      <c r="G167" s="140">
        <f t="shared" si="7"/>
        <v>32</v>
      </c>
      <c r="H167" s="506" t="s">
        <v>734</v>
      </c>
      <c r="I167" s="506"/>
      <c r="J167" s="142">
        <v>9</v>
      </c>
      <c r="K167" s="132" t="str">
        <f>IF(Main_Parameters!$U$6=1,IF(L167&gt;15,"NG","OK"),"-")</f>
        <v>-</v>
      </c>
      <c r="L167" s="387">
        <f>IF(Main_Parameters!$S$6="Original",Main_Parameters!$K$20,J167)</f>
        <v>9</v>
      </c>
      <c r="M167" s="391"/>
      <c r="N167" s="389">
        <f>IF(Main_Parameters!$S$6="640x480p60Hz (1)",P167,IF(Main_Parameters!$S$6="720x480p60Hz (2)",Q167,IF(Main_Parameters!$S$6="1280x720p60Hz (4)",R167,IF(Main_Parameters!$S$6="1920x1080p60Hz (16)",S167,IF(Main_Parameters!$S$6="1920x1200p60Hz (68)",V167,IF(Main_Parameters!$S$6="2560x1600p60Hz (76)",W167,O167))))))</f>
        <v>32</v>
      </c>
      <c r="O167" s="389">
        <f>HEX2DEC(RIGHT(DEC2HEX(L161,3),2))</f>
        <v>62</v>
      </c>
      <c r="P167" s="389">
        <v>96</v>
      </c>
      <c r="Q167" s="389">
        <v>62</v>
      </c>
      <c r="R167" s="389">
        <v>40</v>
      </c>
      <c r="S167" s="389">
        <v>44</v>
      </c>
      <c r="T167" s="389">
        <v>136</v>
      </c>
      <c r="U167" s="389">
        <v>32</v>
      </c>
      <c r="V167" s="389">
        <v>32</v>
      </c>
      <c r="W167" s="389">
        <v>32</v>
      </c>
      <c r="X167" s="376"/>
      <c r="Y167" s="376"/>
      <c r="Z167" s="220"/>
      <c r="AA167" s="116"/>
      <c r="AB167" s="116"/>
      <c r="AC167" s="116"/>
      <c r="AD167" s="116"/>
      <c r="AJ167" s="170"/>
    </row>
    <row r="168" spans="2:36" ht="15">
      <c r="B168" s="19" t="s">
        <v>88</v>
      </c>
      <c r="C168" s="5" t="s">
        <v>163</v>
      </c>
      <c r="D168" s="17" t="s">
        <v>344</v>
      </c>
      <c r="E168" s="109" t="str">
        <f t="shared" si="9"/>
        <v>36</v>
      </c>
      <c r="F168" s="127" t="s">
        <v>635</v>
      </c>
      <c r="G168" s="140">
        <f t="shared" si="7"/>
        <v>54</v>
      </c>
      <c r="H168" s="506" t="s">
        <v>695</v>
      </c>
      <c r="I168" s="506"/>
      <c r="J168" s="142">
        <v>708</v>
      </c>
      <c r="K168" s="132" t="str">
        <f>IF(Main_Parameters!$U$6=1,IF(L168&gt;4095,"NG","OK"),"-")</f>
        <v>-</v>
      </c>
      <c r="L168" s="387">
        <f>IF(Main_Parameters!$S$6="Original",Main_Parameters!$F$20,J168)</f>
        <v>708</v>
      </c>
      <c r="M168" s="391"/>
      <c r="N168" s="389">
        <f>IF(Main_Parameters!$S$6="640x480p60Hz (1)",P168,IF(Main_Parameters!$S$6="720x480p60Hz (2)",Q168,IF(Main_Parameters!$S$6="1280x720p60Hz (4)",R168,IF(Main_Parameters!$S$6="1920x1080p60Hz (16)",S168,IF(Main_Parameters!$S$6="1920x1200p60Hz (68)",V168,IF(Main_Parameters!$S$6="2560x1600p60Hz (76)",W168,O168))))))</f>
        <v>54</v>
      </c>
      <c r="O168" s="389">
        <f>HEX2DEC(RIGHT(DEC2HEX(L167,2),1))*2^4+HEX2DEC(RIGHT(DEC2HEX(L165,2),1))</f>
        <v>150</v>
      </c>
      <c r="P168" s="389">
        <v>162</v>
      </c>
      <c r="Q168" s="389">
        <v>150</v>
      </c>
      <c r="R168" s="389">
        <v>85</v>
      </c>
      <c r="S168" s="389">
        <v>69</v>
      </c>
      <c r="T168" s="389">
        <v>54</v>
      </c>
      <c r="U168" s="389">
        <v>54</v>
      </c>
      <c r="V168" s="389">
        <v>54</v>
      </c>
      <c r="W168" s="389">
        <v>54</v>
      </c>
      <c r="X168" s="376"/>
      <c r="Y168" s="376"/>
      <c r="Z168" s="220"/>
      <c r="AA168" s="116"/>
      <c r="AB168" s="116"/>
      <c r="AC168" s="116"/>
      <c r="AD168" s="116"/>
      <c r="AJ168" s="170"/>
    </row>
    <row r="169" spans="2:36" ht="15">
      <c r="B169" s="19" t="s">
        <v>88</v>
      </c>
      <c r="C169" s="5" t="s">
        <v>163</v>
      </c>
      <c r="D169" s="17" t="s">
        <v>345</v>
      </c>
      <c r="E169" s="109" t="str">
        <f t="shared" si="9"/>
        <v>00</v>
      </c>
      <c r="F169" s="127" t="s">
        <v>636</v>
      </c>
      <c r="G169" s="140">
        <f t="shared" si="7"/>
        <v>0</v>
      </c>
      <c r="H169" s="506" t="s">
        <v>696</v>
      </c>
      <c r="I169" s="506"/>
      <c r="J169" s="142">
        <v>398</v>
      </c>
      <c r="K169" s="132" t="str">
        <f>IF(Main_Parameters!$U$6=1,IF(L169&gt;4095,"NG","OK"),"-")</f>
        <v>-</v>
      </c>
      <c r="L169" s="387">
        <f>IF(Main_Parameters!$S$6="Original",Main_Parameters!$J$20,J169)</f>
        <v>398</v>
      </c>
      <c r="M169" s="391"/>
      <c r="N169" s="389">
        <f>IF(Main_Parameters!$S$6="640x480p60Hz (1)",P169,IF(Main_Parameters!$S$6="720x480p60Hz (2)",Q169,IF(Main_Parameters!$S$6="1280x720p60Hz (4)",R169,IF(Main_Parameters!$S$6="1920x1080p60Hz (16)",S169,IF(Main_Parameters!$S$6="1920x1200p60Hz (68)",V169,IF(Main_Parameters!$S$6="2560x1600p60Hz (76)",W169,O169))))))</f>
        <v>0</v>
      </c>
      <c r="O169" s="389">
        <f>HEX2DEC(LEFT(DEC2HEX(L163,3),1))*2^6+HEX2DEC(LEFT(DEC2HEX(L161,3),1))*2^4+HEX2DEC(LEFT(DEC2HEX(L167,2),1))*2^2+HEX2DEC(LEFT(DEC2HEX(L165,2),1))</f>
        <v>0</v>
      </c>
      <c r="P169" s="389">
        <v>0</v>
      </c>
      <c r="Q169" s="389">
        <v>0</v>
      </c>
      <c r="R169" s="389">
        <v>0</v>
      </c>
      <c r="S169" s="389">
        <v>0</v>
      </c>
      <c r="T169" s="389">
        <v>0</v>
      </c>
      <c r="U169" s="389">
        <v>0</v>
      </c>
      <c r="V169" s="389">
        <v>0</v>
      </c>
      <c r="W169" s="389">
        <v>0</v>
      </c>
      <c r="X169" s="376"/>
      <c r="Y169" s="376"/>
      <c r="Z169" s="220"/>
      <c r="AA169" s="116"/>
      <c r="AB169" s="116"/>
      <c r="AC169" s="116"/>
      <c r="AD169" s="116"/>
      <c r="AJ169" s="170"/>
    </row>
    <row r="170" spans="2:36" ht="15">
      <c r="B170" s="19" t="s">
        <v>88</v>
      </c>
      <c r="C170" s="5" t="s">
        <v>163</v>
      </c>
      <c r="D170" s="17" t="s">
        <v>346</v>
      </c>
      <c r="E170" s="109" t="str">
        <f t="shared" si="9"/>
        <v>00</v>
      </c>
      <c r="F170" s="127" t="s">
        <v>637</v>
      </c>
      <c r="G170" s="140">
        <f t="shared" si="7"/>
        <v>0</v>
      </c>
      <c r="H170" s="506" t="s">
        <v>830</v>
      </c>
      <c r="I170" s="506"/>
      <c r="J170" s="14" t="s">
        <v>1165</v>
      </c>
      <c r="K170" s="140">
        <f>IF(L170="Interlace",1,0)</f>
        <v>0</v>
      </c>
      <c r="L170" s="387" t="str">
        <f>IF(Main_Parameters!$S$6="Original",Main_Parameters!$M$21,J170)</f>
        <v>Progressive</v>
      </c>
      <c r="M170" s="392"/>
      <c r="N170" s="389">
        <f>IF(Main_Parameters!$S$6="640x480p60Hz (1)",P170,IF(Main_Parameters!$S$6="720x480p60Hz (2)",Q170,IF(Main_Parameters!$S$6="1280x720p60Hz (4)",R170,IF(Main_Parameters!$S$6="1920x1080p60Hz (16)",S170,IF(Main_Parameters!$S$6="1920x1200p60Hz (68)",V170,IF(Main_Parameters!$S$6="2560x1600p60Hz (76)",W170,O170))))))</f>
        <v>0</v>
      </c>
      <c r="O170" s="389">
        <f>HEX2DEC(RIGHT(DEC2HEX(L168,3),2))</f>
        <v>196</v>
      </c>
      <c r="P170" s="389">
        <v>196</v>
      </c>
      <c r="Q170" s="389">
        <v>19</v>
      </c>
      <c r="R170" s="389">
        <v>196</v>
      </c>
      <c r="S170" s="389">
        <v>196</v>
      </c>
      <c r="T170" s="389">
        <v>0</v>
      </c>
      <c r="U170" s="389">
        <v>0</v>
      </c>
      <c r="V170" s="389">
        <v>128</v>
      </c>
      <c r="W170" s="389">
        <v>0</v>
      </c>
      <c r="X170" s="376"/>
      <c r="Y170" s="376"/>
      <c r="Z170" s="220"/>
      <c r="AA170" s="116"/>
      <c r="AB170" s="116"/>
      <c r="AC170" s="116"/>
      <c r="AD170" s="116"/>
      <c r="AJ170" s="170"/>
    </row>
    <row r="171" spans="2:36" ht="15">
      <c r="B171" s="19" t="s">
        <v>88</v>
      </c>
      <c r="C171" s="5" t="s">
        <v>163</v>
      </c>
      <c r="D171" s="17" t="s">
        <v>347</v>
      </c>
      <c r="E171" s="109" t="str">
        <f t="shared" si="9"/>
        <v>40</v>
      </c>
      <c r="F171" s="127" t="s">
        <v>638</v>
      </c>
      <c r="G171" s="140">
        <f t="shared" si="7"/>
        <v>64</v>
      </c>
      <c r="H171" s="506" t="s">
        <v>831</v>
      </c>
      <c r="I171" s="506"/>
      <c r="J171" s="14" t="s">
        <v>134</v>
      </c>
      <c r="K171" s="140">
        <f>IF(L171="H Active",1,0)</f>
        <v>1</v>
      </c>
      <c r="L171" s="387" t="str">
        <f>IF(Main_Parameters!$S$6="Original",Main_Parameters!$M$24,J171)</f>
        <v>H Active</v>
      </c>
      <c r="M171" s="392"/>
      <c r="N171" s="389">
        <f>IF(Main_Parameters!$S$6="640x480p60Hz (1)",P171,IF(Main_Parameters!$S$6="720x480p60Hz (2)",Q171,IF(Main_Parameters!$S$6="1280x720p60Hz (4)",R171,IF(Main_Parameters!$S$6="1920x1080p60Hz (16)",S171,IF(Main_Parameters!$S$6="1920x1200p60Hz (68)",V171,IF(Main_Parameters!$S$6="2560x1600p60Hz (76)",W171,O171))))))</f>
        <v>64</v>
      </c>
      <c r="O171" s="389">
        <f>HEX2DEC(RIGHT(DEC2HEX(L169,3),2))</f>
        <v>142</v>
      </c>
      <c r="P171" s="389">
        <v>142</v>
      </c>
      <c r="Q171" s="389">
        <v>142</v>
      </c>
      <c r="R171" s="389">
        <v>142</v>
      </c>
      <c r="S171" s="389">
        <v>142</v>
      </c>
      <c r="T171" s="389">
        <v>0</v>
      </c>
      <c r="U171" s="389">
        <v>32</v>
      </c>
      <c r="V171" s="389">
        <v>176</v>
      </c>
      <c r="W171" s="389">
        <v>64</v>
      </c>
      <c r="X171" s="376"/>
      <c r="Y171" s="376"/>
      <c r="Z171" s="220"/>
      <c r="AA171" s="116"/>
      <c r="AB171" s="116"/>
      <c r="AC171" s="116"/>
      <c r="AD171" s="116"/>
      <c r="AJ171" s="170"/>
    </row>
    <row r="172" spans="2:36" ht="15">
      <c r="B172" s="19" t="s">
        <v>88</v>
      </c>
      <c r="C172" s="5" t="s">
        <v>163</v>
      </c>
      <c r="D172" s="17" t="s">
        <v>348</v>
      </c>
      <c r="E172" s="109" t="str">
        <f t="shared" si="9"/>
        <v>A6</v>
      </c>
      <c r="F172" s="126" t="s">
        <v>654</v>
      </c>
      <c r="G172" s="140">
        <f t="shared" si="7"/>
        <v>166</v>
      </c>
      <c r="H172" s="506" t="s">
        <v>832</v>
      </c>
      <c r="I172" s="506"/>
      <c r="J172" s="14" t="s">
        <v>134</v>
      </c>
      <c r="K172" s="140">
        <f>IF(L172="H Active",1,0)</f>
        <v>1</v>
      </c>
      <c r="L172" s="387" t="str">
        <f>IF(Main_Parameters!$S$6="Original",Main_Parameters!$M$23,J172)</f>
        <v>H Active</v>
      </c>
      <c r="M172" s="392"/>
      <c r="N172" s="389">
        <f>IF(Main_Parameters!$S$6="640x480p60Hz (1)",P172,IF(Main_Parameters!$S$6="720x480p60Hz (2)",Q172,IF(Main_Parameters!$S$6="1280x720p60Hz (4)",R172,IF(Main_Parameters!$S$6="1920x1080p60Hz (16)",S172,IF(Main_Parameters!$S$6="1920x1200p60Hz (68)",V172,IF(Main_Parameters!$S$6="2560x1600p60Hz (76)",W172,O172))))))</f>
        <v>166</v>
      </c>
      <c r="O172" s="389">
        <f>HEX2DEC((LEFT(DEC2HEX(L168,3),1)))*2^4+HEX2DEC(LEFT(DEC2HEX(L169,3),1))</f>
        <v>33</v>
      </c>
      <c r="P172" s="389">
        <v>33</v>
      </c>
      <c r="Q172" s="389">
        <v>33</v>
      </c>
      <c r="R172" s="389">
        <v>33</v>
      </c>
      <c r="S172" s="389">
        <v>33</v>
      </c>
      <c r="T172" s="389">
        <v>67</v>
      </c>
      <c r="U172" s="389">
        <v>83</v>
      </c>
      <c r="V172" s="389">
        <v>116</v>
      </c>
      <c r="W172" s="389">
        <v>166</v>
      </c>
      <c r="X172" s="376"/>
      <c r="Y172" s="376"/>
      <c r="Z172" s="220"/>
      <c r="AA172" s="116"/>
      <c r="AB172" s="116"/>
      <c r="AC172" s="116"/>
      <c r="AD172" s="116"/>
      <c r="AJ172" s="170"/>
    </row>
    <row r="173" spans="2:36" hidden="1">
      <c r="B173" s="19" t="s">
        <v>88</v>
      </c>
      <c r="C173" s="5" t="s">
        <v>163</v>
      </c>
      <c r="D173" s="17" t="s">
        <v>349</v>
      </c>
      <c r="E173" s="109" t="str">
        <f t="shared" si="9"/>
        <v>00</v>
      </c>
      <c r="F173" s="126" t="s">
        <v>654</v>
      </c>
      <c r="G173" s="140">
        <f t="shared" si="7"/>
        <v>0</v>
      </c>
      <c r="H173"/>
      <c r="I173"/>
      <c r="J173"/>
      <c r="K173" s="140">
        <f>K170*2^7+3*2^3+K171*2^2+K172*2^1</f>
        <v>30</v>
      </c>
      <c r="L173" s="392"/>
      <c r="M173" s="392"/>
      <c r="N173" s="389">
        <f>IF(Main_Parameters!$S$6="640x480p60Hz (1)",P173,IF(Main_Parameters!$S$6="720x480p60Hz (2)",Q173,IF(Main_Parameters!$S$6="1280x720p60Hz (4)",R173,IF(Main_Parameters!$S$6="1920x1080p60Hz (16)",S173,IF(Main_Parameters!$S$6="1920x1200p60Hz (68)",V173,IF(Main_Parameters!$S$6="2560x1600p60Hz (76)",W173,O173))))))</f>
        <v>0</v>
      </c>
      <c r="O173" s="389">
        <v>0</v>
      </c>
      <c r="P173" s="389">
        <v>0</v>
      </c>
      <c r="Q173" s="389">
        <v>0</v>
      </c>
      <c r="R173" s="389">
        <v>0</v>
      </c>
      <c r="S173" s="389">
        <v>0</v>
      </c>
      <c r="T173" s="389">
        <v>0</v>
      </c>
      <c r="U173" s="389">
        <v>0</v>
      </c>
      <c r="V173" s="389">
        <v>0</v>
      </c>
      <c r="W173" s="389">
        <v>0</v>
      </c>
      <c r="X173" s="376"/>
      <c r="Y173" s="376"/>
      <c r="Z173" s="220"/>
      <c r="AA173" s="116"/>
      <c r="AB173" s="116"/>
      <c r="AC173" s="116"/>
      <c r="AD173" s="116"/>
      <c r="AJ173" s="170"/>
    </row>
    <row r="174" spans="2:36" hidden="1">
      <c r="B174" s="19" t="s">
        <v>88</v>
      </c>
      <c r="C174" s="5" t="s">
        <v>163</v>
      </c>
      <c r="D174" s="17" t="s">
        <v>350</v>
      </c>
      <c r="E174" s="109" t="str">
        <f t="shared" si="9"/>
        <v>00</v>
      </c>
      <c r="F174" s="126" t="s">
        <v>655</v>
      </c>
      <c r="G174" s="140">
        <f t="shared" si="7"/>
        <v>0</v>
      </c>
      <c r="H174"/>
      <c r="I174"/>
      <c r="J174"/>
      <c r="K174"/>
      <c r="L174" s="392"/>
      <c r="M174" s="392"/>
      <c r="N174" s="389">
        <f>IF(Main_Parameters!$S$6="640x480p60Hz (1)",P174,IF(Main_Parameters!$S$6="720x480p60Hz (2)",Q174,IF(Main_Parameters!$S$6="1280x720p60Hz (4)",R174,IF(Main_Parameters!$S$6="1920x1080p60Hz (16)",S174,IF(Main_Parameters!$S$6="1920x1200p60Hz (68)",V174,IF(Main_Parameters!$S$6="2560x1600p60Hz (76)",W174,O174))))))</f>
        <v>0</v>
      </c>
      <c r="O174" s="389">
        <v>0</v>
      </c>
      <c r="P174" s="389">
        <v>0</v>
      </c>
      <c r="Q174" s="389">
        <v>0</v>
      </c>
      <c r="R174" s="389">
        <v>0</v>
      </c>
      <c r="S174" s="389">
        <v>0</v>
      </c>
      <c r="T174" s="389">
        <v>0</v>
      </c>
      <c r="U174" s="389">
        <v>0</v>
      </c>
      <c r="V174" s="389">
        <v>0</v>
      </c>
      <c r="W174" s="389">
        <v>0</v>
      </c>
      <c r="X174" s="376"/>
      <c r="Y174" s="376"/>
      <c r="Z174" s="220"/>
      <c r="AA174" s="116"/>
      <c r="AB174" s="116"/>
      <c r="AC174" s="116"/>
      <c r="AD174" s="116"/>
      <c r="AJ174" s="170"/>
    </row>
    <row r="175" spans="2:36" hidden="1">
      <c r="B175" s="19" t="s">
        <v>88</v>
      </c>
      <c r="C175" s="5" t="s">
        <v>163</v>
      </c>
      <c r="D175" s="17" t="s">
        <v>351</v>
      </c>
      <c r="E175" s="109" t="str">
        <f t="shared" si="9"/>
        <v>18</v>
      </c>
      <c r="F175" s="126" t="s">
        <v>656</v>
      </c>
      <c r="G175" s="140">
        <f t="shared" si="7"/>
        <v>24</v>
      </c>
      <c r="H175"/>
      <c r="I175"/>
      <c r="J175"/>
      <c r="K175" s="140" t="str">
        <f>IF(Main_Parameters!$R$7="Select","Disable","Enable")</f>
        <v>Enable</v>
      </c>
      <c r="L175" s="392"/>
      <c r="M175" s="392"/>
      <c r="N175" s="389">
        <f>IF(Main_Parameters!$S$6="640x480p60Hz (1)",P175,IF(Main_Parameters!$S$6="720x480p60Hz (2)",Q175,IF(Main_Parameters!$S$6="1280x720p60Hz (4)",R175,IF(Main_Parameters!$S$6="1920x1080p60Hz (16)",S175,IF(Main_Parameters!$S$6="1920x1200p60Hz (68)",V175,IF(Main_Parameters!$S$6="2560x1600p60Hz (76)",W175,O175))))))</f>
        <v>24</v>
      </c>
      <c r="O175" s="389">
        <f>K173</f>
        <v>30</v>
      </c>
      <c r="P175" s="389">
        <v>30</v>
      </c>
      <c r="Q175" s="389">
        <v>30</v>
      </c>
      <c r="R175" s="389">
        <v>30</v>
      </c>
      <c r="S175" s="389">
        <v>30</v>
      </c>
      <c r="T175" s="389">
        <v>24</v>
      </c>
      <c r="U175" s="389">
        <v>24</v>
      </c>
      <c r="V175" s="389">
        <v>24</v>
      </c>
      <c r="W175" s="389">
        <v>24</v>
      </c>
      <c r="X175" s="376"/>
      <c r="Y175" s="376"/>
      <c r="Z175" s="220"/>
      <c r="AA175" s="116"/>
      <c r="AB175" s="116"/>
      <c r="AC175" s="116"/>
      <c r="AD175" s="116"/>
      <c r="AJ175" s="170"/>
    </row>
    <row r="176" spans="2:36" ht="15">
      <c r="B176" s="19" t="s">
        <v>88</v>
      </c>
      <c r="C176" s="5" t="s">
        <v>163</v>
      </c>
      <c r="D176" s="17" t="s">
        <v>352</v>
      </c>
      <c r="E176" s="109" t="str">
        <f>DEC2HEX(N176,2)</f>
        <v>EC</v>
      </c>
      <c r="F176" s="126" t="s">
        <v>654</v>
      </c>
      <c r="G176" s="140">
        <f t="shared" si="7"/>
        <v>236</v>
      </c>
      <c r="H176" s="507" t="s">
        <v>1190</v>
      </c>
      <c r="I176" s="507"/>
      <c r="J176" s="507"/>
      <c r="K176" s="133" t="s">
        <v>700</v>
      </c>
      <c r="L176" s="387"/>
      <c r="M176" s="387"/>
      <c r="N176" s="389">
        <f>IF(Main_Parameters!$S$7="640x480p60Hz (1)",P176,IF(Main_Parameters!$S$7="720x480p60Hz (2)",Q176,IF(Main_Parameters!$S$7="1280x720p60Hz (4)",R176,IF(Main_Parameters!$S$7="1920x1080p60Hz (16)",S176,IF(Main_Parameters!$S$7="1920x1200p60Hz (68)",V176,IF(Main_Parameters!$S$7="2560x1600p60Hz (76)",W176,O176))))))</f>
        <v>236</v>
      </c>
      <c r="O176" s="389">
        <f>HEX2DEC(RIGHT(DEC2HEX(L177*100,4),2))</f>
        <v>2</v>
      </c>
      <c r="P176" s="389">
        <v>216</v>
      </c>
      <c r="Q176" s="389">
        <v>140</v>
      </c>
      <c r="R176" s="389">
        <v>1</v>
      </c>
      <c r="S176" s="389">
        <v>2</v>
      </c>
      <c r="T176" s="389">
        <v>100</v>
      </c>
      <c r="U176" s="389">
        <v>188</v>
      </c>
      <c r="V176" s="389">
        <v>40</v>
      </c>
      <c r="W176" s="389">
        <v>236</v>
      </c>
      <c r="X176" s="376"/>
      <c r="Y176" s="376"/>
      <c r="Z176" s="220"/>
      <c r="AA176" s="116"/>
      <c r="AB176" s="116"/>
      <c r="AC176" s="116"/>
      <c r="AD176" s="116"/>
      <c r="AJ176" s="170"/>
    </row>
    <row r="177" spans="2:36" ht="15">
      <c r="B177" s="19" t="s">
        <v>88</v>
      </c>
      <c r="C177" s="5" t="s">
        <v>163</v>
      </c>
      <c r="D177" s="17" t="s">
        <v>353</v>
      </c>
      <c r="E177" s="109" t="str">
        <f t="shared" ref="E177:E193" si="10">DEC2HEX(N177,2)</f>
        <v>68</v>
      </c>
      <c r="F177" s="126" t="s">
        <v>660</v>
      </c>
      <c r="G177" s="140">
        <f t="shared" si="7"/>
        <v>104</v>
      </c>
      <c r="H177" s="504" t="s">
        <v>699</v>
      </c>
      <c r="I177" s="504"/>
      <c r="J177" s="142">
        <v>148.5</v>
      </c>
      <c r="K177" s="132" t="str">
        <f>IF(Main_Parameters!$U$7=1,IF(L177*100&gt;65535,"NG","OK"),"-")</f>
        <v>-</v>
      </c>
      <c r="L177" s="387">
        <f>IF(Main_Parameters!$S$7="Original",Main_Parameters!$C$20,J177)</f>
        <v>148.5</v>
      </c>
      <c r="M177" s="391"/>
      <c r="N177" s="389">
        <f>IF(Main_Parameters!$S$7="640x480p60Hz (1)",P177,IF(Main_Parameters!$S$7="720x480p60Hz (2)",Q177,IF(Main_Parameters!$S$7="1280x720p60Hz (4)",R177,IF(Main_Parameters!$S$7="1920x1080p60Hz (16)",S177,IF(Main_Parameters!$S$7="1920x1200p60Hz (68)",V177,IF(Main_Parameters!$S$7="2560x1600p60Hz (76)",W177,O177))))))</f>
        <v>104</v>
      </c>
      <c r="O177" s="389">
        <f>HEX2DEC(LEFT(DEC2HEX(L177*100,4),2))</f>
        <v>58</v>
      </c>
      <c r="P177" s="389">
        <v>9</v>
      </c>
      <c r="Q177" s="389">
        <v>10</v>
      </c>
      <c r="R177" s="389">
        <v>29</v>
      </c>
      <c r="S177" s="389">
        <v>58</v>
      </c>
      <c r="T177" s="389">
        <v>25</v>
      </c>
      <c r="U177" s="389">
        <v>27</v>
      </c>
      <c r="V177" s="389">
        <v>60</v>
      </c>
      <c r="W177" s="389">
        <v>104</v>
      </c>
      <c r="X177" s="376"/>
      <c r="Y177" s="376"/>
      <c r="Z177" s="220"/>
      <c r="AA177" s="116"/>
      <c r="AB177" s="116"/>
      <c r="AC177" s="116"/>
      <c r="AD177" s="116"/>
      <c r="AJ177" s="170"/>
    </row>
    <row r="178" spans="2:36" ht="15">
      <c r="B178" s="19" t="s">
        <v>88</v>
      </c>
      <c r="C178" s="5" t="s">
        <v>163</v>
      </c>
      <c r="D178" s="17" t="s">
        <v>354</v>
      </c>
      <c r="E178" s="109" t="str">
        <f t="shared" si="10"/>
        <v>00</v>
      </c>
      <c r="F178" s="126"/>
      <c r="G178" s="140">
        <f t="shared" si="7"/>
        <v>0</v>
      </c>
      <c r="H178" s="504" t="s">
        <v>698</v>
      </c>
      <c r="I178" s="504"/>
      <c r="J178" s="142">
        <v>1920</v>
      </c>
      <c r="K178" s="132" t="str">
        <f>IF(Main_Parameters!$U$7=1,IF(L178&gt;4095,"NG","OK"),"-")</f>
        <v>-</v>
      </c>
      <c r="L178" s="387">
        <f>IF(Main_Parameters!$S$7="Original",Main_Parameters!$F$20,J178)</f>
        <v>1920</v>
      </c>
      <c r="M178" s="391"/>
      <c r="N178" s="389">
        <f>IF(Main_Parameters!$S$7="640x480p60Hz (1)",P178,IF(Main_Parameters!$S$7="720x480p60Hz (2)",Q178,IF(Main_Parameters!$S$7="1280x720p60Hz (4)",R178,IF(Main_Parameters!$S$7="1920x1080p60Hz (16)",S178,IF(Main_Parameters!$S$7="1920x1200p60Hz (68)",V178,IF(Main_Parameters!$S$7="2560x1600p60Hz (76)",W178,O178))))))</f>
        <v>0</v>
      </c>
      <c r="O178" s="389">
        <f>HEX2DEC(RIGHT(DEC2HEX(L178,3),2))</f>
        <v>128</v>
      </c>
      <c r="P178" s="389">
        <v>128</v>
      </c>
      <c r="Q178" s="389">
        <v>208</v>
      </c>
      <c r="R178" s="389">
        <v>0</v>
      </c>
      <c r="S178" s="389">
        <v>128</v>
      </c>
      <c r="T178" s="389">
        <v>0</v>
      </c>
      <c r="U178" s="389">
        <v>0</v>
      </c>
      <c r="V178" s="389">
        <v>128</v>
      </c>
      <c r="W178" s="389">
        <v>0</v>
      </c>
      <c r="X178" s="376"/>
      <c r="Y178" s="376"/>
      <c r="Z178" s="220"/>
      <c r="AA178" s="116"/>
      <c r="AB178" s="116"/>
      <c r="AC178" s="116"/>
      <c r="AD178" s="116"/>
      <c r="AJ178" s="170"/>
    </row>
    <row r="179" spans="2:36" ht="15">
      <c r="B179" s="19" t="s">
        <v>88</v>
      </c>
      <c r="C179" s="5" t="s">
        <v>163</v>
      </c>
      <c r="D179" s="17" t="s">
        <v>355</v>
      </c>
      <c r="E179" s="109" t="str">
        <f t="shared" si="10"/>
        <v>A0</v>
      </c>
      <c r="F179" s="126"/>
      <c r="G179" s="140">
        <f t="shared" si="7"/>
        <v>160</v>
      </c>
      <c r="H179" s="504" t="s">
        <v>731</v>
      </c>
      <c r="I179" s="504"/>
      <c r="J179" s="142">
        <v>44</v>
      </c>
      <c r="K179" s="132" t="str">
        <f>IF(Main_Parameters!$U$7=1,IF(L179&gt;1023,"NG","OK"),"-")</f>
        <v>-</v>
      </c>
      <c r="L179" s="387">
        <f>IF(Main_Parameters!$S$7="Original",Main_Parameters!$D$20,J179)</f>
        <v>44</v>
      </c>
      <c r="M179" s="391"/>
      <c r="N179" s="389">
        <f>IF(Main_Parameters!$S$7="640x480p60Hz (1)",P179,IF(Main_Parameters!$S$7="720x480p60Hz (2)",Q179,IF(Main_Parameters!$S$7="1280x720p60Hz (4)",R179,IF(Main_Parameters!$S$7="1920x1080p60Hz (16)",S179,IF(Main_Parameters!$S$7="1920x1200p60Hz (68)",V179,IF(Main_Parameters!$S$7="2560x1600p60Hz (76)",W179,O179))))))</f>
        <v>160</v>
      </c>
      <c r="O179" s="389">
        <f>HEX2DEC(RIGHT(DEC2HEX(L179+L180+L181,3),2))</f>
        <v>24</v>
      </c>
      <c r="P179" s="389">
        <v>160</v>
      </c>
      <c r="Q179" s="389">
        <v>138</v>
      </c>
      <c r="R179" s="389">
        <v>114</v>
      </c>
      <c r="S179" s="389">
        <v>24</v>
      </c>
      <c r="T179" s="389">
        <v>64</v>
      </c>
      <c r="U179" s="389">
        <v>160</v>
      </c>
      <c r="V179" s="389">
        <v>160</v>
      </c>
      <c r="W179" s="389">
        <v>160</v>
      </c>
      <c r="X179" s="376"/>
      <c r="Y179" s="376"/>
      <c r="Z179" s="220"/>
      <c r="AA179" s="116"/>
      <c r="AB179" s="116"/>
      <c r="AC179" s="116"/>
      <c r="AD179" s="116"/>
      <c r="AJ179" s="170"/>
    </row>
    <row r="180" spans="2:36" ht="15">
      <c r="B180" s="19" t="s">
        <v>88</v>
      </c>
      <c r="C180" s="5" t="s">
        <v>163</v>
      </c>
      <c r="D180" s="17" t="s">
        <v>356</v>
      </c>
      <c r="E180" s="109" t="str">
        <f t="shared" si="10"/>
        <v>A0</v>
      </c>
      <c r="F180" s="126"/>
      <c r="G180" s="140">
        <f t="shared" si="7"/>
        <v>160</v>
      </c>
      <c r="H180" s="504" t="s">
        <v>693</v>
      </c>
      <c r="I180" s="504"/>
      <c r="J180" s="142">
        <v>148</v>
      </c>
      <c r="K180" s="132" t="str">
        <f>IF(Main_Parameters!$U$7=1,IF(L179+L180+L181&gt;4095,"NG","OK"),"-")</f>
        <v>-</v>
      </c>
      <c r="L180" s="387">
        <f>IF(Main_Parameters!$S$7="Original",Main_Parameters!$E$20,J180)</f>
        <v>148</v>
      </c>
      <c r="M180" s="391"/>
      <c r="N180" s="389">
        <f>IF(Main_Parameters!$S$7="640x480p60Hz (1)",P180,IF(Main_Parameters!$S$7="720x480p60Hz (2)",Q180,IF(Main_Parameters!$S$7="1280x720p60Hz (4)",R180,IF(Main_Parameters!$S$7="1920x1080p60Hz (16)",S180,IF(Main_Parameters!$S$7="1920x1200p60Hz (68)",V180,IF(Main_Parameters!$S$7="2560x1600p60Hz (76)",W180,O180))))))</f>
        <v>160</v>
      </c>
      <c r="O180" s="389">
        <f>HEX2DEC((LEFT(DEC2HEX(L178,3),1)))*2^4+HEX2DEC(LEFT(DEC2HEX(L179+L180+L181,3),1))</f>
        <v>113</v>
      </c>
      <c r="P180" s="389">
        <v>32</v>
      </c>
      <c r="Q180" s="389">
        <v>32</v>
      </c>
      <c r="R180" s="389">
        <v>81</v>
      </c>
      <c r="S180" s="389">
        <v>113</v>
      </c>
      <c r="T180" s="389">
        <v>65</v>
      </c>
      <c r="U180" s="389">
        <v>80</v>
      </c>
      <c r="V180" s="389">
        <v>112</v>
      </c>
      <c r="W180" s="389">
        <v>160</v>
      </c>
      <c r="X180" s="376"/>
      <c r="Y180" s="376"/>
      <c r="Z180" s="220"/>
      <c r="AA180" s="116"/>
      <c r="AB180" s="116"/>
      <c r="AC180" s="116"/>
      <c r="AD180" s="116"/>
      <c r="AJ180" s="170"/>
    </row>
    <row r="181" spans="2:36" ht="15">
      <c r="B181" s="19" t="s">
        <v>88</v>
      </c>
      <c r="C181" s="5" t="s">
        <v>163</v>
      </c>
      <c r="D181" s="17" t="s">
        <v>357</v>
      </c>
      <c r="E181" s="109" t="str">
        <f t="shared" si="10"/>
        <v>40</v>
      </c>
      <c r="F181" s="126"/>
      <c r="G181" s="140">
        <f t="shared" si="7"/>
        <v>64</v>
      </c>
      <c r="H181" s="504" t="s">
        <v>732</v>
      </c>
      <c r="I181" s="504"/>
      <c r="J181" s="142">
        <v>88</v>
      </c>
      <c r="K181" s="132" t="str">
        <f>IF(Main_Parameters!$U$7=1,IF(L181&gt;1023,"NG","OK"),"-")</f>
        <v>-</v>
      </c>
      <c r="L181" s="387">
        <f>IF(Main_Parameters!$S$7="Original",Main_Parameters!$G$20,J181)</f>
        <v>88</v>
      </c>
      <c r="M181" s="391"/>
      <c r="N181" s="389">
        <f>IF(Main_Parameters!$S$7="640x480p60Hz (1)",P181,IF(Main_Parameters!$S$7="720x480p60Hz (2)",Q181,IF(Main_Parameters!$S$7="1280x720p60Hz (4)",R181,IF(Main_Parameters!$S$7="1920x1080p60Hz (16)",S181,IF(Main_Parameters!$S$7="1920x1200p60Hz (68)",V181,IF(Main_Parameters!$S$7="2560x1600p60Hz (76)",W181,O181))))))</f>
        <v>64</v>
      </c>
      <c r="O181" s="389">
        <f>HEX2DEC(RIGHT(DEC2HEX(L182,3),2))</f>
        <v>56</v>
      </c>
      <c r="P181" s="389">
        <v>224</v>
      </c>
      <c r="Q181" s="389">
        <v>224</v>
      </c>
      <c r="R181" s="389">
        <v>208</v>
      </c>
      <c r="S181" s="389">
        <v>56</v>
      </c>
      <c r="T181" s="389">
        <v>0</v>
      </c>
      <c r="U181" s="389">
        <v>32</v>
      </c>
      <c r="V181" s="389">
        <v>176</v>
      </c>
      <c r="W181" s="389">
        <v>64</v>
      </c>
      <c r="X181" s="376"/>
      <c r="Y181" s="376"/>
      <c r="Z181" s="220"/>
      <c r="AA181" s="116"/>
      <c r="AB181" s="116"/>
      <c r="AC181" s="116"/>
      <c r="AD181" s="116"/>
      <c r="AJ181" s="170"/>
    </row>
    <row r="182" spans="2:36" ht="15">
      <c r="B182" s="19" t="s">
        <v>88</v>
      </c>
      <c r="C182" s="5" t="s">
        <v>163</v>
      </c>
      <c r="D182" s="17" t="s">
        <v>358</v>
      </c>
      <c r="E182" s="109" t="str">
        <f t="shared" si="10"/>
        <v>2E</v>
      </c>
      <c r="F182" s="126"/>
      <c r="G182" s="140">
        <f t="shared" si="7"/>
        <v>46</v>
      </c>
      <c r="H182" s="504" t="s">
        <v>697</v>
      </c>
      <c r="I182" s="504"/>
      <c r="J182" s="142">
        <v>1080</v>
      </c>
      <c r="K182" s="132" t="str">
        <f>IF(Main_Parameters!$U$7=1,IF(L182&gt;4095,"NG","OK"),"-")</f>
        <v>-</v>
      </c>
      <c r="L182" s="387">
        <f>IF(Main_Parameters!$S$7="Original",Main_Parameters!$J$20,J182)</f>
        <v>1080</v>
      </c>
      <c r="M182" s="391"/>
      <c r="N182" s="389">
        <f>IF(Main_Parameters!$S$7="640x480p60Hz (1)",P182,IF(Main_Parameters!$S$7="720x480p60Hz (2)",Q182,IF(Main_Parameters!$S$7="1280x720p60Hz (4)",R182,IF(Main_Parameters!$S$7="1920x1080p60Hz (16)",S182,IF(Main_Parameters!$S$7="1920x1200p60Hz (68)",V182,IF(Main_Parameters!$S$7="2560x1600p60Hz (76)",W182,O182))))))</f>
        <v>46</v>
      </c>
      <c r="O182" s="389">
        <f>HEX2DEC(RIGHT(DEC2HEX(L183+L184+L185,3),2))</f>
        <v>45</v>
      </c>
      <c r="P182" s="389">
        <v>45</v>
      </c>
      <c r="Q182" s="389">
        <v>45</v>
      </c>
      <c r="R182" s="389">
        <v>30</v>
      </c>
      <c r="S182" s="389">
        <v>45</v>
      </c>
      <c r="T182" s="389">
        <v>38</v>
      </c>
      <c r="U182" s="389">
        <v>23</v>
      </c>
      <c r="V182" s="389">
        <v>35</v>
      </c>
      <c r="W182" s="389">
        <v>46</v>
      </c>
      <c r="X182" s="376"/>
      <c r="Y182" s="376"/>
      <c r="Z182" s="220"/>
      <c r="AA182" s="116"/>
      <c r="AB182" s="116"/>
      <c r="AC182" s="116"/>
      <c r="AD182" s="116"/>
      <c r="AJ182" s="170"/>
    </row>
    <row r="183" spans="2:36" ht="15">
      <c r="B183" s="19" t="s">
        <v>88</v>
      </c>
      <c r="C183" s="5" t="s">
        <v>163</v>
      </c>
      <c r="D183" s="17" t="s">
        <v>359</v>
      </c>
      <c r="E183" s="109" t="str">
        <f t="shared" si="10"/>
        <v>60</v>
      </c>
      <c r="F183" s="126"/>
      <c r="G183" s="140">
        <f t="shared" si="7"/>
        <v>96</v>
      </c>
      <c r="H183" s="504" t="s">
        <v>733</v>
      </c>
      <c r="I183" s="504"/>
      <c r="J183" s="142">
        <v>5</v>
      </c>
      <c r="K183" s="132" t="str">
        <f>IF(Main_Parameters!$U$7=1,IF(L183&gt;15,"NG","OK"),"-")</f>
        <v>-</v>
      </c>
      <c r="L183" s="387">
        <f>IF(Main_Parameters!$S$7="Original",Main_Parameters!$H$20,J183)</f>
        <v>5</v>
      </c>
      <c r="M183" s="391"/>
      <c r="N183" s="389">
        <f>IF(Main_Parameters!$S$7="640x480p60Hz (1)",P183,IF(Main_Parameters!$S$7="720x480p60Hz (2)",Q183,IF(Main_Parameters!$S$7="1280x720p60Hz (4)",R183,IF(Main_Parameters!$S$7="1920x1080p60Hz (16)",S183,IF(Main_Parameters!$S$7="1920x1200p60Hz (68)",V183,IF(Main_Parameters!$S$7="2560x1600p60Hz (76)",W183,O183))))))</f>
        <v>96</v>
      </c>
      <c r="O183" s="389">
        <f>HEX2DEC((LEFT(DEC2HEX(L182,3),1)))*2^4+HEX2DEC(LEFT(DEC2HEX(L183+L184+L185,3),1))</f>
        <v>64</v>
      </c>
      <c r="P183" s="389">
        <v>16</v>
      </c>
      <c r="Q183" s="389">
        <v>16</v>
      </c>
      <c r="R183" s="389">
        <v>32</v>
      </c>
      <c r="S183" s="389">
        <v>64</v>
      </c>
      <c r="T183" s="389">
        <v>48</v>
      </c>
      <c r="U183" s="389">
        <v>48</v>
      </c>
      <c r="V183" s="389">
        <v>64</v>
      </c>
      <c r="W183" s="389">
        <v>96</v>
      </c>
      <c r="X183" s="376"/>
      <c r="Y183" s="376"/>
      <c r="Z183" s="220"/>
      <c r="AA183" s="116"/>
      <c r="AB183" s="116"/>
      <c r="AC183" s="116"/>
      <c r="AD183" s="116"/>
      <c r="AJ183" s="170"/>
    </row>
    <row r="184" spans="2:36" ht="15">
      <c r="B184" s="19" t="s">
        <v>88</v>
      </c>
      <c r="C184" s="5" t="s">
        <v>163</v>
      </c>
      <c r="D184" s="17" t="s">
        <v>360</v>
      </c>
      <c r="E184" s="109" t="str">
        <f t="shared" si="10"/>
        <v>30</v>
      </c>
      <c r="F184" s="126"/>
      <c r="G184" s="140">
        <f t="shared" si="7"/>
        <v>48</v>
      </c>
      <c r="H184" s="504" t="s">
        <v>694</v>
      </c>
      <c r="I184" s="504"/>
      <c r="J184" s="142">
        <v>36</v>
      </c>
      <c r="K184" s="132" t="str">
        <f>IF(Main_Parameters!$U$7=1,IF(L183+L184+L185&gt;4095,"NG","OK"),"-")</f>
        <v>-</v>
      </c>
      <c r="L184" s="387">
        <f>IF(Main_Parameters!$S$7="Original",Main_Parameters!$I$20,J184)</f>
        <v>36</v>
      </c>
      <c r="M184" s="391"/>
      <c r="N184" s="389">
        <f>IF(Main_Parameters!$S$7="640x480p60Hz (1)",P184,IF(Main_Parameters!$S$7="720x480p60Hz (2)",Q184,IF(Main_Parameters!$S$7="1280x720p60Hz (4)",R184,IF(Main_Parameters!$S$7="1920x1080p60Hz (16)",S184,IF(Main_Parameters!$S$7="1920x1200p60Hz (68)",V184,IF(Main_Parameters!$S$7="2560x1600p60Hz (76)",W184,O184))))))</f>
        <v>48</v>
      </c>
      <c r="O184" s="389">
        <f>HEX2DEC(RIGHT(DEC2HEX(L181,3),2))</f>
        <v>88</v>
      </c>
      <c r="P184" s="389">
        <v>16</v>
      </c>
      <c r="Q184" s="389">
        <v>16</v>
      </c>
      <c r="R184" s="389">
        <v>110</v>
      </c>
      <c r="S184" s="389">
        <v>88</v>
      </c>
      <c r="T184" s="389">
        <v>24</v>
      </c>
      <c r="U184" s="389">
        <v>48</v>
      </c>
      <c r="V184" s="389">
        <v>48</v>
      </c>
      <c r="W184" s="389">
        <v>48</v>
      </c>
      <c r="X184" s="376"/>
      <c r="Y184" s="376"/>
      <c r="Z184" s="220"/>
      <c r="AA184" s="116"/>
      <c r="AB184" s="116"/>
      <c r="AC184" s="116"/>
      <c r="AD184" s="116"/>
      <c r="AJ184" s="170"/>
    </row>
    <row r="185" spans="2:36" ht="15">
      <c r="B185" s="19" t="s">
        <v>88</v>
      </c>
      <c r="C185" s="5" t="s">
        <v>163</v>
      </c>
      <c r="D185" s="17" t="s">
        <v>361</v>
      </c>
      <c r="E185" s="109" t="str">
        <f t="shared" si="10"/>
        <v>20</v>
      </c>
      <c r="F185" s="126"/>
      <c r="G185" s="140">
        <f t="shared" si="7"/>
        <v>32</v>
      </c>
      <c r="H185" s="504" t="s">
        <v>734</v>
      </c>
      <c r="I185" s="504"/>
      <c r="J185" s="142">
        <v>4</v>
      </c>
      <c r="K185" s="132" t="str">
        <f>IF(Main_Parameters!$U$7=1,IF(L185&gt;15,"NG","OK"),"-")</f>
        <v>-</v>
      </c>
      <c r="L185" s="387">
        <f>IF(Main_Parameters!$S$7="Original",Main_Parameters!$K$20,J185)</f>
        <v>4</v>
      </c>
      <c r="M185" s="391"/>
      <c r="N185" s="389">
        <f>IF(Main_Parameters!$S$7="640x480p60Hz (1)",P185,IF(Main_Parameters!$S$7="720x480p60Hz (2)",Q185,IF(Main_Parameters!$S$7="1280x720p60Hz (4)",R185,IF(Main_Parameters!$S$7="1920x1080p60Hz (16)",S185,IF(Main_Parameters!$S$7="1920x1200p60Hz (68)",V185,IF(Main_Parameters!$S$7="2560x1600p60Hz (76)",W185,O185))))))</f>
        <v>32</v>
      </c>
      <c r="O185" s="389">
        <f>HEX2DEC(RIGHT(DEC2HEX(L179,3),2))</f>
        <v>44</v>
      </c>
      <c r="P185" s="389">
        <v>96</v>
      </c>
      <c r="Q185" s="389">
        <v>62</v>
      </c>
      <c r="R185" s="389">
        <v>40</v>
      </c>
      <c r="S185" s="389">
        <v>44</v>
      </c>
      <c r="T185" s="389">
        <v>136</v>
      </c>
      <c r="U185" s="389">
        <v>32</v>
      </c>
      <c r="V185" s="389">
        <v>32</v>
      </c>
      <c r="W185" s="389">
        <v>32</v>
      </c>
      <c r="X185" s="376"/>
      <c r="Y185" s="376"/>
      <c r="Z185" s="220"/>
      <c r="AA185" s="116"/>
      <c r="AB185" s="116"/>
      <c r="AC185" s="116"/>
      <c r="AD185" s="116"/>
      <c r="AJ185" s="170"/>
    </row>
    <row r="186" spans="2:36" ht="15">
      <c r="B186" s="19" t="s">
        <v>88</v>
      </c>
      <c r="C186" s="5" t="s">
        <v>163</v>
      </c>
      <c r="D186" s="17" t="s">
        <v>362</v>
      </c>
      <c r="E186" s="109" t="str">
        <f t="shared" si="10"/>
        <v>36</v>
      </c>
      <c r="F186" s="126"/>
      <c r="G186" s="140">
        <f t="shared" si="7"/>
        <v>54</v>
      </c>
      <c r="H186" s="504" t="s">
        <v>695</v>
      </c>
      <c r="I186" s="504"/>
      <c r="J186" s="142">
        <v>708</v>
      </c>
      <c r="K186" s="132" t="str">
        <f>IF(Main_Parameters!$U$7=1,IF(L186&gt;4095,"NG","OK"),"-")</f>
        <v>-</v>
      </c>
      <c r="L186" s="387">
        <f>IF(Main_Parameters!$S$7="Original",Main_Parameters!$F$20,J186)</f>
        <v>708</v>
      </c>
      <c r="M186" s="391"/>
      <c r="N186" s="389">
        <f>IF(Main_Parameters!$S$7="640x480p60Hz (1)",P186,IF(Main_Parameters!$S$7="720x480p60Hz (2)",Q186,IF(Main_Parameters!$S$7="1280x720p60Hz (4)",R186,IF(Main_Parameters!$S$7="1920x1080p60Hz (16)",S186,IF(Main_Parameters!$S$7="1920x1200p60Hz (68)",V186,IF(Main_Parameters!$S$7="2560x1600p60Hz (76)",W186,O186))))))</f>
        <v>54</v>
      </c>
      <c r="O186" s="389">
        <f>HEX2DEC(RIGHT(DEC2HEX(L185,2),1))*2^4+HEX2DEC(RIGHT(DEC2HEX(L183,2),1))</f>
        <v>69</v>
      </c>
      <c r="P186" s="389">
        <v>162</v>
      </c>
      <c r="Q186" s="389">
        <v>150</v>
      </c>
      <c r="R186" s="389">
        <v>85</v>
      </c>
      <c r="S186" s="389">
        <v>69</v>
      </c>
      <c r="T186" s="389">
        <v>54</v>
      </c>
      <c r="U186" s="389">
        <v>54</v>
      </c>
      <c r="V186" s="389">
        <v>54</v>
      </c>
      <c r="W186" s="389">
        <v>54</v>
      </c>
      <c r="X186" s="376"/>
      <c r="Y186" s="376"/>
      <c r="Z186" s="220"/>
      <c r="AA186" s="116"/>
      <c r="AB186" s="116"/>
      <c r="AC186" s="116"/>
      <c r="AD186" s="116"/>
      <c r="AJ186" s="170"/>
    </row>
    <row r="187" spans="2:36" ht="15">
      <c r="B187" s="19" t="s">
        <v>88</v>
      </c>
      <c r="C187" s="5" t="s">
        <v>163</v>
      </c>
      <c r="D187" s="17" t="s">
        <v>363</v>
      </c>
      <c r="E187" s="109" t="str">
        <f t="shared" si="10"/>
        <v>00</v>
      </c>
      <c r="F187" s="126"/>
      <c r="G187" s="140">
        <f t="shared" si="7"/>
        <v>0</v>
      </c>
      <c r="H187" s="504" t="s">
        <v>696</v>
      </c>
      <c r="I187" s="504"/>
      <c r="J187" s="142">
        <v>398</v>
      </c>
      <c r="K187" s="132" t="str">
        <f>IF(Main_Parameters!$U$7=1,IF(L187&gt;4095,"NG","OK"),"-")</f>
        <v>-</v>
      </c>
      <c r="L187" s="387">
        <f>IF(Main_Parameters!$S$7="Original",Main_Parameters!$J$20,J187)</f>
        <v>398</v>
      </c>
      <c r="M187" s="391"/>
      <c r="N187" s="389">
        <f>IF(Main_Parameters!$S$7="640x480p60Hz (1)",P187,IF(Main_Parameters!$S$7="720x480p60Hz (2)",Q187,IF(Main_Parameters!$S$7="1280x720p60Hz (4)",R187,IF(Main_Parameters!$S$7="1920x1080p60Hz (16)",S187,IF(Main_Parameters!$S$7="1920x1200p60Hz (68)",V187,IF(Main_Parameters!$S$7="2560x1600p60Hz (76)",W187,O187))))))</f>
        <v>0</v>
      </c>
      <c r="O187" s="389">
        <f>HEX2DEC(LEFT(DEC2HEX(L181,3),1))*2^6+HEX2DEC(LEFT(DEC2HEX(L179,3),1))*2^4+HEX2DEC(LEFT(DEC2HEX(L185,2),1))*2^2+HEX2DEC(LEFT(DEC2HEX(L183,2),1))</f>
        <v>0</v>
      </c>
      <c r="P187" s="389">
        <v>0</v>
      </c>
      <c r="Q187" s="389">
        <v>0</v>
      </c>
      <c r="R187" s="389">
        <v>0</v>
      </c>
      <c r="S187" s="389">
        <v>0</v>
      </c>
      <c r="T187" s="389">
        <v>0</v>
      </c>
      <c r="U187" s="389">
        <v>0</v>
      </c>
      <c r="V187" s="389">
        <v>0</v>
      </c>
      <c r="W187" s="389">
        <v>0</v>
      </c>
      <c r="X187" s="376"/>
      <c r="Y187" s="376"/>
      <c r="Z187" s="220"/>
      <c r="AA187" s="116"/>
      <c r="AB187" s="116"/>
      <c r="AC187" s="116"/>
      <c r="AD187" s="116"/>
      <c r="AJ187" s="170"/>
    </row>
    <row r="188" spans="2:36" ht="15">
      <c r="B188" s="19" t="s">
        <v>88</v>
      </c>
      <c r="C188" s="5" t="s">
        <v>163</v>
      </c>
      <c r="D188" s="17" t="s">
        <v>364</v>
      </c>
      <c r="E188" s="109" t="str">
        <f t="shared" si="10"/>
        <v>00</v>
      </c>
      <c r="F188" s="126"/>
      <c r="G188" s="140">
        <f t="shared" si="7"/>
        <v>0</v>
      </c>
      <c r="H188" s="504" t="s">
        <v>830</v>
      </c>
      <c r="I188" s="504"/>
      <c r="J188" s="14" t="s">
        <v>1165</v>
      </c>
      <c r="K188" s="140">
        <f>IF(L188="Interlace",1,0)</f>
        <v>0</v>
      </c>
      <c r="L188" s="387" t="str">
        <f>IF(Main_Parameters!$S$7="Original",Main_Parameters!$M$21,J188)</f>
        <v>Progressive</v>
      </c>
      <c r="M188" s="392"/>
      <c r="N188" s="389">
        <f>IF(Main_Parameters!$S$7="640x480p60Hz (1)",P188,IF(Main_Parameters!$S$7="720x480p60Hz (2)",Q188,IF(Main_Parameters!$S$7="1280x720p60Hz (4)",R188,IF(Main_Parameters!$S$7="1920x1080p60Hz (16)",S188,IF(Main_Parameters!$S$7="1920x1200p60Hz (68)",V188,IF(Main_Parameters!$S$7="2560x1600p60Hz (76)",W188,O188))))))</f>
        <v>0</v>
      </c>
      <c r="O188" s="389">
        <f>HEX2DEC(RIGHT(DEC2HEX(L186,3),2))</f>
        <v>196</v>
      </c>
      <c r="P188" s="389">
        <v>196</v>
      </c>
      <c r="Q188" s="389">
        <v>19</v>
      </c>
      <c r="R188" s="389">
        <v>196</v>
      </c>
      <c r="S188" s="389">
        <v>196</v>
      </c>
      <c r="T188" s="389">
        <v>0</v>
      </c>
      <c r="U188" s="389">
        <v>0</v>
      </c>
      <c r="V188" s="389">
        <v>128</v>
      </c>
      <c r="W188" s="389">
        <v>0</v>
      </c>
      <c r="X188" s="376"/>
      <c r="Y188" s="376"/>
      <c r="Z188" s="220"/>
      <c r="AA188" s="116"/>
      <c r="AB188" s="116"/>
      <c r="AC188" s="116"/>
      <c r="AD188" s="116"/>
      <c r="AJ188" s="170"/>
    </row>
    <row r="189" spans="2:36" ht="15">
      <c r="B189" s="19" t="s">
        <v>88</v>
      </c>
      <c r="C189" s="5" t="s">
        <v>163</v>
      </c>
      <c r="D189" s="17" t="s">
        <v>365</v>
      </c>
      <c r="E189" s="109" t="str">
        <f t="shared" si="10"/>
        <v>40</v>
      </c>
      <c r="F189" s="126"/>
      <c r="G189" s="140">
        <f t="shared" si="7"/>
        <v>64</v>
      </c>
      <c r="H189" s="504" t="s">
        <v>831</v>
      </c>
      <c r="I189" s="504"/>
      <c r="J189" s="14" t="s">
        <v>833</v>
      </c>
      <c r="K189" s="140">
        <f>IF(L189="H Active",1,0)</f>
        <v>0</v>
      </c>
      <c r="L189" s="387" t="str">
        <f>IF(Main_Parameters!$S$7="Original",Main_Parameters!$M$24,J189)</f>
        <v>L Active</v>
      </c>
      <c r="M189" s="392"/>
      <c r="N189" s="389">
        <f>IF(Main_Parameters!$S$7="640x480p60Hz (1)",P189,IF(Main_Parameters!$S$7="720x480p60Hz (2)",Q189,IF(Main_Parameters!$S$7="1280x720p60Hz (4)",R189,IF(Main_Parameters!$S$7="1920x1080p60Hz (16)",S189,IF(Main_Parameters!$S$7="1920x1200p60Hz (68)",V189,IF(Main_Parameters!$S$7="2560x1600p60Hz (76)",W189,O189))))))</f>
        <v>64</v>
      </c>
      <c r="O189" s="389">
        <f>HEX2DEC(RIGHT(DEC2HEX(L187,3),2))</f>
        <v>142</v>
      </c>
      <c r="P189" s="389">
        <v>142</v>
      </c>
      <c r="Q189" s="389">
        <v>142</v>
      </c>
      <c r="R189" s="389">
        <v>142</v>
      </c>
      <c r="S189" s="389">
        <v>142</v>
      </c>
      <c r="T189" s="389">
        <v>0</v>
      </c>
      <c r="U189" s="389">
        <v>32</v>
      </c>
      <c r="V189" s="389">
        <v>176</v>
      </c>
      <c r="W189" s="389">
        <v>64</v>
      </c>
      <c r="X189" s="376"/>
      <c r="Y189" s="376"/>
      <c r="Z189" s="220"/>
      <c r="AA189" s="116"/>
      <c r="AB189" s="116"/>
      <c r="AC189" s="116"/>
      <c r="AD189" s="116"/>
      <c r="AJ189" s="170"/>
    </row>
    <row r="190" spans="2:36" ht="15">
      <c r="B190" s="19" t="s">
        <v>88</v>
      </c>
      <c r="C190" s="5" t="s">
        <v>163</v>
      </c>
      <c r="D190" s="17" t="s">
        <v>366</v>
      </c>
      <c r="E190" s="109" t="str">
        <f t="shared" si="10"/>
        <v>A6</v>
      </c>
      <c r="F190" s="127" t="s">
        <v>657</v>
      </c>
      <c r="G190" s="140">
        <f t="shared" si="7"/>
        <v>166</v>
      </c>
      <c r="H190" s="504" t="s">
        <v>832</v>
      </c>
      <c r="I190" s="504"/>
      <c r="J190" s="14" t="s">
        <v>833</v>
      </c>
      <c r="K190" s="140">
        <f>IF(L190="H Active",1,0)</f>
        <v>0</v>
      </c>
      <c r="L190" s="387" t="str">
        <f>IF(Main_Parameters!$S$7="Original",Main_Parameters!$M$23,J190)</f>
        <v>L Active</v>
      </c>
      <c r="M190" s="392"/>
      <c r="N190" s="389">
        <f>IF(Main_Parameters!$S$7="640x480p60Hz (1)",P190,IF(Main_Parameters!$S$7="720x480p60Hz (2)",Q190,IF(Main_Parameters!$S$7="1280x720p60Hz (4)",R190,IF(Main_Parameters!$S$7="1920x1080p60Hz (16)",S190,IF(Main_Parameters!$S$7="1920x1200p60Hz (68)",V190,IF(Main_Parameters!$S$7="2560x1600p60Hz (76)",W190,O190))))))</f>
        <v>166</v>
      </c>
      <c r="O190" s="389">
        <f>HEX2DEC((LEFT(DEC2HEX(L186,3),1)))*2^4+HEX2DEC(LEFT(DEC2HEX(L187,3),1))</f>
        <v>33</v>
      </c>
      <c r="P190" s="389">
        <v>33</v>
      </c>
      <c r="Q190" s="389">
        <v>33</v>
      </c>
      <c r="R190" s="389">
        <v>33</v>
      </c>
      <c r="S190" s="389">
        <v>33</v>
      </c>
      <c r="T190" s="389">
        <v>67</v>
      </c>
      <c r="U190" s="389">
        <v>83</v>
      </c>
      <c r="V190" s="389">
        <v>116</v>
      </c>
      <c r="W190" s="389">
        <v>166</v>
      </c>
      <c r="X190" s="376"/>
      <c r="Y190" s="376"/>
      <c r="Z190" s="220"/>
      <c r="AA190" s="116"/>
      <c r="AB190" s="116"/>
      <c r="AC190" s="116"/>
      <c r="AD190" s="116"/>
      <c r="AJ190" s="170"/>
    </row>
    <row r="191" spans="2:36" hidden="1">
      <c r="B191" s="19" t="s">
        <v>88</v>
      </c>
      <c r="C191" s="5" t="s">
        <v>163</v>
      </c>
      <c r="D191" s="17" t="s">
        <v>367</v>
      </c>
      <c r="E191" s="109" t="str">
        <f t="shared" si="10"/>
        <v>00</v>
      </c>
      <c r="F191" s="127"/>
      <c r="G191" s="140">
        <f t="shared" si="7"/>
        <v>0</v>
      </c>
      <c r="H191"/>
      <c r="I191"/>
      <c r="J191"/>
      <c r="K191" s="140">
        <f>K188*2^7+3*2^3+K189*2^2+K190*2^1</f>
        <v>24</v>
      </c>
      <c r="L191" s="392"/>
      <c r="M191" s="392"/>
      <c r="N191" s="389">
        <f>IF(Main_Parameters!$S$7="640x480p60Hz (1)",P191,IF(Main_Parameters!$S$7="720x480p60Hz (2)",Q191,IF(Main_Parameters!$S$7="1280x720p60Hz (4)",R191,IF(Main_Parameters!$S$7="1920x1080p60Hz (16)",S191,IF(Main_Parameters!$S$7="1920x1200p60Hz (68)",V191,IF(Main_Parameters!$S$7="2560x1600p60Hz (76)",W191,O191))))))</f>
        <v>0</v>
      </c>
      <c r="O191" s="389">
        <v>0</v>
      </c>
      <c r="P191" s="389">
        <v>0</v>
      </c>
      <c r="Q191" s="389">
        <v>0</v>
      </c>
      <c r="R191" s="389">
        <v>0</v>
      </c>
      <c r="S191" s="389">
        <v>0</v>
      </c>
      <c r="T191" s="389">
        <v>0</v>
      </c>
      <c r="U191" s="389">
        <v>0</v>
      </c>
      <c r="V191" s="389">
        <v>0</v>
      </c>
      <c r="W191" s="389">
        <v>0</v>
      </c>
      <c r="X191" s="376"/>
      <c r="Y191" s="376"/>
      <c r="Z191" s="220"/>
      <c r="AA191" s="116"/>
      <c r="AB191" s="116"/>
      <c r="AC191" s="116"/>
      <c r="AD191" s="116"/>
      <c r="AJ191" s="170"/>
    </row>
    <row r="192" spans="2:36" hidden="1">
      <c r="B192" s="19" t="s">
        <v>88</v>
      </c>
      <c r="C192" s="5" t="s">
        <v>163</v>
      </c>
      <c r="D192" s="17" t="s">
        <v>368</v>
      </c>
      <c r="E192" s="109" t="str">
        <f t="shared" si="10"/>
        <v>00</v>
      </c>
      <c r="F192" s="127" t="s">
        <v>658</v>
      </c>
      <c r="G192" s="140">
        <f t="shared" si="7"/>
        <v>0</v>
      </c>
      <c r="H192"/>
      <c r="I192"/>
      <c r="J192"/>
      <c r="K192"/>
      <c r="L192" s="392"/>
      <c r="M192" s="392"/>
      <c r="N192" s="389">
        <f>IF(Main_Parameters!$S$7="640x480p60Hz (1)",P192,IF(Main_Parameters!$S$7="720x480p60Hz (2)",Q192,IF(Main_Parameters!$S$7="1280x720p60Hz (4)",R192,IF(Main_Parameters!$S$7="1920x1080p60Hz (16)",S192,IF(Main_Parameters!$S$7="1920x1200p60Hz (68)",V192,IF(Main_Parameters!$S$7="2560x1600p60Hz (76)",W192,O192))))))</f>
        <v>0</v>
      </c>
      <c r="O192" s="389">
        <v>0</v>
      </c>
      <c r="P192" s="389">
        <v>0</v>
      </c>
      <c r="Q192" s="389">
        <v>0</v>
      </c>
      <c r="R192" s="389">
        <v>0</v>
      </c>
      <c r="S192" s="389">
        <v>0</v>
      </c>
      <c r="T192" s="389">
        <v>0</v>
      </c>
      <c r="U192" s="389">
        <v>0</v>
      </c>
      <c r="V192" s="389">
        <v>0</v>
      </c>
      <c r="W192" s="389">
        <v>0</v>
      </c>
      <c r="X192" s="376"/>
      <c r="Y192" s="376"/>
      <c r="Z192" s="220"/>
      <c r="AA192" s="116"/>
      <c r="AB192" s="116"/>
      <c r="AC192" s="116"/>
      <c r="AD192" s="116"/>
      <c r="AJ192" s="170"/>
    </row>
    <row r="193" spans="2:36" hidden="1">
      <c r="B193" s="19" t="s">
        <v>88</v>
      </c>
      <c r="C193" s="5" t="s">
        <v>163</v>
      </c>
      <c r="D193" s="17" t="s">
        <v>369</v>
      </c>
      <c r="E193" s="109" t="str">
        <f t="shared" si="10"/>
        <v>18</v>
      </c>
      <c r="F193" s="127" t="s">
        <v>659</v>
      </c>
      <c r="G193" s="140">
        <f t="shared" si="7"/>
        <v>24</v>
      </c>
      <c r="H193"/>
      <c r="I193"/>
      <c r="J193"/>
      <c r="K193" s="140" t="str">
        <f>IF(Main_Parameters!$R$8="Select","Disable","Enable")</f>
        <v>Enable</v>
      </c>
      <c r="L193" s="392"/>
      <c r="M193" s="392"/>
      <c r="N193" s="389">
        <f>IF(Main_Parameters!$S$7="640x480p60Hz (1)",P193,IF(Main_Parameters!$S$7="720x480p60Hz (2)",Q193,IF(Main_Parameters!$S$7="1280x720p60Hz (4)",R193,IF(Main_Parameters!$S$7="1920x1080p60Hz (16)",S193,IF(Main_Parameters!$S$7="1920x1200p60Hz (68)",V193,IF(Main_Parameters!$S$7="2560x1600p60Hz (76)",W193,O193))))))</f>
        <v>24</v>
      </c>
      <c r="O193" s="389">
        <f>K191</f>
        <v>24</v>
      </c>
      <c r="P193" s="389">
        <v>30</v>
      </c>
      <c r="Q193" s="389">
        <v>30</v>
      </c>
      <c r="R193" s="389">
        <v>30</v>
      </c>
      <c r="S193" s="389">
        <v>30</v>
      </c>
      <c r="T193" s="389">
        <v>24</v>
      </c>
      <c r="U193" s="389">
        <v>24</v>
      </c>
      <c r="V193" s="389">
        <v>24</v>
      </c>
      <c r="W193" s="389">
        <v>24</v>
      </c>
      <c r="X193" s="376"/>
      <c r="Y193" s="376"/>
      <c r="Z193" s="220"/>
      <c r="AA193" s="116"/>
      <c r="AB193" s="116"/>
      <c r="AC193" s="116"/>
      <c r="AD193" s="116"/>
      <c r="AJ193" s="170"/>
    </row>
    <row r="194" spans="2:36" ht="15">
      <c r="B194" s="19" t="s">
        <v>88</v>
      </c>
      <c r="C194" s="5" t="s">
        <v>163</v>
      </c>
      <c r="D194" s="17" t="s">
        <v>370</v>
      </c>
      <c r="E194" s="109" t="str">
        <f>DEC2HEX(N194,2)</f>
        <v>EC</v>
      </c>
      <c r="F194" s="127" t="s">
        <v>657</v>
      </c>
      <c r="G194" s="140">
        <f t="shared" si="7"/>
        <v>236</v>
      </c>
      <c r="H194" s="505" t="s">
        <v>1191</v>
      </c>
      <c r="I194" s="505"/>
      <c r="J194" s="505"/>
      <c r="K194" s="134" t="s">
        <v>700</v>
      </c>
      <c r="L194" s="387"/>
      <c r="M194" s="387"/>
      <c r="N194" s="389">
        <f>IF(Main_Parameters!$S$8="640x480p60Hz (1)",P194,IF(Main_Parameters!$S$8="720x480p60Hz (2)",Q194,IF(Main_Parameters!$S$8="1280x720p60Hz (4)",R194,IF(Main_Parameters!$S$8="1920x1080p60Hz (16)",S194,IF(Main_Parameters!$S$8="1920x1200p60Hz (68)",V194,IF(Main_Parameters!$S$8="2560x1600p60Hz (76)",W194,O194))))))</f>
        <v>236</v>
      </c>
      <c r="O194" s="389">
        <f>HEX2DEC(RIGHT(DEC2HEX(L195*100,4),2))</f>
        <v>140</v>
      </c>
      <c r="P194" s="389">
        <v>216</v>
      </c>
      <c r="Q194" s="389">
        <v>140</v>
      </c>
      <c r="R194" s="389">
        <v>1</v>
      </c>
      <c r="S194" s="389">
        <v>2</v>
      </c>
      <c r="T194" s="389">
        <v>100</v>
      </c>
      <c r="U194" s="389">
        <v>188</v>
      </c>
      <c r="V194" s="389">
        <v>40</v>
      </c>
      <c r="W194" s="389">
        <v>236</v>
      </c>
      <c r="X194" s="376"/>
      <c r="Y194" s="376"/>
      <c r="Z194" s="220"/>
      <c r="AA194" s="116"/>
      <c r="AB194" s="116"/>
      <c r="AC194" s="116"/>
      <c r="AD194" s="116"/>
      <c r="AJ194" s="170"/>
    </row>
    <row r="195" spans="2:36" ht="15">
      <c r="B195" s="19" t="s">
        <v>88</v>
      </c>
      <c r="C195" s="5" t="s">
        <v>163</v>
      </c>
      <c r="D195" s="17" t="s">
        <v>371</v>
      </c>
      <c r="E195" s="109" t="str">
        <f t="shared" ref="E195:E211" si="11">DEC2HEX(N195,2)</f>
        <v>68</v>
      </c>
      <c r="F195" s="127" t="s">
        <v>661</v>
      </c>
      <c r="G195" s="140">
        <f t="shared" si="7"/>
        <v>104</v>
      </c>
      <c r="H195" s="506" t="s">
        <v>699</v>
      </c>
      <c r="I195" s="506"/>
      <c r="J195" s="142">
        <v>27</v>
      </c>
      <c r="K195" s="132" t="str">
        <f>IF(Main_Parameters!$U$8=1,IF(L195*100&gt;65535,"NG","OK"),"-")</f>
        <v>-</v>
      </c>
      <c r="L195" s="387">
        <f>IF(Main_Parameters!$S$8="Original",Main_Parameters!$C$20,J195)</f>
        <v>27</v>
      </c>
      <c r="M195" s="391"/>
      <c r="N195" s="389">
        <f>IF(Main_Parameters!$S$8="640x480p60Hz (1)",P195,IF(Main_Parameters!$S$8="720x480p60Hz (2)",Q195,IF(Main_Parameters!$S$8="1280x720p60Hz (4)",R195,IF(Main_Parameters!$S$8="1920x1080p60Hz (16)",S195,IF(Main_Parameters!$S$8="1920x1200p60Hz (68)",V195,IF(Main_Parameters!$S$8="2560x1600p60Hz (76)",W195,O195))))))</f>
        <v>104</v>
      </c>
      <c r="O195" s="389">
        <f>HEX2DEC(LEFT(DEC2HEX(L195*100,4),2))</f>
        <v>10</v>
      </c>
      <c r="P195" s="389">
        <v>9</v>
      </c>
      <c r="Q195" s="389">
        <v>10</v>
      </c>
      <c r="R195" s="389">
        <v>29</v>
      </c>
      <c r="S195" s="389">
        <v>58</v>
      </c>
      <c r="T195" s="389">
        <v>25</v>
      </c>
      <c r="U195" s="389">
        <v>27</v>
      </c>
      <c r="V195" s="389">
        <v>60</v>
      </c>
      <c r="W195" s="389">
        <v>104</v>
      </c>
      <c r="X195" s="376"/>
      <c r="Y195" s="376"/>
      <c r="Z195" s="220"/>
      <c r="AA195" s="116"/>
      <c r="AB195" s="116"/>
      <c r="AC195" s="116"/>
      <c r="AD195" s="116"/>
      <c r="AJ195" s="170"/>
    </row>
    <row r="196" spans="2:36" ht="15">
      <c r="B196" s="19" t="s">
        <v>88</v>
      </c>
      <c r="C196" s="5" t="s">
        <v>163</v>
      </c>
      <c r="D196" s="17" t="s">
        <v>372</v>
      </c>
      <c r="E196" s="109" t="str">
        <f t="shared" si="11"/>
        <v>00</v>
      </c>
      <c r="F196" s="127"/>
      <c r="G196" s="140">
        <f t="shared" si="7"/>
        <v>0</v>
      </c>
      <c r="H196" s="506" t="s">
        <v>698</v>
      </c>
      <c r="I196" s="506"/>
      <c r="J196" s="142">
        <v>1440</v>
      </c>
      <c r="K196" s="132" t="str">
        <f>IF(Main_Parameters!$U$8=1,IF(L196&gt;4095,"NG","OK"),"-")</f>
        <v>-</v>
      </c>
      <c r="L196" s="387">
        <f>IF(Main_Parameters!$S$8="Original",Main_Parameters!$F$20,J196)</f>
        <v>1440</v>
      </c>
      <c r="M196" s="391"/>
      <c r="N196" s="389">
        <f>IF(Main_Parameters!$S$8="640x480p60Hz (1)",P196,IF(Main_Parameters!$S$8="720x480p60Hz (2)",Q196,IF(Main_Parameters!$S$8="1280x720p60Hz (4)",R196,IF(Main_Parameters!$S$8="1920x1080p60Hz (16)",S196,IF(Main_Parameters!$S$8="1920x1200p60Hz (68)",V196,IF(Main_Parameters!$S$8="2560x1600p60Hz (76)",W196,O196))))))</f>
        <v>0</v>
      </c>
      <c r="O196" s="389">
        <f>HEX2DEC(RIGHT(DEC2HEX(L196,3),2))</f>
        <v>160</v>
      </c>
      <c r="P196" s="389">
        <v>128</v>
      </c>
      <c r="Q196" s="389">
        <v>208</v>
      </c>
      <c r="R196" s="389">
        <v>0</v>
      </c>
      <c r="S196" s="389">
        <v>128</v>
      </c>
      <c r="T196" s="389">
        <v>0</v>
      </c>
      <c r="U196" s="389">
        <v>0</v>
      </c>
      <c r="V196" s="389">
        <v>128</v>
      </c>
      <c r="W196" s="389">
        <v>0</v>
      </c>
      <c r="X196" s="376"/>
      <c r="Y196" s="376"/>
      <c r="Z196" s="220"/>
      <c r="AA196" s="116"/>
      <c r="AB196" s="116"/>
      <c r="AC196" s="116"/>
      <c r="AD196" s="116"/>
      <c r="AJ196" s="170"/>
    </row>
    <row r="197" spans="2:36" ht="15">
      <c r="B197" s="19" t="s">
        <v>88</v>
      </c>
      <c r="C197" s="5" t="s">
        <v>163</v>
      </c>
      <c r="D197" s="17" t="s">
        <v>373</v>
      </c>
      <c r="E197" s="109" t="str">
        <f t="shared" si="11"/>
        <v>A0</v>
      </c>
      <c r="F197" s="127"/>
      <c r="G197" s="140">
        <f t="shared" si="7"/>
        <v>160</v>
      </c>
      <c r="H197" s="506" t="s">
        <v>731</v>
      </c>
      <c r="I197" s="506"/>
      <c r="J197" s="142">
        <v>124</v>
      </c>
      <c r="K197" s="132" t="str">
        <f>IF(Main_Parameters!$U$8=1,IF(L197&gt;1023,"NG","OK"),"-")</f>
        <v>-</v>
      </c>
      <c r="L197" s="387">
        <f>IF(Main_Parameters!$S$8="Original",Main_Parameters!$D$20,J197)</f>
        <v>124</v>
      </c>
      <c r="M197" s="391"/>
      <c r="N197" s="389">
        <f>IF(Main_Parameters!$S$8="640x480p60Hz (1)",P197,IF(Main_Parameters!$S$8="720x480p60Hz (2)",Q197,IF(Main_Parameters!$S$8="1280x720p60Hz (4)",R197,IF(Main_Parameters!$S$8="1920x1080p60Hz (16)",S197,IF(Main_Parameters!$S$8="1920x1200p60Hz (68)",V197,IF(Main_Parameters!$S$8="2560x1600p60Hz (76)",W197,O197))))))</f>
        <v>160</v>
      </c>
      <c r="O197" s="389">
        <f>HEX2DEC(RIGHT(DEC2HEX(L197+L198+L199,3),2))</f>
        <v>20</v>
      </c>
      <c r="P197" s="389">
        <v>160</v>
      </c>
      <c r="Q197" s="389">
        <v>138</v>
      </c>
      <c r="R197" s="389">
        <v>114</v>
      </c>
      <c r="S197" s="389">
        <v>24</v>
      </c>
      <c r="T197" s="389">
        <v>64</v>
      </c>
      <c r="U197" s="389">
        <v>160</v>
      </c>
      <c r="V197" s="389">
        <v>160</v>
      </c>
      <c r="W197" s="389">
        <v>160</v>
      </c>
      <c r="X197" s="376"/>
      <c r="Y197" s="376"/>
      <c r="Z197" s="220"/>
      <c r="AA197" s="116"/>
      <c r="AB197" s="116"/>
      <c r="AC197" s="116"/>
      <c r="AD197" s="116"/>
      <c r="AJ197" s="170"/>
    </row>
    <row r="198" spans="2:36" ht="15">
      <c r="B198" s="19" t="s">
        <v>88</v>
      </c>
      <c r="C198" s="5" t="s">
        <v>163</v>
      </c>
      <c r="D198" s="17" t="s">
        <v>374</v>
      </c>
      <c r="E198" s="109" t="str">
        <f t="shared" si="11"/>
        <v>A0</v>
      </c>
      <c r="F198" s="127"/>
      <c r="G198" s="140">
        <f t="shared" ref="G198:G258" si="12">HEX2DEC(E198)</f>
        <v>160</v>
      </c>
      <c r="H198" s="506" t="s">
        <v>693</v>
      </c>
      <c r="I198" s="506"/>
      <c r="J198" s="142">
        <v>114</v>
      </c>
      <c r="K198" s="132" t="str">
        <f>IF(Main_Parameters!$U$8=1,IF(L197+L198+L199&gt;4095,"NG","OK"),"-")</f>
        <v>-</v>
      </c>
      <c r="L198" s="387">
        <f>IF(Main_Parameters!$S$8="Original",Main_Parameters!$E$20,J198)</f>
        <v>114</v>
      </c>
      <c r="M198" s="391"/>
      <c r="N198" s="389">
        <f>IF(Main_Parameters!$S$8="640x480p60Hz (1)",P198,IF(Main_Parameters!$S$8="720x480p60Hz (2)",Q198,IF(Main_Parameters!$S$8="1280x720p60Hz (4)",R198,IF(Main_Parameters!$S$8="1920x1080p60Hz (16)",S198,IF(Main_Parameters!$S$8="1920x1200p60Hz (68)",V198,IF(Main_Parameters!$S$8="2560x1600p60Hz (76)",W198,O198))))))</f>
        <v>160</v>
      </c>
      <c r="O198" s="389">
        <f>HEX2DEC((LEFT(DEC2HEX(L196,3),1)))*2^4+HEX2DEC(LEFT(DEC2HEX(L197+L198+L199,3),1))</f>
        <v>81</v>
      </c>
      <c r="P198" s="389">
        <v>32</v>
      </c>
      <c r="Q198" s="389">
        <v>32</v>
      </c>
      <c r="R198" s="389">
        <v>81</v>
      </c>
      <c r="S198" s="389">
        <v>113</v>
      </c>
      <c r="T198" s="389">
        <v>65</v>
      </c>
      <c r="U198" s="389">
        <v>80</v>
      </c>
      <c r="V198" s="389">
        <v>112</v>
      </c>
      <c r="W198" s="389">
        <v>160</v>
      </c>
      <c r="X198" s="376"/>
      <c r="Y198" s="376"/>
      <c r="Z198" s="220"/>
      <c r="AA198" s="116"/>
      <c r="AB198" s="116"/>
      <c r="AC198" s="116"/>
      <c r="AD198" s="116"/>
      <c r="AJ198" s="170"/>
    </row>
    <row r="199" spans="2:36" ht="15">
      <c r="B199" s="19" t="s">
        <v>88</v>
      </c>
      <c r="C199" s="5" t="s">
        <v>163</v>
      </c>
      <c r="D199" s="17" t="s">
        <v>375</v>
      </c>
      <c r="E199" s="109" t="str">
        <f t="shared" si="11"/>
        <v>40</v>
      </c>
      <c r="F199" s="127"/>
      <c r="G199" s="140">
        <f t="shared" si="12"/>
        <v>64</v>
      </c>
      <c r="H199" s="506" t="s">
        <v>732</v>
      </c>
      <c r="I199" s="506"/>
      <c r="J199" s="142">
        <v>38</v>
      </c>
      <c r="K199" s="132" t="str">
        <f>IF(Main_Parameters!$U$8=1,IF(L199&gt;1023,"NG","OK"),"-")</f>
        <v>-</v>
      </c>
      <c r="L199" s="387">
        <f>IF(Main_Parameters!$S$8="Original",Main_Parameters!$G$20,J199)</f>
        <v>38</v>
      </c>
      <c r="M199" s="391"/>
      <c r="N199" s="389">
        <f>IF(Main_Parameters!$S$8="640x480p60Hz (1)",P199,IF(Main_Parameters!$S$8="720x480p60Hz (2)",Q199,IF(Main_Parameters!$S$8="1280x720p60Hz (4)",R199,IF(Main_Parameters!$S$8="1920x1080p60Hz (16)",S199,IF(Main_Parameters!$S$8="1920x1200p60Hz (68)",V199,IF(Main_Parameters!$S$8="2560x1600p60Hz (76)",W199,O199))))))</f>
        <v>64</v>
      </c>
      <c r="O199" s="389">
        <f>HEX2DEC(RIGHT(DEC2HEX(L200,3),2))</f>
        <v>240</v>
      </c>
      <c r="P199" s="389">
        <v>224</v>
      </c>
      <c r="Q199" s="389">
        <v>224</v>
      </c>
      <c r="R199" s="389">
        <v>208</v>
      </c>
      <c r="S199" s="389">
        <v>56</v>
      </c>
      <c r="T199" s="389">
        <v>0</v>
      </c>
      <c r="U199" s="389">
        <v>32</v>
      </c>
      <c r="V199" s="389">
        <v>176</v>
      </c>
      <c r="W199" s="389">
        <v>64</v>
      </c>
      <c r="X199" s="376"/>
      <c r="Y199" s="376"/>
      <c r="Z199" s="220"/>
      <c r="AA199" s="116"/>
      <c r="AB199" s="116"/>
      <c r="AC199" s="116"/>
      <c r="AD199" s="116"/>
      <c r="AJ199" s="170"/>
    </row>
    <row r="200" spans="2:36" ht="15">
      <c r="B200" s="19" t="s">
        <v>88</v>
      </c>
      <c r="C200" s="5" t="s">
        <v>163</v>
      </c>
      <c r="D200" s="17" t="s">
        <v>376</v>
      </c>
      <c r="E200" s="109" t="str">
        <f t="shared" si="11"/>
        <v>2E</v>
      </c>
      <c r="F200" s="127"/>
      <c r="G200" s="140">
        <f t="shared" si="12"/>
        <v>46</v>
      </c>
      <c r="H200" s="506" t="s">
        <v>697</v>
      </c>
      <c r="I200" s="506"/>
      <c r="J200" s="142">
        <v>240</v>
      </c>
      <c r="K200" s="132" t="str">
        <f>IF(Main_Parameters!$U$8=1,IF(L200&gt;4095,"NG","OK"),"-")</f>
        <v>-</v>
      </c>
      <c r="L200" s="387">
        <f>IF(Main_Parameters!$S$8="Original",Main_Parameters!$J$20,J200)</f>
        <v>240</v>
      </c>
      <c r="M200" s="391"/>
      <c r="N200" s="389">
        <f>IF(Main_Parameters!$S$8="640x480p60Hz (1)",P200,IF(Main_Parameters!$S$8="720x480p60Hz (2)",Q200,IF(Main_Parameters!$S$8="1280x720p60Hz (4)",R200,IF(Main_Parameters!$S$8="1920x1080p60Hz (16)",S200,IF(Main_Parameters!$S$8="1920x1200p60Hz (68)",V200,IF(Main_Parameters!$S$8="2560x1600p60Hz (76)",W200,O200))))))</f>
        <v>46</v>
      </c>
      <c r="O200" s="389">
        <f>HEX2DEC(RIGHT(DEC2HEX(L201+L202+L203,3),2))</f>
        <v>22</v>
      </c>
      <c r="P200" s="389">
        <v>45</v>
      </c>
      <c r="Q200" s="389">
        <v>45</v>
      </c>
      <c r="R200" s="389">
        <v>30</v>
      </c>
      <c r="S200" s="389">
        <v>45</v>
      </c>
      <c r="T200" s="389">
        <v>38</v>
      </c>
      <c r="U200" s="389">
        <v>23</v>
      </c>
      <c r="V200" s="389">
        <v>35</v>
      </c>
      <c r="W200" s="389">
        <v>46</v>
      </c>
      <c r="X200" s="376"/>
      <c r="Y200" s="376"/>
      <c r="Z200" s="220"/>
      <c r="AA200" s="116"/>
      <c r="AB200" s="116"/>
      <c r="AC200" s="116"/>
      <c r="AD200" s="116"/>
      <c r="AJ200" s="170"/>
    </row>
    <row r="201" spans="2:36" ht="15">
      <c r="B201" s="19" t="s">
        <v>88</v>
      </c>
      <c r="C201" s="5" t="s">
        <v>163</v>
      </c>
      <c r="D201" s="17" t="s">
        <v>377</v>
      </c>
      <c r="E201" s="109" t="str">
        <f t="shared" si="11"/>
        <v>60</v>
      </c>
      <c r="F201" s="127"/>
      <c r="G201" s="140">
        <f t="shared" si="12"/>
        <v>96</v>
      </c>
      <c r="H201" s="506" t="s">
        <v>733</v>
      </c>
      <c r="I201" s="506"/>
      <c r="J201" s="142">
        <v>3</v>
      </c>
      <c r="K201" s="132" t="str">
        <f>IF(Main_Parameters!$U$8=1,IF(L201&gt;15,"NG","OK"),"-")</f>
        <v>-</v>
      </c>
      <c r="L201" s="387">
        <f>IF(Main_Parameters!$S$8="Original",Main_Parameters!$H$20,J201)</f>
        <v>3</v>
      </c>
      <c r="M201" s="391"/>
      <c r="N201" s="389">
        <f>IF(Main_Parameters!$S$8="640x480p60Hz (1)",P201,IF(Main_Parameters!$S$8="720x480p60Hz (2)",Q201,IF(Main_Parameters!$S$8="1280x720p60Hz (4)",R201,IF(Main_Parameters!$S$8="1920x1080p60Hz (16)",S201,IF(Main_Parameters!$S$8="1920x1200p60Hz (68)",V201,IF(Main_Parameters!$S$8="2560x1600p60Hz (76)",W201,O201))))))</f>
        <v>96</v>
      </c>
      <c r="O201" s="389">
        <f>HEX2DEC((LEFT(DEC2HEX(L200,3),1)))*2^4+HEX2DEC(LEFT(DEC2HEX(L201+L202+L203,3),1))</f>
        <v>0</v>
      </c>
      <c r="P201" s="389">
        <v>16</v>
      </c>
      <c r="Q201" s="389">
        <v>16</v>
      </c>
      <c r="R201" s="389">
        <v>32</v>
      </c>
      <c r="S201" s="389">
        <v>64</v>
      </c>
      <c r="T201" s="389">
        <v>48</v>
      </c>
      <c r="U201" s="389">
        <v>48</v>
      </c>
      <c r="V201" s="389">
        <v>64</v>
      </c>
      <c r="W201" s="389">
        <v>96</v>
      </c>
      <c r="X201" s="376"/>
      <c r="Y201" s="376"/>
      <c r="Z201" s="220"/>
      <c r="AA201" s="116"/>
      <c r="AB201" s="116"/>
      <c r="AC201" s="116"/>
      <c r="AD201" s="116"/>
      <c r="AJ201" s="170"/>
    </row>
    <row r="202" spans="2:36" ht="15">
      <c r="B202" s="19" t="s">
        <v>88</v>
      </c>
      <c r="C202" s="5" t="s">
        <v>163</v>
      </c>
      <c r="D202" s="17" t="s">
        <v>378</v>
      </c>
      <c r="E202" s="109" t="str">
        <f t="shared" si="11"/>
        <v>30</v>
      </c>
      <c r="F202" s="127"/>
      <c r="G202" s="140">
        <f t="shared" si="12"/>
        <v>48</v>
      </c>
      <c r="H202" s="506" t="s">
        <v>694</v>
      </c>
      <c r="I202" s="506"/>
      <c r="J202" s="142">
        <v>15</v>
      </c>
      <c r="K202" s="132" t="str">
        <f>IF(Main_Parameters!$U$8=1,IF(L201+L202+L203&gt;4095,"NG","OK"),"-")</f>
        <v>-</v>
      </c>
      <c r="L202" s="387">
        <f>IF(Main_Parameters!$S$8="Original",Main_Parameters!$I$20,J202)</f>
        <v>15</v>
      </c>
      <c r="M202" s="391"/>
      <c r="N202" s="389">
        <f>IF(Main_Parameters!$S$8="640x480p60Hz (1)",P202,IF(Main_Parameters!$S$8="720x480p60Hz (2)",Q202,IF(Main_Parameters!$S$8="1280x720p60Hz (4)",R202,IF(Main_Parameters!$S$8="1920x1080p60Hz (16)",S202,IF(Main_Parameters!$S$8="1920x1200p60Hz (68)",V202,IF(Main_Parameters!$S$8="2560x1600p60Hz (76)",W202,O202))))))</f>
        <v>48</v>
      </c>
      <c r="O202" s="389">
        <f>HEX2DEC(RIGHT(DEC2HEX(L199,3),2))</f>
        <v>38</v>
      </c>
      <c r="P202" s="389">
        <v>16</v>
      </c>
      <c r="Q202" s="389">
        <v>16</v>
      </c>
      <c r="R202" s="389">
        <v>110</v>
      </c>
      <c r="S202" s="389">
        <v>88</v>
      </c>
      <c r="T202" s="389">
        <v>24</v>
      </c>
      <c r="U202" s="389">
        <v>48</v>
      </c>
      <c r="V202" s="389">
        <v>48</v>
      </c>
      <c r="W202" s="389">
        <v>48</v>
      </c>
      <c r="X202" s="376"/>
      <c r="Y202" s="376"/>
      <c r="Z202" s="220"/>
      <c r="AA202" s="116"/>
      <c r="AB202" s="116"/>
      <c r="AC202" s="116"/>
      <c r="AD202" s="116"/>
      <c r="AJ202" s="170"/>
    </row>
    <row r="203" spans="2:36" ht="15">
      <c r="B203" s="19" t="s">
        <v>88</v>
      </c>
      <c r="C203" s="5" t="s">
        <v>163</v>
      </c>
      <c r="D203" s="17" t="s">
        <v>379</v>
      </c>
      <c r="E203" s="109" t="str">
        <f t="shared" si="11"/>
        <v>20</v>
      </c>
      <c r="F203" s="127"/>
      <c r="G203" s="140">
        <f t="shared" si="12"/>
        <v>32</v>
      </c>
      <c r="H203" s="506" t="s">
        <v>734</v>
      </c>
      <c r="I203" s="506"/>
      <c r="J203" s="142">
        <v>4</v>
      </c>
      <c r="K203" s="132" t="str">
        <f>IF(Main_Parameters!$U$8=1,IF(L203&gt;15,"NG","OK"),"-")</f>
        <v>-</v>
      </c>
      <c r="L203" s="387">
        <f>IF(Main_Parameters!$S$8="Original",Main_Parameters!$K$20,J203)</f>
        <v>4</v>
      </c>
      <c r="M203" s="391"/>
      <c r="N203" s="389">
        <f>IF(Main_Parameters!$S$8="640x480p60Hz (1)",P203,IF(Main_Parameters!$S$8="720x480p60Hz (2)",Q203,IF(Main_Parameters!$S$8="1280x720p60Hz (4)",R203,IF(Main_Parameters!$S$8="1920x1080p60Hz (16)",S203,IF(Main_Parameters!$S$8="1920x1200p60Hz (68)",V203,IF(Main_Parameters!$S$8="2560x1600p60Hz (76)",W203,O203))))))</f>
        <v>32</v>
      </c>
      <c r="O203" s="389">
        <f>HEX2DEC(RIGHT(DEC2HEX(L197,3),2))</f>
        <v>124</v>
      </c>
      <c r="P203" s="389">
        <v>96</v>
      </c>
      <c r="Q203" s="389">
        <v>62</v>
      </c>
      <c r="R203" s="389">
        <v>40</v>
      </c>
      <c r="S203" s="389">
        <v>44</v>
      </c>
      <c r="T203" s="389">
        <v>136</v>
      </c>
      <c r="U203" s="389">
        <v>32</v>
      </c>
      <c r="V203" s="389">
        <v>32</v>
      </c>
      <c r="W203" s="389">
        <v>32</v>
      </c>
      <c r="X203" s="376"/>
      <c r="Y203" s="376"/>
      <c r="Z203" s="220"/>
      <c r="AA203" s="116"/>
      <c r="AB203" s="116"/>
      <c r="AC203" s="116"/>
      <c r="AD203" s="116"/>
      <c r="AJ203" s="170"/>
    </row>
    <row r="204" spans="2:36" ht="15">
      <c r="B204" s="19" t="s">
        <v>88</v>
      </c>
      <c r="C204" s="5" t="s">
        <v>163</v>
      </c>
      <c r="D204" s="17" t="s">
        <v>380</v>
      </c>
      <c r="E204" s="109" t="str">
        <f t="shared" si="11"/>
        <v>36</v>
      </c>
      <c r="F204" s="127"/>
      <c r="G204" s="140">
        <f t="shared" si="12"/>
        <v>54</v>
      </c>
      <c r="H204" s="506" t="s">
        <v>695</v>
      </c>
      <c r="I204" s="506"/>
      <c r="J204" s="142">
        <v>708</v>
      </c>
      <c r="K204" s="132" t="str">
        <f>IF(Main_Parameters!$U$8=1,IF(L204&gt;4095,"NG","OK"),"-")</f>
        <v>-</v>
      </c>
      <c r="L204" s="387">
        <f>IF(Main_Parameters!$S$8="Original",Main_Parameters!$F$20,J204)</f>
        <v>708</v>
      </c>
      <c r="M204" s="391"/>
      <c r="N204" s="389">
        <f>IF(Main_Parameters!$S$8="640x480p60Hz (1)",P204,IF(Main_Parameters!$S$8="720x480p60Hz (2)",Q204,IF(Main_Parameters!$S$8="1280x720p60Hz (4)",R204,IF(Main_Parameters!$S$8="1920x1080p60Hz (16)",S204,IF(Main_Parameters!$S$8="1920x1200p60Hz (68)",V204,IF(Main_Parameters!$S$8="2560x1600p60Hz (76)",W204,O204))))))</f>
        <v>54</v>
      </c>
      <c r="O204" s="389">
        <f>HEX2DEC(RIGHT(DEC2HEX(L203,2),1))*2^4+HEX2DEC(RIGHT(DEC2HEX(L201,2),1))</f>
        <v>67</v>
      </c>
      <c r="P204" s="389">
        <v>162</v>
      </c>
      <c r="Q204" s="389">
        <v>150</v>
      </c>
      <c r="R204" s="389">
        <v>85</v>
      </c>
      <c r="S204" s="389">
        <v>69</v>
      </c>
      <c r="T204" s="389">
        <v>54</v>
      </c>
      <c r="U204" s="389">
        <v>54</v>
      </c>
      <c r="V204" s="389">
        <v>54</v>
      </c>
      <c r="W204" s="389">
        <v>54</v>
      </c>
      <c r="X204" s="376"/>
      <c r="Y204" s="376"/>
      <c r="Z204" s="220"/>
      <c r="AA204" s="116"/>
      <c r="AB204" s="116"/>
      <c r="AC204" s="116"/>
      <c r="AD204" s="116"/>
      <c r="AJ204" s="170"/>
    </row>
    <row r="205" spans="2:36" ht="15">
      <c r="B205" s="19" t="s">
        <v>88</v>
      </c>
      <c r="C205" s="5" t="s">
        <v>163</v>
      </c>
      <c r="D205" s="17" t="s">
        <v>381</v>
      </c>
      <c r="E205" s="109" t="str">
        <f t="shared" si="11"/>
        <v>00</v>
      </c>
      <c r="F205" s="127"/>
      <c r="G205" s="140">
        <f t="shared" si="12"/>
        <v>0</v>
      </c>
      <c r="H205" s="506" t="s">
        <v>696</v>
      </c>
      <c r="I205" s="506"/>
      <c r="J205" s="142">
        <v>398</v>
      </c>
      <c r="K205" s="132" t="str">
        <f>IF(Main_Parameters!$U$8=1,IF(L205&gt;4095,"NG","OK"),"-")</f>
        <v>-</v>
      </c>
      <c r="L205" s="387">
        <f>IF(Main_Parameters!$S$8="Original",Main_Parameters!$J$20,J205)</f>
        <v>398</v>
      </c>
      <c r="M205" s="391"/>
      <c r="N205" s="389">
        <f>IF(Main_Parameters!$S$8="640x480p60Hz (1)",P205,IF(Main_Parameters!$S$8="720x480p60Hz (2)",Q205,IF(Main_Parameters!$S$8="1280x720p60Hz (4)",R205,IF(Main_Parameters!$S$8="1920x1080p60Hz (16)",S205,IF(Main_Parameters!$S$8="1920x1200p60Hz (68)",V205,IF(Main_Parameters!$S$8="2560x1600p60Hz (76)",W205,O205))))))</f>
        <v>0</v>
      </c>
      <c r="O205" s="389">
        <f>HEX2DEC(LEFT(DEC2HEX(L199,3),1))*2^6+HEX2DEC(LEFT(DEC2HEX(L197,3),1))*2^4+HEX2DEC(LEFT(DEC2HEX(L203,2),1))*2^2+HEX2DEC(LEFT(DEC2HEX(L201,2),1))</f>
        <v>0</v>
      </c>
      <c r="P205" s="389">
        <v>0</v>
      </c>
      <c r="Q205" s="389">
        <v>0</v>
      </c>
      <c r="R205" s="389">
        <v>0</v>
      </c>
      <c r="S205" s="389">
        <v>0</v>
      </c>
      <c r="T205" s="389">
        <v>0</v>
      </c>
      <c r="U205" s="389">
        <v>0</v>
      </c>
      <c r="V205" s="389">
        <v>0</v>
      </c>
      <c r="W205" s="389">
        <v>0</v>
      </c>
      <c r="X205" s="376"/>
      <c r="Y205" s="376"/>
      <c r="Z205" s="220"/>
      <c r="AA205" s="116"/>
      <c r="AB205" s="116"/>
      <c r="AC205" s="116"/>
      <c r="AD205" s="116"/>
      <c r="AJ205" s="170"/>
    </row>
    <row r="206" spans="2:36" ht="15">
      <c r="B206" s="19" t="s">
        <v>88</v>
      </c>
      <c r="C206" s="5" t="s">
        <v>163</v>
      </c>
      <c r="D206" s="17" t="s">
        <v>382</v>
      </c>
      <c r="E206" s="109" t="str">
        <f t="shared" si="11"/>
        <v>00</v>
      </c>
      <c r="F206" s="127"/>
      <c r="G206" s="140">
        <f t="shared" si="12"/>
        <v>0</v>
      </c>
      <c r="H206" s="506" t="s">
        <v>830</v>
      </c>
      <c r="I206" s="506"/>
      <c r="J206" s="14" t="s">
        <v>1165</v>
      </c>
      <c r="K206" s="140">
        <f>IF(L206="Interlace",1,0)</f>
        <v>0</v>
      </c>
      <c r="L206" s="387" t="str">
        <f>IF(Main_Parameters!$S$8="Original",Main_Parameters!$M$21,J206)</f>
        <v>Progressive</v>
      </c>
      <c r="M206" s="392"/>
      <c r="N206" s="389">
        <f>IF(Main_Parameters!$S$8="640x480p60Hz (1)",P206,IF(Main_Parameters!$S$8="720x480p60Hz (2)",Q206,IF(Main_Parameters!$S$8="1280x720p60Hz (4)",R206,IF(Main_Parameters!$S$8="1920x1080p60Hz (16)",S206,IF(Main_Parameters!$S$8="1920x1200p60Hz (68)",V206,IF(Main_Parameters!$S$8="2560x1600p60Hz (76)",W206,O206))))))</f>
        <v>0</v>
      </c>
      <c r="O206" s="389">
        <f>HEX2DEC(RIGHT(DEC2HEX(L204,3),2))</f>
        <v>196</v>
      </c>
      <c r="P206" s="389">
        <v>196</v>
      </c>
      <c r="Q206" s="389">
        <v>19</v>
      </c>
      <c r="R206" s="389">
        <v>196</v>
      </c>
      <c r="S206" s="389">
        <v>196</v>
      </c>
      <c r="T206" s="389">
        <v>0</v>
      </c>
      <c r="U206" s="389">
        <v>0</v>
      </c>
      <c r="V206" s="389">
        <v>128</v>
      </c>
      <c r="W206" s="389">
        <v>0</v>
      </c>
      <c r="X206" s="376"/>
      <c r="Y206" s="376"/>
      <c r="Z206" s="220"/>
      <c r="AA206" s="116"/>
      <c r="AB206" s="116"/>
      <c r="AC206" s="116"/>
      <c r="AD206" s="116"/>
      <c r="AJ206" s="170"/>
    </row>
    <row r="207" spans="2:36" ht="15">
      <c r="B207" s="19" t="s">
        <v>88</v>
      </c>
      <c r="C207" s="5" t="s">
        <v>163</v>
      </c>
      <c r="D207" s="17" t="s">
        <v>383</v>
      </c>
      <c r="E207" s="109" t="str">
        <f t="shared" si="11"/>
        <v>40</v>
      </c>
      <c r="F207" s="127"/>
      <c r="G207" s="140">
        <f t="shared" si="12"/>
        <v>64</v>
      </c>
      <c r="H207" s="506" t="s">
        <v>831</v>
      </c>
      <c r="I207" s="506"/>
      <c r="J207" s="14" t="s">
        <v>833</v>
      </c>
      <c r="K207" s="140">
        <f>IF(L207="H Active",1,0)</f>
        <v>0</v>
      </c>
      <c r="L207" s="387" t="str">
        <f>IF(Main_Parameters!$S$8="Original",Main_Parameters!$M$24,J207)</f>
        <v>L Active</v>
      </c>
      <c r="M207" s="392"/>
      <c r="N207" s="389">
        <f>IF(Main_Parameters!$S$8="640x480p60Hz (1)",P207,IF(Main_Parameters!$S$8="720x480p60Hz (2)",Q207,IF(Main_Parameters!$S$8="1280x720p60Hz (4)",R207,IF(Main_Parameters!$S$8="1920x1080p60Hz (16)",S207,IF(Main_Parameters!$S$8="1920x1200p60Hz (68)",V207,IF(Main_Parameters!$S$8="2560x1600p60Hz (76)",W207,O207))))))</f>
        <v>64</v>
      </c>
      <c r="O207" s="389">
        <f>HEX2DEC(RIGHT(DEC2HEX(L205,3),2))</f>
        <v>142</v>
      </c>
      <c r="P207" s="389">
        <v>142</v>
      </c>
      <c r="Q207" s="389">
        <v>142</v>
      </c>
      <c r="R207" s="389">
        <v>142</v>
      </c>
      <c r="S207" s="389">
        <v>142</v>
      </c>
      <c r="T207" s="389">
        <v>0</v>
      </c>
      <c r="U207" s="389">
        <v>32</v>
      </c>
      <c r="V207" s="389">
        <v>176</v>
      </c>
      <c r="W207" s="389">
        <v>64</v>
      </c>
      <c r="X207" s="376"/>
      <c r="Y207" s="376"/>
      <c r="Z207" s="220"/>
      <c r="AA207" s="116"/>
      <c r="AB207" s="116"/>
      <c r="AC207" s="116"/>
      <c r="AD207" s="116"/>
      <c r="AJ207" s="170"/>
    </row>
    <row r="208" spans="2:36" ht="15">
      <c r="B208" s="19" t="s">
        <v>88</v>
      </c>
      <c r="C208" s="5" t="s">
        <v>163</v>
      </c>
      <c r="D208" s="17" t="s">
        <v>384</v>
      </c>
      <c r="E208" s="109" t="str">
        <f t="shared" si="11"/>
        <v>A6</v>
      </c>
      <c r="F208" s="126" t="s">
        <v>665</v>
      </c>
      <c r="G208" s="140">
        <f t="shared" si="12"/>
        <v>166</v>
      </c>
      <c r="H208" s="506" t="s">
        <v>832</v>
      </c>
      <c r="I208" s="506"/>
      <c r="J208" s="14" t="s">
        <v>833</v>
      </c>
      <c r="K208" s="140">
        <f>IF(L208="H Active",1,0)</f>
        <v>0</v>
      </c>
      <c r="L208" s="387" t="str">
        <f>IF(Main_Parameters!$S$8="Original",Main_Parameters!$M$23,J208)</f>
        <v>L Active</v>
      </c>
      <c r="M208" s="392"/>
      <c r="N208" s="389">
        <f>IF(Main_Parameters!$S$8="640x480p60Hz (1)",P208,IF(Main_Parameters!$S$8="720x480p60Hz (2)",Q208,IF(Main_Parameters!$S$8="1280x720p60Hz (4)",R208,IF(Main_Parameters!$S$8="1920x1080p60Hz (16)",S208,IF(Main_Parameters!$S$8="1920x1200p60Hz (68)",V208,IF(Main_Parameters!$S$8="2560x1600p60Hz (76)",W208,O208))))))</f>
        <v>166</v>
      </c>
      <c r="O208" s="389">
        <f>HEX2DEC((LEFT(DEC2HEX(L204,3),1)))*2^4+HEX2DEC(LEFT(DEC2HEX(L205,3),1))</f>
        <v>33</v>
      </c>
      <c r="P208" s="389">
        <v>33</v>
      </c>
      <c r="Q208" s="389">
        <v>33</v>
      </c>
      <c r="R208" s="389">
        <v>33</v>
      </c>
      <c r="S208" s="389">
        <v>33</v>
      </c>
      <c r="T208" s="389">
        <v>67</v>
      </c>
      <c r="U208" s="389">
        <v>83</v>
      </c>
      <c r="V208" s="389">
        <v>116</v>
      </c>
      <c r="W208" s="389">
        <v>166</v>
      </c>
      <c r="X208" s="376"/>
      <c r="Y208" s="376"/>
      <c r="Z208" s="220"/>
      <c r="AA208" s="116"/>
      <c r="AB208" s="116"/>
      <c r="AC208" s="116"/>
      <c r="AD208" s="116"/>
      <c r="AJ208" s="170"/>
    </row>
    <row r="209" spans="2:36" hidden="1">
      <c r="B209" s="19" t="s">
        <v>88</v>
      </c>
      <c r="C209" s="5" t="s">
        <v>163</v>
      </c>
      <c r="D209" s="17" t="s">
        <v>385</v>
      </c>
      <c r="E209" s="109" t="str">
        <f t="shared" si="11"/>
        <v>00</v>
      </c>
      <c r="F209" s="126"/>
      <c r="G209" s="140">
        <f t="shared" si="12"/>
        <v>0</v>
      </c>
      <c r="H209"/>
      <c r="I209"/>
      <c r="J209"/>
      <c r="K209" s="140">
        <f>K206*2^7+3*2^3+K207*2^2+K208*2^1</f>
        <v>24</v>
      </c>
      <c r="L209" s="392"/>
      <c r="M209" s="392"/>
      <c r="N209" s="389">
        <f>IF(Main_Parameters!$S$8="640x480p60Hz (1)",P209,IF(Main_Parameters!$S$8="720x480p60Hz (2)",Q209,IF(Main_Parameters!$S$8="1280x720p60Hz (4)",R209,IF(Main_Parameters!$S$8="1920x1080p60Hz (16)",S209,IF(Main_Parameters!$S$8="1920x1200p60Hz (68)",V209,IF(Main_Parameters!$S$8="2560x1600p60Hz (76)",W209,O209))))))</f>
        <v>0</v>
      </c>
      <c r="O209" s="389">
        <v>0</v>
      </c>
      <c r="P209" s="389">
        <v>0</v>
      </c>
      <c r="Q209" s="389">
        <v>0</v>
      </c>
      <c r="R209" s="389">
        <v>0</v>
      </c>
      <c r="S209" s="389">
        <v>0</v>
      </c>
      <c r="T209" s="389">
        <v>0</v>
      </c>
      <c r="U209" s="389">
        <v>0</v>
      </c>
      <c r="V209" s="389">
        <v>0</v>
      </c>
      <c r="W209" s="389">
        <v>0</v>
      </c>
      <c r="X209" s="376"/>
      <c r="Y209" s="376"/>
      <c r="Z209" s="220"/>
      <c r="AA209" s="116"/>
      <c r="AB209" s="116"/>
      <c r="AC209" s="116"/>
      <c r="AD209" s="116"/>
      <c r="AJ209" s="170"/>
    </row>
    <row r="210" spans="2:36" hidden="1">
      <c r="B210" s="19" t="s">
        <v>88</v>
      </c>
      <c r="C210" s="5" t="s">
        <v>163</v>
      </c>
      <c r="D210" s="17" t="s">
        <v>386</v>
      </c>
      <c r="E210" s="109" t="str">
        <f t="shared" si="11"/>
        <v>00</v>
      </c>
      <c r="F210" s="126"/>
      <c r="G210" s="140">
        <f t="shared" si="12"/>
        <v>0</v>
      </c>
      <c r="H210"/>
      <c r="I210"/>
      <c r="J210"/>
      <c r="K210"/>
      <c r="L210" s="392"/>
      <c r="M210" s="392"/>
      <c r="N210" s="389">
        <f>IF(Main_Parameters!$S$8="640x480p60Hz (1)",P210,IF(Main_Parameters!$S$8="720x480p60Hz (2)",Q210,IF(Main_Parameters!$S$8="1280x720p60Hz (4)",R210,IF(Main_Parameters!$S$8="1920x1080p60Hz (16)",S210,IF(Main_Parameters!$S$8="1920x1200p60Hz (68)",V210,IF(Main_Parameters!$S$8="2560x1600p60Hz (76)",W210,O210))))))</f>
        <v>0</v>
      </c>
      <c r="O210" s="389">
        <v>0</v>
      </c>
      <c r="P210" s="389">
        <v>0</v>
      </c>
      <c r="Q210" s="389">
        <v>0</v>
      </c>
      <c r="R210" s="389">
        <v>0</v>
      </c>
      <c r="S210" s="389">
        <v>0</v>
      </c>
      <c r="T210" s="389">
        <v>0</v>
      </c>
      <c r="U210" s="389">
        <v>0</v>
      </c>
      <c r="V210" s="389">
        <v>0</v>
      </c>
      <c r="W210" s="389">
        <v>0</v>
      </c>
      <c r="X210" s="376"/>
      <c r="Y210" s="376"/>
      <c r="Z210" s="220"/>
      <c r="AA210" s="116"/>
      <c r="AB210" s="116"/>
      <c r="AC210" s="116"/>
      <c r="AD210" s="116"/>
      <c r="AJ210" s="170"/>
    </row>
    <row r="211" spans="2:36" hidden="1">
      <c r="B211" s="19" t="s">
        <v>88</v>
      </c>
      <c r="C211" s="5" t="s">
        <v>163</v>
      </c>
      <c r="D211" s="17" t="s">
        <v>387</v>
      </c>
      <c r="E211" s="109" t="str">
        <f t="shared" si="11"/>
        <v>18</v>
      </c>
      <c r="F211" s="126"/>
      <c r="G211" s="140">
        <f t="shared" si="12"/>
        <v>24</v>
      </c>
      <c r="H211"/>
      <c r="I211"/>
      <c r="J211"/>
      <c r="K211" s="140" t="str">
        <f>IF(Main_Parameters!$R$9="Select","Disable","Enable")</f>
        <v>Enable</v>
      </c>
      <c r="L211" s="392"/>
      <c r="M211" s="392"/>
      <c r="N211" s="389">
        <f>IF(Main_Parameters!$S$8="640x480p60Hz (1)",P211,IF(Main_Parameters!$S$8="720x480p60Hz (2)",Q211,IF(Main_Parameters!$S$8="1280x720p60Hz (4)",R211,IF(Main_Parameters!$S$8="1920x1080p60Hz (16)",S211,IF(Main_Parameters!$S$8="1920x1200p60Hz (68)",V211,IF(Main_Parameters!$S$8="2560x1600p60Hz (76)",W211,O211))))))</f>
        <v>24</v>
      </c>
      <c r="O211" s="389">
        <f>K209</f>
        <v>24</v>
      </c>
      <c r="P211" s="389">
        <v>30</v>
      </c>
      <c r="Q211" s="389">
        <v>30</v>
      </c>
      <c r="R211" s="389">
        <v>30</v>
      </c>
      <c r="S211" s="389">
        <v>30</v>
      </c>
      <c r="T211" s="389">
        <v>24</v>
      </c>
      <c r="U211" s="389">
        <v>24</v>
      </c>
      <c r="V211" s="389">
        <v>24</v>
      </c>
      <c r="W211" s="389">
        <v>24</v>
      </c>
      <c r="X211" s="376"/>
      <c r="Y211" s="376"/>
      <c r="Z211" s="220"/>
      <c r="AA211" s="116"/>
      <c r="AB211" s="116"/>
      <c r="AC211" s="116"/>
      <c r="AD211" s="116"/>
      <c r="AJ211" s="170"/>
    </row>
    <row r="212" spans="2:36" ht="15">
      <c r="B212" s="19" t="s">
        <v>88</v>
      </c>
      <c r="C212" s="5" t="s">
        <v>163</v>
      </c>
      <c r="D212" s="17" t="s">
        <v>388</v>
      </c>
      <c r="E212" s="109" t="str">
        <f>DEC2HEX(N212,2)</f>
        <v>EC</v>
      </c>
      <c r="F212" s="126"/>
      <c r="G212" s="140">
        <f t="shared" si="12"/>
        <v>236</v>
      </c>
      <c r="H212" s="507" t="s">
        <v>1192</v>
      </c>
      <c r="I212" s="507"/>
      <c r="J212" s="507"/>
      <c r="K212" s="133" t="s">
        <v>700</v>
      </c>
      <c r="L212" s="387"/>
      <c r="M212" s="387"/>
      <c r="N212" s="389">
        <f>IF(Main_Parameters!$S$9="640x480p60Hz (1)",P212,IF(Main_Parameters!$S$9="720x480p60Hz (2)",Q212,IF(Main_Parameters!$S$9="1280x720p60Hz (4)",R212,IF(Main_Parameters!$S$9="1920x1080p60Hz (16)",S212,IF(Main_Parameters!$S$9="1920x1200p60Hz (68)",V212,IF(Main_Parameters!$S$9="2560x1600p60Hz (76)",W212,O212))))))</f>
        <v>236</v>
      </c>
      <c r="O212" s="389">
        <f>HEX2DEC(RIGHT(DEC2HEX(L213*100,4),2))</f>
        <v>2</v>
      </c>
      <c r="P212" s="389">
        <v>216</v>
      </c>
      <c r="Q212" s="389">
        <v>140</v>
      </c>
      <c r="R212" s="389">
        <v>1</v>
      </c>
      <c r="S212" s="389">
        <v>2</v>
      </c>
      <c r="T212" s="389">
        <v>100</v>
      </c>
      <c r="U212" s="389">
        <v>188</v>
      </c>
      <c r="V212" s="389">
        <v>40</v>
      </c>
      <c r="W212" s="389">
        <v>236</v>
      </c>
      <c r="X212" s="376"/>
      <c r="Y212" s="376"/>
      <c r="Z212" s="220"/>
      <c r="AA212" s="116"/>
      <c r="AB212" s="116"/>
      <c r="AC212" s="116"/>
      <c r="AD212" s="116"/>
      <c r="AJ212" s="170"/>
    </row>
    <row r="213" spans="2:36" ht="15">
      <c r="B213" s="19" t="s">
        <v>88</v>
      </c>
      <c r="C213" s="5" t="s">
        <v>163</v>
      </c>
      <c r="D213" s="17" t="s">
        <v>389</v>
      </c>
      <c r="E213" s="109" t="str">
        <f t="shared" ref="E213:E229" si="13">DEC2HEX(N213,2)</f>
        <v>68</v>
      </c>
      <c r="F213" s="126"/>
      <c r="G213" s="140">
        <f t="shared" si="12"/>
        <v>104</v>
      </c>
      <c r="H213" s="504" t="s">
        <v>699</v>
      </c>
      <c r="I213" s="504"/>
      <c r="J213" s="142">
        <v>148.5</v>
      </c>
      <c r="K213" s="132" t="str">
        <f>IF(Main_Parameters!$U$9=1,IF(L213*100&gt;65535,"NG","OK"),"-")</f>
        <v>-</v>
      </c>
      <c r="L213" s="387">
        <f>IF(Main_Parameters!$S$9="Original",Main_Parameters!$C$20,J213)</f>
        <v>148.5</v>
      </c>
      <c r="M213" s="391"/>
      <c r="N213" s="389">
        <f>IF(Main_Parameters!$S$9="640x480p60Hz (1)",P213,IF(Main_Parameters!$S$9="720x480p60Hz (2)",Q213,IF(Main_Parameters!$S$9="1280x720p60Hz (4)",R213,IF(Main_Parameters!$S$9="1920x1080p60Hz (16)",S213,IF(Main_Parameters!$S$9="1920x1200p60Hz (68)",V213,IF(Main_Parameters!$S$9="2560x1600p60Hz (76)",W213,O213))))))</f>
        <v>104</v>
      </c>
      <c r="O213" s="389">
        <f>HEX2DEC(LEFT(DEC2HEX(L213*100,4),2))</f>
        <v>58</v>
      </c>
      <c r="P213" s="389">
        <v>9</v>
      </c>
      <c r="Q213" s="389">
        <v>10</v>
      </c>
      <c r="R213" s="389">
        <v>29</v>
      </c>
      <c r="S213" s="389">
        <v>58</v>
      </c>
      <c r="T213" s="389">
        <v>25</v>
      </c>
      <c r="U213" s="389">
        <v>27</v>
      </c>
      <c r="V213" s="389">
        <v>60</v>
      </c>
      <c r="W213" s="389">
        <v>104</v>
      </c>
      <c r="X213" s="376"/>
      <c r="Y213" s="376"/>
      <c r="Z213" s="220"/>
      <c r="AA213" s="116"/>
      <c r="AB213" s="116"/>
      <c r="AC213" s="116"/>
      <c r="AD213" s="116"/>
      <c r="AJ213" s="170"/>
    </row>
    <row r="214" spans="2:36" ht="15">
      <c r="B214" s="19" t="s">
        <v>88</v>
      </c>
      <c r="C214" s="5" t="s">
        <v>163</v>
      </c>
      <c r="D214" s="17" t="s">
        <v>390</v>
      </c>
      <c r="E214" s="109" t="str">
        <f t="shared" si="13"/>
        <v>00</v>
      </c>
      <c r="F214" s="126"/>
      <c r="G214" s="140">
        <f t="shared" si="12"/>
        <v>0</v>
      </c>
      <c r="H214" s="504" t="s">
        <v>698</v>
      </c>
      <c r="I214" s="504"/>
      <c r="J214" s="142">
        <v>1440</v>
      </c>
      <c r="K214" s="132" t="str">
        <f>IF(Main_Parameters!$U$9=1,IF(L214&gt;4095,"NG","OK"),"-")</f>
        <v>-</v>
      </c>
      <c r="L214" s="387">
        <f>IF(Main_Parameters!$S$9="Original",Main_Parameters!$F$20,J214)</f>
        <v>1440</v>
      </c>
      <c r="M214" s="391"/>
      <c r="N214" s="389">
        <f>IF(Main_Parameters!$S$9="640x480p60Hz (1)",P214,IF(Main_Parameters!$S$9="720x480p60Hz (2)",Q214,IF(Main_Parameters!$S$9="1280x720p60Hz (4)",R214,IF(Main_Parameters!$S$9="1920x1080p60Hz (16)",S214,IF(Main_Parameters!$S$9="1920x1200p60Hz (68)",V214,IF(Main_Parameters!$S$9="2560x1600p60Hz (76)",W214,O214))))))</f>
        <v>0</v>
      </c>
      <c r="O214" s="389">
        <f>HEX2DEC(RIGHT(DEC2HEX(L214,3),2))</f>
        <v>160</v>
      </c>
      <c r="P214" s="389">
        <v>128</v>
      </c>
      <c r="Q214" s="389">
        <v>208</v>
      </c>
      <c r="R214" s="389">
        <v>0</v>
      </c>
      <c r="S214" s="389">
        <v>128</v>
      </c>
      <c r="T214" s="389">
        <v>0</v>
      </c>
      <c r="U214" s="389">
        <v>0</v>
      </c>
      <c r="V214" s="389">
        <v>128</v>
      </c>
      <c r="W214" s="389">
        <v>0</v>
      </c>
      <c r="X214" s="376"/>
      <c r="Y214" s="376"/>
      <c r="Z214" s="220"/>
      <c r="AA214" s="116"/>
      <c r="AB214" s="116"/>
      <c r="AC214" s="116"/>
      <c r="AD214" s="116"/>
      <c r="AJ214" s="170"/>
    </row>
    <row r="215" spans="2:36" ht="15">
      <c r="B215" s="19" t="s">
        <v>88</v>
      </c>
      <c r="C215" s="5" t="s">
        <v>163</v>
      </c>
      <c r="D215" s="17" t="s">
        <v>391</v>
      </c>
      <c r="E215" s="109" t="str">
        <f t="shared" si="13"/>
        <v>A0</v>
      </c>
      <c r="F215" s="126"/>
      <c r="G215" s="140">
        <f t="shared" si="12"/>
        <v>160</v>
      </c>
      <c r="H215" s="504" t="s">
        <v>731</v>
      </c>
      <c r="I215" s="504"/>
      <c r="J215" s="142">
        <v>124</v>
      </c>
      <c r="K215" s="132" t="str">
        <f>IF(Main_Parameters!$U$9=1,IF(L215&gt;1023,"NG","OK"),"-")</f>
        <v>-</v>
      </c>
      <c r="L215" s="387">
        <f>IF(Main_Parameters!$S$9="Original",Main_Parameters!$D$20,J215)</f>
        <v>124</v>
      </c>
      <c r="M215" s="391"/>
      <c r="N215" s="389">
        <f>IF(Main_Parameters!$S$9="640x480p60Hz (1)",P215,IF(Main_Parameters!$S$9="720x480p60Hz (2)",Q215,IF(Main_Parameters!$S$9="1280x720p60Hz (4)",R215,IF(Main_Parameters!$S$9="1920x1080p60Hz (16)",S215,IF(Main_Parameters!$S$9="1920x1200p60Hz (68)",V215,IF(Main_Parameters!$S$9="2560x1600p60Hz (76)",W215,O215))))))</f>
        <v>160</v>
      </c>
      <c r="O215" s="389">
        <f>HEX2DEC(RIGHT(DEC2HEX(L215+L216+L217,3),2))</f>
        <v>20</v>
      </c>
      <c r="P215" s="389">
        <v>160</v>
      </c>
      <c r="Q215" s="389">
        <v>138</v>
      </c>
      <c r="R215" s="389">
        <v>114</v>
      </c>
      <c r="S215" s="389">
        <v>24</v>
      </c>
      <c r="T215" s="389">
        <v>64</v>
      </c>
      <c r="U215" s="389">
        <v>160</v>
      </c>
      <c r="V215" s="389">
        <v>160</v>
      </c>
      <c r="W215" s="389">
        <v>160</v>
      </c>
      <c r="X215" s="376"/>
      <c r="Y215" s="376"/>
      <c r="Z215" s="220"/>
      <c r="AA215" s="116"/>
      <c r="AB215" s="116"/>
      <c r="AC215" s="116"/>
      <c r="AD215" s="116"/>
      <c r="AJ215" s="170"/>
    </row>
    <row r="216" spans="2:36" ht="15">
      <c r="B216" s="19" t="s">
        <v>88</v>
      </c>
      <c r="C216" s="5" t="s">
        <v>163</v>
      </c>
      <c r="D216" s="17" t="s">
        <v>392</v>
      </c>
      <c r="E216" s="109" t="str">
        <f t="shared" si="13"/>
        <v>A0</v>
      </c>
      <c r="F216" s="126"/>
      <c r="G216" s="140">
        <f t="shared" si="12"/>
        <v>160</v>
      </c>
      <c r="H216" s="504" t="s">
        <v>693</v>
      </c>
      <c r="I216" s="504"/>
      <c r="J216" s="142">
        <v>114</v>
      </c>
      <c r="K216" s="132" t="str">
        <f>IF(Main_Parameters!$U$9=1,IF(L215+L216+L217&gt;4095,"NG","OK"),"-")</f>
        <v>-</v>
      </c>
      <c r="L216" s="387">
        <f>IF(Main_Parameters!$S$9="Original",Main_Parameters!$E$20,J216)</f>
        <v>114</v>
      </c>
      <c r="M216" s="391"/>
      <c r="N216" s="389">
        <f>IF(Main_Parameters!$S$9="640x480p60Hz (1)",P216,IF(Main_Parameters!$S$9="720x480p60Hz (2)",Q216,IF(Main_Parameters!$S$9="1280x720p60Hz (4)",R216,IF(Main_Parameters!$S$9="1920x1080p60Hz (16)",S216,IF(Main_Parameters!$S$9="1920x1200p60Hz (68)",V216,IF(Main_Parameters!$S$9="2560x1600p60Hz (76)",W216,O216))))))</f>
        <v>160</v>
      </c>
      <c r="O216" s="389">
        <f>HEX2DEC((LEFT(DEC2HEX(L214,3),1)))*2^4+HEX2DEC(LEFT(DEC2HEX(L215+L216+L217,3),1))</f>
        <v>81</v>
      </c>
      <c r="P216" s="389">
        <v>32</v>
      </c>
      <c r="Q216" s="389">
        <v>32</v>
      </c>
      <c r="R216" s="389">
        <v>81</v>
      </c>
      <c r="S216" s="389">
        <v>113</v>
      </c>
      <c r="T216" s="389">
        <v>65</v>
      </c>
      <c r="U216" s="389">
        <v>80</v>
      </c>
      <c r="V216" s="389">
        <v>112</v>
      </c>
      <c r="W216" s="389">
        <v>160</v>
      </c>
      <c r="X216" s="376"/>
      <c r="Y216" s="376"/>
      <c r="Z216" s="220"/>
      <c r="AA216" s="116"/>
      <c r="AB216" s="116"/>
      <c r="AC216" s="116"/>
      <c r="AD216" s="116"/>
      <c r="AJ216" s="170"/>
    </row>
    <row r="217" spans="2:36" ht="15">
      <c r="B217" s="19" t="s">
        <v>88</v>
      </c>
      <c r="C217" s="5" t="s">
        <v>163</v>
      </c>
      <c r="D217" s="17" t="s">
        <v>393</v>
      </c>
      <c r="E217" s="109" t="str">
        <f t="shared" si="13"/>
        <v>40</v>
      </c>
      <c r="F217" s="126"/>
      <c r="G217" s="140">
        <f t="shared" si="12"/>
        <v>64</v>
      </c>
      <c r="H217" s="504" t="s">
        <v>732</v>
      </c>
      <c r="I217" s="504"/>
      <c r="J217" s="142">
        <v>38</v>
      </c>
      <c r="K217" s="132" t="str">
        <f>IF(Main_Parameters!$U$9=1,IF(L217&gt;1023,"NG","OK"),"-")</f>
        <v>-</v>
      </c>
      <c r="L217" s="387">
        <f>IF(Main_Parameters!$S$9="Original",Main_Parameters!$G$20,J217)</f>
        <v>38</v>
      </c>
      <c r="M217" s="391"/>
      <c r="N217" s="389">
        <f>IF(Main_Parameters!$S$9="640x480p60Hz (1)",P217,IF(Main_Parameters!$S$9="720x480p60Hz (2)",Q217,IF(Main_Parameters!$S$9="1280x720p60Hz (4)",R217,IF(Main_Parameters!$S$9="1920x1080p60Hz (16)",S217,IF(Main_Parameters!$S$9="1920x1200p60Hz (68)",V217,IF(Main_Parameters!$S$9="2560x1600p60Hz (76)",W217,O217))))))</f>
        <v>64</v>
      </c>
      <c r="O217" s="389">
        <f>HEX2DEC(RIGHT(DEC2HEX(L218,3),2))</f>
        <v>224</v>
      </c>
      <c r="P217" s="389">
        <v>224</v>
      </c>
      <c r="Q217" s="389">
        <v>224</v>
      </c>
      <c r="R217" s="389">
        <v>208</v>
      </c>
      <c r="S217" s="389">
        <v>56</v>
      </c>
      <c r="T217" s="389">
        <v>0</v>
      </c>
      <c r="U217" s="389">
        <v>32</v>
      </c>
      <c r="V217" s="389">
        <v>176</v>
      </c>
      <c r="W217" s="389">
        <v>64</v>
      </c>
      <c r="X217" s="376"/>
      <c r="Y217" s="376"/>
      <c r="Z217" s="220"/>
      <c r="AA217" s="116"/>
      <c r="AB217" s="116"/>
      <c r="AC217" s="116"/>
      <c r="AD217" s="116"/>
      <c r="AJ217" s="170"/>
    </row>
    <row r="218" spans="2:36" ht="15">
      <c r="B218" s="19" t="s">
        <v>88</v>
      </c>
      <c r="C218" s="5" t="s">
        <v>163</v>
      </c>
      <c r="D218" s="17" t="s">
        <v>394</v>
      </c>
      <c r="E218" s="109" t="str">
        <f t="shared" si="13"/>
        <v>2E</v>
      </c>
      <c r="F218" s="126"/>
      <c r="G218" s="140">
        <f t="shared" si="12"/>
        <v>46</v>
      </c>
      <c r="H218" s="504" t="s">
        <v>697</v>
      </c>
      <c r="I218" s="504"/>
      <c r="J218" s="142">
        <v>480</v>
      </c>
      <c r="K218" s="132" t="str">
        <f>IF(Main_Parameters!$U$9=1,IF(L218&gt;4095,"NG","OK"),"-")</f>
        <v>-</v>
      </c>
      <c r="L218" s="387">
        <f>IF(Main_Parameters!$S$9="Original",Main_Parameters!$J$20,J218)</f>
        <v>480</v>
      </c>
      <c r="M218" s="391"/>
      <c r="N218" s="389">
        <f>IF(Main_Parameters!$S$9="640x480p60Hz (1)",P218,IF(Main_Parameters!$S$9="720x480p60Hz (2)",Q218,IF(Main_Parameters!$S$9="1280x720p60Hz (4)",R218,IF(Main_Parameters!$S$9="1920x1080p60Hz (16)",S218,IF(Main_Parameters!$S$9="1920x1200p60Hz (68)",V218,IF(Main_Parameters!$S$9="2560x1600p60Hz (76)",W218,O218))))))</f>
        <v>46</v>
      </c>
      <c r="O218" s="389">
        <f>HEX2DEC(RIGHT(DEC2HEX(L219+L220+L221,3),2))</f>
        <v>22</v>
      </c>
      <c r="P218" s="389">
        <v>45</v>
      </c>
      <c r="Q218" s="389">
        <v>45</v>
      </c>
      <c r="R218" s="389">
        <v>30</v>
      </c>
      <c r="S218" s="389">
        <v>45</v>
      </c>
      <c r="T218" s="389">
        <v>38</v>
      </c>
      <c r="U218" s="389">
        <v>23</v>
      </c>
      <c r="V218" s="389">
        <v>35</v>
      </c>
      <c r="W218" s="389">
        <v>46</v>
      </c>
      <c r="X218" s="376"/>
      <c r="Y218" s="376"/>
      <c r="Z218" s="220"/>
      <c r="AA218" s="116"/>
      <c r="AB218" s="116"/>
      <c r="AC218" s="116"/>
      <c r="AD218" s="116"/>
      <c r="AJ218" s="170"/>
    </row>
    <row r="219" spans="2:36" ht="15">
      <c r="B219" s="19" t="s">
        <v>88</v>
      </c>
      <c r="C219" s="5" t="s">
        <v>163</v>
      </c>
      <c r="D219" s="17" t="s">
        <v>395</v>
      </c>
      <c r="E219" s="109" t="str">
        <f t="shared" si="13"/>
        <v>60</v>
      </c>
      <c r="F219" s="126"/>
      <c r="G219" s="140">
        <f t="shared" si="12"/>
        <v>96</v>
      </c>
      <c r="H219" s="504" t="s">
        <v>733</v>
      </c>
      <c r="I219" s="504"/>
      <c r="J219" s="142">
        <v>3</v>
      </c>
      <c r="K219" s="132" t="str">
        <f>IF(Main_Parameters!$U$9=1,IF(L219&gt;15,"NG","OK"),"-")</f>
        <v>-</v>
      </c>
      <c r="L219" s="387">
        <f>IF(Main_Parameters!$S$9="Original",Main_Parameters!$H$20,J219)</f>
        <v>3</v>
      </c>
      <c r="M219" s="391"/>
      <c r="N219" s="389">
        <f>IF(Main_Parameters!$S$9="640x480p60Hz (1)",P219,IF(Main_Parameters!$S$9="720x480p60Hz (2)",Q219,IF(Main_Parameters!$S$9="1280x720p60Hz (4)",R219,IF(Main_Parameters!$S$9="1920x1080p60Hz (16)",S219,IF(Main_Parameters!$S$9="1920x1200p60Hz (68)",V219,IF(Main_Parameters!$S$9="2560x1600p60Hz (76)",W219,O219))))))</f>
        <v>96</v>
      </c>
      <c r="O219" s="389">
        <f>HEX2DEC((LEFT(DEC2HEX(L218,3),1)))*2^4+HEX2DEC(LEFT(DEC2HEX(L219+L220+L221,3),1))</f>
        <v>16</v>
      </c>
      <c r="P219" s="389">
        <v>16</v>
      </c>
      <c r="Q219" s="389">
        <v>16</v>
      </c>
      <c r="R219" s="389">
        <v>32</v>
      </c>
      <c r="S219" s="389">
        <v>64</v>
      </c>
      <c r="T219" s="389">
        <v>48</v>
      </c>
      <c r="U219" s="389">
        <v>48</v>
      </c>
      <c r="V219" s="389">
        <v>64</v>
      </c>
      <c r="W219" s="389">
        <v>96</v>
      </c>
      <c r="X219" s="376"/>
      <c r="Y219" s="376"/>
      <c r="Z219" s="220"/>
      <c r="AA219" s="116"/>
      <c r="AB219" s="116"/>
      <c r="AC219" s="116"/>
      <c r="AD219" s="116"/>
      <c r="AJ219" s="170"/>
    </row>
    <row r="220" spans="2:36" ht="15">
      <c r="B220" s="19" t="s">
        <v>88</v>
      </c>
      <c r="C220" s="5" t="s">
        <v>163</v>
      </c>
      <c r="D220" s="17" t="s">
        <v>396</v>
      </c>
      <c r="E220" s="109" t="str">
        <f t="shared" si="13"/>
        <v>30</v>
      </c>
      <c r="F220" s="126"/>
      <c r="G220" s="140">
        <f t="shared" si="12"/>
        <v>48</v>
      </c>
      <c r="H220" s="504" t="s">
        <v>694</v>
      </c>
      <c r="I220" s="504"/>
      <c r="J220" s="142">
        <v>15</v>
      </c>
      <c r="K220" s="132" t="str">
        <f>IF(Main_Parameters!$U$9=1,IF(L219+L220+L221&gt;4095,"NG","OK"),"-")</f>
        <v>-</v>
      </c>
      <c r="L220" s="387">
        <f>IF(Main_Parameters!$S$9="Original",Main_Parameters!$I$20,J220)</f>
        <v>15</v>
      </c>
      <c r="M220" s="391"/>
      <c r="N220" s="389">
        <f>IF(Main_Parameters!$S$9="640x480p60Hz (1)",P220,IF(Main_Parameters!$S$9="720x480p60Hz (2)",Q220,IF(Main_Parameters!$S$9="1280x720p60Hz (4)",R220,IF(Main_Parameters!$S$9="1920x1080p60Hz (16)",S220,IF(Main_Parameters!$S$9="1920x1200p60Hz (68)",V220,IF(Main_Parameters!$S$9="2560x1600p60Hz (76)",W220,O220))))))</f>
        <v>48</v>
      </c>
      <c r="O220" s="389">
        <f>HEX2DEC(RIGHT(DEC2HEX(L217,3),2))</f>
        <v>38</v>
      </c>
      <c r="P220" s="389">
        <v>16</v>
      </c>
      <c r="Q220" s="389">
        <v>16</v>
      </c>
      <c r="R220" s="389">
        <v>110</v>
      </c>
      <c r="S220" s="389">
        <v>88</v>
      </c>
      <c r="T220" s="389">
        <v>24</v>
      </c>
      <c r="U220" s="389">
        <v>48</v>
      </c>
      <c r="V220" s="389">
        <v>48</v>
      </c>
      <c r="W220" s="389">
        <v>48</v>
      </c>
      <c r="X220" s="376"/>
      <c r="Y220" s="376"/>
      <c r="Z220" s="220"/>
      <c r="AA220" s="116"/>
      <c r="AB220" s="116"/>
      <c r="AC220" s="116"/>
      <c r="AD220" s="116"/>
      <c r="AJ220" s="170"/>
    </row>
    <row r="221" spans="2:36" ht="15">
      <c r="B221" s="19" t="s">
        <v>88</v>
      </c>
      <c r="C221" s="5" t="s">
        <v>163</v>
      </c>
      <c r="D221" s="17" t="s">
        <v>397</v>
      </c>
      <c r="E221" s="109" t="str">
        <f t="shared" si="13"/>
        <v>20</v>
      </c>
      <c r="F221" s="126"/>
      <c r="G221" s="140">
        <f t="shared" si="12"/>
        <v>32</v>
      </c>
      <c r="H221" s="504" t="s">
        <v>734</v>
      </c>
      <c r="I221" s="504"/>
      <c r="J221" s="142">
        <v>4</v>
      </c>
      <c r="K221" s="132" t="str">
        <f>IF(Main_Parameters!$U$9=1,IF(L221&gt;15,"NG","OK"),"-")</f>
        <v>-</v>
      </c>
      <c r="L221" s="387">
        <f>IF(Main_Parameters!$S$9="Original",Main_Parameters!$K$20,J221)</f>
        <v>4</v>
      </c>
      <c r="M221" s="391"/>
      <c r="N221" s="389">
        <f>IF(Main_Parameters!$S$9="640x480p60Hz (1)",P221,IF(Main_Parameters!$S$9="720x480p60Hz (2)",Q221,IF(Main_Parameters!$S$9="1280x720p60Hz (4)",R221,IF(Main_Parameters!$S$9="1920x1080p60Hz (16)",S221,IF(Main_Parameters!$S$9="1920x1200p60Hz (68)",V221,IF(Main_Parameters!$S$9="2560x1600p60Hz (76)",W221,O221))))))</f>
        <v>32</v>
      </c>
      <c r="O221" s="389">
        <f>HEX2DEC(RIGHT(DEC2HEX(L215,3),2))</f>
        <v>124</v>
      </c>
      <c r="P221" s="389">
        <v>96</v>
      </c>
      <c r="Q221" s="389">
        <v>62</v>
      </c>
      <c r="R221" s="389">
        <v>40</v>
      </c>
      <c r="S221" s="389">
        <v>44</v>
      </c>
      <c r="T221" s="389">
        <v>136</v>
      </c>
      <c r="U221" s="389">
        <v>32</v>
      </c>
      <c r="V221" s="389">
        <v>32</v>
      </c>
      <c r="W221" s="389">
        <v>32</v>
      </c>
      <c r="X221" s="376"/>
      <c r="Y221" s="376"/>
      <c r="Z221" s="220"/>
      <c r="AA221" s="116"/>
      <c r="AB221" s="116"/>
      <c r="AC221" s="116"/>
      <c r="AD221" s="116"/>
      <c r="AJ221" s="170"/>
    </row>
    <row r="222" spans="2:36" ht="15">
      <c r="B222" s="19" t="s">
        <v>88</v>
      </c>
      <c r="C222" s="5" t="s">
        <v>163</v>
      </c>
      <c r="D222" s="17" t="s">
        <v>398</v>
      </c>
      <c r="E222" s="109" t="str">
        <f t="shared" si="13"/>
        <v>36</v>
      </c>
      <c r="F222" s="126"/>
      <c r="G222" s="140">
        <f t="shared" si="12"/>
        <v>54</v>
      </c>
      <c r="H222" s="504" t="s">
        <v>695</v>
      </c>
      <c r="I222" s="504"/>
      <c r="J222" s="142">
        <v>708</v>
      </c>
      <c r="K222" s="132" t="str">
        <f>IF(Main_Parameters!$U$9=1,IF(L222&gt;4095,"NG","OK"),"-")</f>
        <v>-</v>
      </c>
      <c r="L222" s="387">
        <f>IF(Main_Parameters!$S$9="Original",Main_Parameters!$F$20,J222)</f>
        <v>708</v>
      </c>
      <c r="M222" s="391"/>
      <c r="N222" s="389">
        <f>IF(Main_Parameters!$S$9="640x480p60Hz (1)",P222,IF(Main_Parameters!$S$9="720x480p60Hz (2)",Q222,IF(Main_Parameters!$S$9="1280x720p60Hz (4)",R222,IF(Main_Parameters!$S$9="1920x1080p60Hz (16)",S222,IF(Main_Parameters!$S$9="1920x1200p60Hz (68)",V222,IF(Main_Parameters!$S$9="2560x1600p60Hz (76)",W222,O222))))))</f>
        <v>54</v>
      </c>
      <c r="O222" s="389">
        <f>HEX2DEC(RIGHT(DEC2HEX(L221,2),1))*2^4+HEX2DEC(RIGHT(DEC2HEX(L219,2),1))</f>
        <v>67</v>
      </c>
      <c r="P222" s="389">
        <v>162</v>
      </c>
      <c r="Q222" s="389">
        <v>150</v>
      </c>
      <c r="R222" s="389">
        <v>85</v>
      </c>
      <c r="S222" s="389">
        <v>69</v>
      </c>
      <c r="T222" s="389">
        <v>54</v>
      </c>
      <c r="U222" s="389">
        <v>54</v>
      </c>
      <c r="V222" s="389">
        <v>54</v>
      </c>
      <c r="W222" s="389">
        <v>54</v>
      </c>
      <c r="X222" s="376"/>
      <c r="Y222" s="376"/>
      <c r="Z222" s="220"/>
      <c r="AA222" s="116"/>
      <c r="AB222" s="116"/>
      <c r="AC222" s="116"/>
      <c r="AD222" s="116"/>
      <c r="AJ222" s="170"/>
    </row>
    <row r="223" spans="2:36" ht="15">
      <c r="B223" s="19" t="s">
        <v>88</v>
      </c>
      <c r="C223" s="5" t="s">
        <v>163</v>
      </c>
      <c r="D223" s="17" t="s">
        <v>399</v>
      </c>
      <c r="E223" s="109" t="str">
        <f t="shared" si="13"/>
        <v>00</v>
      </c>
      <c r="F223" s="126"/>
      <c r="G223" s="140">
        <f t="shared" si="12"/>
        <v>0</v>
      </c>
      <c r="H223" s="504" t="s">
        <v>696</v>
      </c>
      <c r="I223" s="504"/>
      <c r="J223" s="142">
        <v>398</v>
      </c>
      <c r="K223" s="132" t="str">
        <f>IF(Main_Parameters!$U$9=1,IF(L223&gt;4095,"NG","OK"),"-")</f>
        <v>-</v>
      </c>
      <c r="L223" s="387">
        <f>IF(Main_Parameters!$S$9="Original",Main_Parameters!$J$20,J223)</f>
        <v>398</v>
      </c>
      <c r="M223" s="391"/>
      <c r="N223" s="389">
        <f>IF(Main_Parameters!$S$9="640x480p60Hz (1)",P223,IF(Main_Parameters!$S$9="720x480p60Hz (2)",Q223,IF(Main_Parameters!$S$9="1280x720p60Hz (4)",R223,IF(Main_Parameters!$S$9="1920x1080p60Hz (16)",S223,IF(Main_Parameters!$S$9="1920x1200p60Hz (68)",V223,IF(Main_Parameters!$S$9="2560x1600p60Hz (76)",W223,O223))))))</f>
        <v>0</v>
      </c>
      <c r="O223" s="389">
        <f>HEX2DEC(LEFT(DEC2HEX(L217,3),1))*2^6+HEX2DEC(LEFT(DEC2HEX(L215,3),1))*2^4+HEX2DEC(LEFT(DEC2HEX(L221,2),1))*2^2+HEX2DEC(LEFT(DEC2HEX(L219,2),1))</f>
        <v>0</v>
      </c>
      <c r="P223" s="389">
        <v>0</v>
      </c>
      <c r="Q223" s="389">
        <v>0</v>
      </c>
      <c r="R223" s="389">
        <v>0</v>
      </c>
      <c r="S223" s="389">
        <v>0</v>
      </c>
      <c r="T223" s="389">
        <v>0</v>
      </c>
      <c r="U223" s="389">
        <v>0</v>
      </c>
      <c r="V223" s="389">
        <v>0</v>
      </c>
      <c r="W223" s="389">
        <v>0</v>
      </c>
      <c r="X223" s="376"/>
      <c r="Y223" s="376"/>
      <c r="Z223" s="220"/>
      <c r="AA223" s="116"/>
      <c r="AB223" s="116"/>
      <c r="AC223" s="116"/>
      <c r="AD223" s="116"/>
      <c r="AJ223" s="170"/>
    </row>
    <row r="224" spans="2:36" ht="15">
      <c r="B224" s="19" t="s">
        <v>88</v>
      </c>
      <c r="C224" s="5" t="s">
        <v>163</v>
      </c>
      <c r="D224" s="17" t="s">
        <v>400</v>
      </c>
      <c r="E224" s="109" t="str">
        <f t="shared" si="13"/>
        <v>00</v>
      </c>
      <c r="F224" s="126"/>
      <c r="G224" s="140">
        <f t="shared" si="12"/>
        <v>0</v>
      </c>
      <c r="H224" s="504" t="s">
        <v>830</v>
      </c>
      <c r="I224" s="504"/>
      <c r="J224" s="14" t="s">
        <v>1165</v>
      </c>
      <c r="K224" s="140">
        <f>IF(L224="Interlace",1,0)</f>
        <v>0</v>
      </c>
      <c r="L224" s="387" t="str">
        <f>IF(Main_Parameters!$S$9="Original",Main_Parameters!$M$21,J224)</f>
        <v>Progressive</v>
      </c>
      <c r="M224" s="392"/>
      <c r="N224" s="389">
        <f>IF(Main_Parameters!$S$9="640x480p60Hz (1)",P224,IF(Main_Parameters!$S$9="720x480p60Hz (2)",Q224,IF(Main_Parameters!$S$9="1280x720p60Hz (4)",R224,IF(Main_Parameters!$S$9="1920x1080p60Hz (16)",S224,IF(Main_Parameters!$S$9="1920x1200p60Hz (68)",V224,IF(Main_Parameters!$S$9="2560x1600p60Hz (76)",W224,O224))))))</f>
        <v>0</v>
      </c>
      <c r="O224" s="389">
        <f>HEX2DEC(RIGHT(DEC2HEX(L222,3),2))</f>
        <v>196</v>
      </c>
      <c r="P224" s="389">
        <v>196</v>
      </c>
      <c r="Q224" s="389">
        <v>19</v>
      </c>
      <c r="R224" s="389">
        <v>196</v>
      </c>
      <c r="S224" s="389">
        <v>196</v>
      </c>
      <c r="T224" s="389">
        <v>0</v>
      </c>
      <c r="U224" s="389">
        <v>0</v>
      </c>
      <c r="V224" s="389">
        <v>128</v>
      </c>
      <c r="W224" s="389">
        <v>0</v>
      </c>
      <c r="X224" s="376"/>
      <c r="Y224" s="376"/>
      <c r="Z224" s="220"/>
      <c r="AA224" s="116"/>
      <c r="AB224" s="116"/>
      <c r="AC224" s="116"/>
      <c r="AD224" s="116"/>
      <c r="AJ224" s="170"/>
    </row>
    <row r="225" spans="2:36" ht="15">
      <c r="B225" s="19" t="s">
        <v>88</v>
      </c>
      <c r="C225" s="5" t="s">
        <v>163</v>
      </c>
      <c r="D225" s="17" t="s">
        <v>401</v>
      </c>
      <c r="E225" s="109" t="str">
        <f t="shared" si="13"/>
        <v>40</v>
      </c>
      <c r="F225" s="126"/>
      <c r="G225" s="140">
        <f t="shared" si="12"/>
        <v>64</v>
      </c>
      <c r="H225" s="504" t="s">
        <v>831</v>
      </c>
      <c r="I225" s="504"/>
      <c r="J225" s="14" t="s">
        <v>833</v>
      </c>
      <c r="K225" s="140">
        <f>IF(L225="H Active",1,0)</f>
        <v>0</v>
      </c>
      <c r="L225" s="387" t="str">
        <f>IF(Main_Parameters!$S$9="Original",Main_Parameters!$M$24,J225)</f>
        <v>L Active</v>
      </c>
      <c r="M225" s="392"/>
      <c r="N225" s="389">
        <f>IF(Main_Parameters!$S$9="640x480p60Hz (1)",P225,IF(Main_Parameters!$S$9="720x480p60Hz (2)",Q225,IF(Main_Parameters!$S$9="1280x720p60Hz (4)",R225,IF(Main_Parameters!$S$9="1920x1080p60Hz (16)",S225,IF(Main_Parameters!$S$9="1920x1200p60Hz (68)",V225,IF(Main_Parameters!$S$9="2560x1600p60Hz (76)",W225,O225))))))</f>
        <v>64</v>
      </c>
      <c r="O225" s="389">
        <f>HEX2DEC(RIGHT(DEC2HEX(L223,3),2))</f>
        <v>142</v>
      </c>
      <c r="P225" s="389">
        <v>142</v>
      </c>
      <c r="Q225" s="389">
        <v>142</v>
      </c>
      <c r="R225" s="389">
        <v>142</v>
      </c>
      <c r="S225" s="389">
        <v>142</v>
      </c>
      <c r="T225" s="389">
        <v>0</v>
      </c>
      <c r="U225" s="389">
        <v>32</v>
      </c>
      <c r="V225" s="389">
        <v>176</v>
      </c>
      <c r="W225" s="389">
        <v>64</v>
      </c>
      <c r="X225" s="376"/>
      <c r="Y225" s="376"/>
      <c r="Z225" s="220"/>
      <c r="AA225" s="116"/>
      <c r="AB225" s="116"/>
      <c r="AC225" s="116"/>
      <c r="AD225" s="116"/>
      <c r="AJ225" s="170"/>
    </row>
    <row r="226" spans="2:36" ht="15">
      <c r="B226" s="19" t="s">
        <v>88</v>
      </c>
      <c r="C226" s="5" t="s">
        <v>163</v>
      </c>
      <c r="D226" s="17" t="s">
        <v>402</v>
      </c>
      <c r="E226" s="109" t="str">
        <f t="shared" si="13"/>
        <v>A6</v>
      </c>
      <c r="F226" s="126"/>
      <c r="G226" s="140">
        <f t="shared" si="12"/>
        <v>166</v>
      </c>
      <c r="H226" s="504" t="s">
        <v>832</v>
      </c>
      <c r="I226" s="504"/>
      <c r="J226" s="14" t="s">
        <v>833</v>
      </c>
      <c r="K226" s="140">
        <f>IF(L226="H Active",1,0)</f>
        <v>0</v>
      </c>
      <c r="L226" s="387" t="str">
        <f>IF(Main_Parameters!$S$9="Original",Main_Parameters!$M$23,J226)</f>
        <v>L Active</v>
      </c>
      <c r="M226" s="392"/>
      <c r="N226" s="389">
        <f>IF(Main_Parameters!$S$9="640x480p60Hz (1)",P226,IF(Main_Parameters!$S$9="720x480p60Hz (2)",Q226,IF(Main_Parameters!$S$9="1280x720p60Hz (4)",R226,IF(Main_Parameters!$S$9="1920x1080p60Hz (16)",S226,IF(Main_Parameters!$S$9="1920x1200p60Hz (68)",V226,IF(Main_Parameters!$S$9="2560x1600p60Hz (76)",W226,O226))))))</f>
        <v>166</v>
      </c>
      <c r="O226" s="389">
        <f>HEX2DEC((LEFT(DEC2HEX(L222,3),1)))*2^4+HEX2DEC(LEFT(DEC2HEX(L223,3),1))</f>
        <v>33</v>
      </c>
      <c r="P226" s="389">
        <v>33</v>
      </c>
      <c r="Q226" s="389">
        <v>33</v>
      </c>
      <c r="R226" s="389">
        <v>33</v>
      </c>
      <c r="S226" s="389">
        <v>33</v>
      </c>
      <c r="T226" s="389">
        <v>67</v>
      </c>
      <c r="U226" s="389">
        <v>83</v>
      </c>
      <c r="V226" s="389">
        <v>116</v>
      </c>
      <c r="W226" s="389">
        <v>166</v>
      </c>
      <c r="X226" s="376"/>
      <c r="Y226" s="376"/>
      <c r="Z226" s="220"/>
      <c r="AA226" s="116"/>
      <c r="AB226" s="116"/>
      <c r="AC226" s="116"/>
      <c r="AD226" s="116"/>
      <c r="AJ226" s="170"/>
    </row>
    <row r="227" spans="2:36" hidden="1">
      <c r="B227" s="19" t="s">
        <v>88</v>
      </c>
      <c r="C227" s="5" t="s">
        <v>163</v>
      </c>
      <c r="D227" s="17" t="s">
        <v>403</v>
      </c>
      <c r="E227" s="109" t="str">
        <f t="shared" si="13"/>
        <v>00</v>
      </c>
      <c r="F227" s="126"/>
      <c r="G227" s="140">
        <f t="shared" si="12"/>
        <v>0</v>
      </c>
      <c r="H227"/>
      <c r="I227"/>
      <c r="J227"/>
      <c r="K227" s="140">
        <f>K224*2^7+3*2^3+K225*2^2+K226*2^1</f>
        <v>24</v>
      </c>
      <c r="L227" s="392"/>
      <c r="M227" s="392"/>
      <c r="N227" s="389">
        <f>IF(Main_Parameters!$S$9="640x480p60Hz (1)",P227,IF(Main_Parameters!$S$9="720x480p60Hz (2)",Q227,IF(Main_Parameters!$S$9="1280x720p60Hz (4)",R227,IF(Main_Parameters!$S$9="1920x1080p60Hz (16)",S227,IF(Main_Parameters!$S$9="1920x1200p60Hz (68)",V227,IF(Main_Parameters!$S$9="2560x1600p60Hz (76)",W227,O227))))))</f>
        <v>0</v>
      </c>
      <c r="O227" s="389">
        <v>0</v>
      </c>
      <c r="P227" s="389">
        <v>0</v>
      </c>
      <c r="Q227" s="389">
        <v>0</v>
      </c>
      <c r="R227" s="389">
        <v>0</v>
      </c>
      <c r="S227" s="389">
        <v>0</v>
      </c>
      <c r="T227" s="389">
        <v>0</v>
      </c>
      <c r="U227" s="389">
        <v>0</v>
      </c>
      <c r="V227" s="389">
        <v>0</v>
      </c>
      <c r="W227" s="389">
        <v>0</v>
      </c>
      <c r="X227" s="376"/>
      <c r="Y227" s="376"/>
      <c r="Z227" s="170"/>
      <c r="AJ227" s="170"/>
    </row>
    <row r="228" spans="2:36" hidden="1">
      <c r="B228" s="19" t="s">
        <v>88</v>
      </c>
      <c r="C228" s="5" t="s">
        <v>163</v>
      </c>
      <c r="D228" s="17" t="s">
        <v>404</v>
      </c>
      <c r="E228" s="109" t="str">
        <f t="shared" si="13"/>
        <v>00</v>
      </c>
      <c r="F228" s="126"/>
      <c r="G228" s="140">
        <f t="shared" si="12"/>
        <v>0</v>
      </c>
      <c r="H228"/>
      <c r="I228"/>
      <c r="J228"/>
      <c r="K228"/>
      <c r="L228" s="392"/>
      <c r="M228" s="392"/>
      <c r="N228" s="389">
        <f>IF(Main_Parameters!$S$9="640x480p60Hz (1)",P228,IF(Main_Parameters!$S$9="720x480p60Hz (2)",Q228,IF(Main_Parameters!$S$9="1280x720p60Hz (4)",R228,IF(Main_Parameters!$S$9="1920x1080p60Hz (16)",S228,IF(Main_Parameters!$S$9="1920x1200p60Hz (68)",V228,IF(Main_Parameters!$S$9="2560x1600p60Hz (76)",W228,O228))))))</f>
        <v>0</v>
      </c>
      <c r="O228" s="389">
        <v>0</v>
      </c>
      <c r="P228" s="389">
        <v>0</v>
      </c>
      <c r="Q228" s="389">
        <v>0</v>
      </c>
      <c r="R228" s="389">
        <v>0</v>
      </c>
      <c r="S228" s="389">
        <v>0</v>
      </c>
      <c r="T228" s="389">
        <v>0</v>
      </c>
      <c r="U228" s="389">
        <v>0</v>
      </c>
      <c r="V228" s="389">
        <v>0</v>
      </c>
      <c r="W228" s="389">
        <v>0</v>
      </c>
      <c r="X228" s="376"/>
      <c r="Y228" s="376"/>
      <c r="Z228" s="170"/>
      <c r="AJ228" s="170"/>
    </row>
    <row r="229" spans="2:36" hidden="1">
      <c r="B229" s="19" t="s">
        <v>88</v>
      </c>
      <c r="C229" s="5" t="s">
        <v>163</v>
      </c>
      <c r="D229" s="17" t="s">
        <v>405</v>
      </c>
      <c r="E229" s="109" t="str">
        <f t="shared" si="13"/>
        <v>18</v>
      </c>
      <c r="F229" s="126"/>
      <c r="G229" s="140">
        <f t="shared" si="12"/>
        <v>24</v>
      </c>
      <c r="H229"/>
      <c r="I229"/>
      <c r="J229"/>
      <c r="K229"/>
      <c r="L229" s="392"/>
      <c r="M229" s="392"/>
      <c r="N229" s="389">
        <f>IF(Main_Parameters!$S$9="640x480p60Hz (1)",P229,IF(Main_Parameters!$S$9="720x480p60Hz (2)",Q229,IF(Main_Parameters!$S$9="1280x720p60Hz (4)",R229,IF(Main_Parameters!$S$9="1920x1080p60Hz (16)",S229,IF(Main_Parameters!$S$9="1920x1200p60Hz (68)",V229,IF(Main_Parameters!$S$9="2560x1600p60Hz (76)",W229,O229))))))</f>
        <v>24</v>
      </c>
      <c r="O229" s="389">
        <f>K227</f>
        <v>24</v>
      </c>
      <c r="P229" s="389">
        <v>30</v>
      </c>
      <c r="Q229" s="389">
        <v>30</v>
      </c>
      <c r="R229" s="389">
        <v>30</v>
      </c>
      <c r="S229" s="389">
        <v>30</v>
      </c>
      <c r="T229" s="389">
        <v>24</v>
      </c>
      <c r="U229" s="389">
        <v>24</v>
      </c>
      <c r="V229" s="389">
        <v>24</v>
      </c>
      <c r="W229" s="389">
        <v>24</v>
      </c>
      <c r="X229" s="376"/>
      <c r="Y229" s="376"/>
      <c r="Z229" s="170"/>
      <c r="AJ229" s="170"/>
    </row>
    <row r="230" spans="2:36" hidden="1">
      <c r="B230" s="19" t="s">
        <v>88</v>
      </c>
      <c r="C230" s="5" t="s">
        <v>163</v>
      </c>
      <c r="D230" s="17" t="s">
        <v>406</v>
      </c>
      <c r="E230" s="89" t="s">
        <v>151</v>
      </c>
      <c r="F230" s="126"/>
      <c r="G230" s="140">
        <f t="shared" si="12"/>
        <v>0</v>
      </c>
      <c r="H230"/>
      <c r="I230"/>
      <c r="J230"/>
      <c r="K230"/>
      <c r="L230" s="364"/>
      <c r="M230" s="364"/>
      <c r="N230" s="220"/>
      <c r="T230" s="220"/>
      <c r="U230" s="170"/>
      <c r="V230" s="170"/>
      <c r="W230" s="170"/>
      <c r="X230" s="170"/>
      <c r="Y230" s="170"/>
      <c r="Z230" s="170"/>
      <c r="AJ230" s="170"/>
    </row>
    <row r="231" spans="2:36" hidden="1">
      <c r="B231" s="19" t="s">
        <v>88</v>
      </c>
      <c r="C231" s="5" t="s">
        <v>163</v>
      </c>
      <c r="D231" s="17" t="s">
        <v>407</v>
      </c>
      <c r="E231" s="89" t="s">
        <v>151</v>
      </c>
      <c r="F231" s="126"/>
      <c r="G231" s="140">
        <f t="shared" si="12"/>
        <v>0</v>
      </c>
      <c r="H231"/>
      <c r="I231"/>
      <c r="J231"/>
      <c r="K231"/>
      <c r="L231" s="364"/>
      <c r="M231" s="364"/>
      <c r="N231" s="220"/>
      <c r="O231" s="220"/>
      <c r="P231" s="220"/>
      <c r="Q231" s="220"/>
      <c r="R231" s="220"/>
      <c r="S231" s="220"/>
      <c r="T231" s="220"/>
      <c r="U231" s="170"/>
      <c r="V231" s="170"/>
      <c r="W231" s="170"/>
      <c r="X231" s="170"/>
      <c r="Y231" s="170"/>
      <c r="Z231" s="170"/>
      <c r="AJ231" s="170"/>
    </row>
    <row r="232" spans="2:36" hidden="1">
      <c r="B232" s="19" t="s">
        <v>88</v>
      </c>
      <c r="C232" s="5" t="s">
        <v>163</v>
      </c>
      <c r="D232" s="17" t="s">
        <v>408</v>
      </c>
      <c r="E232" s="89" t="s">
        <v>151</v>
      </c>
      <c r="F232" s="126"/>
      <c r="G232" s="140">
        <f t="shared" si="12"/>
        <v>0</v>
      </c>
      <c r="H232"/>
      <c r="I232"/>
      <c r="J232"/>
      <c r="K232"/>
      <c r="L232" s="364"/>
      <c r="M232" s="364"/>
      <c r="N232" s="220"/>
      <c r="O232" s="220"/>
      <c r="P232" s="220"/>
      <c r="Q232" s="220"/>
      <c r="R232" s="220"/>
      <c r="S232" s="220"/>
      <c r="T232" s="220"/>
      <c r="U232" s="170"/>
      <c r="V232" s="170"/>
      <c r="W232" s="170"/>
      <c r="X232" s="170"/>
      <c r="Y232" s="170"/>
      <c r="Z232" s="170"/>
      <c r="AJ232" s="170"/>
    </row>
    <row r="233" spans="2:36" hidden="1">
      <c r="B233" s="19" t="s">
        <v>88</v>
      </c>
      <c r="C233" s="5" t="s">
        <v>163</v>
      </c>
      <c r="D233" s="17" t="s">
        <v>409</v>
      </c>
      <c r="E233" s="89" t="s">
        <v>151</v>
      </c>
      <c r="F233" s="126"/>
      <c r="G233" s="140">
        <f t="shared" si="12"/>
        <v>0</v>
      </c>
      <c r="H233"/>
      <c r="I233"/>
      <c r="J233"/>
      <c r="K233"/>
      <c r="L233" s="364"/>
      <c r="M233" s="364"/>
      <c r="N233" s="220"/>
      <c r="O233" s="220"/>
      <c r="P233" s="220"/>
      <c r="Q233" s="220"/>
      <c r="R233" s="220"/>
      <c r="S233" s="220"/>
      <c r="T233" s="220"/>
      <c r="U233" s="170"/>
      <c r="V233" s="170"/>
      <c r="W233" s="170"/>
      <c r="X233" s="170"/>
      <c r="Y233" s="170"/>
      <c r="Z233" s="170"/>
      <c r="AJ233" s="170"/>
    </row>
    <row r="234" spans="2:36" hidden="1">
      <c r="B234" s="19" t="s">
        <v>88</v>
      </c>
      <c r="C234" s="5" t="s">
        <v>163</v>
      </c>
      <c r="D234" s="17" t="s">
        <v>410</v>
      </c>
      <c r="E234" s="89" t="s">
        <v>151</v>
      </c>
      <c r="F234" s="126"/>
      <c r="G234" s="140">
        <f t="shared" si="12"/>
        <v>0</v>
      </c>
      <c r="H234"/>
      <c r="I234"/>
      <c r="J234"/>
      <c r="K234"/>
      <c r="L234" s="364"/>
      <c r="M234" s="364"/>
      <c r="N234" s="220"/>
      <c r="O234" s="220"/>
      <c r="P234" s="220"/>
      <c r="Q234" s="220"/>
      <c r="R234" s="220"/>
      <c r="S234" s="220"/>
      <c r="T234" s="220"/>
      <c r="U234" s="170"/>
      <c r="V234" s="170"/>
      <c r="W234" s="170"/>
      <c r="X234" s="170"/>
      <c r="Y234" s="170"/>
      <c r="Z234" s="170"/>
      <c r="AJ234" s="170"/>
    </row>
    <row r="235" spans="2:36" hidden="1">
      <c r="B235" s="19" t="s">
        <v>88</v>
      </c>
      <c r="C235" s="5" t="s">
        <v>163</v>
      </c>
      <c r="D235" s="17" t="s">
        <v>411</v>
      </c>
      <c r="E235" s="89" t="s">
        <v>151</v>
      </c>
      <c r="F235" s="126"/>
      <c r="G235" s="140">
        <f t="shared" si="12"/>
        <v>0</v>
      </c>
      <c r="H235"/>
      <c r="I235"/>
      <c r="J235"/>
      <c r="K235"/>
      <c r="L235" s="364"/>
      <c r="M235" s="364"/>
      <c r="N235" s="220"/>
      <c r="O235" s="220"/>
      <c r="P235" s="220"/>
      <c r="Q235" s="220"/>
      <c r="R235" s="220"/>
      <c r="S235" s="220"/>
      <c r="T235" s="220"/>
      <c r="U235" s="170"/>
      <c r="V235" s="170"/>
      <c r="W235" s="170"/>
      <c r="X235" s="170"/>
      <c r="Y235" s="170"/>
      <c r="Z235" s="170"/>
      <c r="AJ235" s="170"/>
    </row>
    <row r="236" spans="2:36" hidden="1">
      <c r="B236" s="19" t="s">
        <v>88</v>
      </c>
      <c r="C236" s="5" t="s">
        <v>163</v>
      </c>
      <c r="D236" s="17" t="s">
        <v>412</v>
      </c>
      <c r="E236" s="89" t="s">
        <v>151</v>
      </c>
      <c r="F236" s="126"/>
      <c r="G236" s="140">
        <f t="shared" si="12"/>
        <v>0</v>
      </c>
      <c r="H236"/>
      <c r="I236"/>
      <c r="J236"/>
      <c r="K236"/>
      <c r="L236" s="364"/>
      <c r="M236" s="364"/>
      <c r="N236" s="220"/>
      <c r="O236" s="220"/>
      <c r="P236" s="220"/>
      <c r="Q236" s="220"/>
      <c r="R236" s="220"/>
      <c r="S236" s="220"/>
      <c r="T236" s="220"/>
      <c r="U236" s="170"/>
      <c r="V236" s="170"/>
      <c r="W236" s="170"/>
      <c r="X236" s="170"/>
      <c r="Y236" s="170"/>
      <c r="Z236" s="170"/>
      <c r="AJ236" s="170"/>
    </row>
    <row r="237" spans="2:36" hidden="1">
      <c r="B237" s="19" t="s">
        <v>88</v>
      </c>
      <c r="C237" s="5" t="s">
        <v>163</v>
      </c>
      <c r="D237" s="17" t="s">
        <v>413</v>
      </c>
      <c r="E237" s="89" t="s">
        <v>151</v>
      </c>
      <c r="F237" s="126"/>
      <c r="G237" s="140">
        <f t="shared" si="12"/>
        <v>0</v>
      </c>
      <c r="H237"/>
      <c r="I237"/>
      <c r="J237"/>
      <c r="K237"/>
      <c r="L237" s="364"/>
      <c r="M237" s="364"/>
      <c r="N237" s="220"/>
      <c r="O237" s="220"/>
      <c r="P237" s="220"/>
      <c r="Q237" s="220"/>
      <c r="R237" s="220"/>
      <c r="S237" s="220"/>
      <c r="T237" s="220"/>
      <c r="U237" s="170"/>
      <c r="V237" s="170"/>
      <c r="W237" s="170"/>
      <c r="X237" s="170"/>
      <c r="Y237" s="170"/>
      <c r="Z237" s="170"/>
      <c r="AJ237" s="170"/>
    </row>
    <row r="238" spans="2:36" hidden="1">
      <c r="B238" s="19" t="s">
        <v>88</v>
      </c>
      <c r="C238" s="5" t="s">
        <v>163</v>
      </c>
      <c r="D238" s="17" t="s">
        <v>414</v>
      </c>
      <c r="E238" s="89" t="s">
        <v>151</v>
      </c>
      <c r="F238" s="126"/>
      <c r="G238" s="140">
        <f t="shared" si="12"/>
        <v>0</v>
      </c>
      <c r="H238"/>
      <c r="I238"/>
      <c r="J238"/>
      <c r="K238"/>
      <c r="L238" s="364"/>
      <c r="M238" s="364"/>
      <c r="N238" s="220"/>
      <c r="O238" s="220"/>
      <c r="P238" s="220"/>
      <c r="Q238" s="220"/>
      <c r="R238" s="220"/>
      <c r="S238" s="220"/>
      <c r="T238" s="220"/>
      <c r="U238" s="170"/>
      <c r="V238" s="170"/>
      <c r="W238" s="170"/>
      <c r="X238" s="170"/>
      <c r="Y238" s="170"/>
      <c r="Z238" s="170"/>
      <c r="AJ238" s="170"/>
    </row>
    <row r="239" spans="2:36" hidden="1">
      <c r="B239" s="19" t="s">
        <v>88</v>
      </c>
      <c r="C239" s="5" t="s">
        <v>163</v>
      </c>
      <c r="D239" s="17" t="s">
        <v>415</v>
      </c>
      <c r="E239" s="89" t="s">
        <v>151</v>
      </c>
      <c r="F239" s="126"/>
      <c r="G239" s="140">
        <f t="shared" si="12"/>
        <v>0</v>
      </c>
      <c r="H239"/>
      <c r="I239"/>
      <c r="J239"/>
      <c r="K239"/>
      <c r="L239" s="364"/>
      <c r="M239" s="364"/>
      <c r="N239" s="220"/>
      <c r="O239" s="220"/>
      <c r="P239" s="220"/>
      <c r="Q239" s="220"/>
      <c r="R239" s="220"/>
      <c r="S239" s="220"/>
      <c r="T239" s="220"/>
      <c r="U239" s="170"/>
      <c r="V239" s="170"/>
      <c r="W239" s="170"/>
      <c r="X239" s="170"/>
      <c r="Y239" s="170"/>
      <c r="Z239" s="170"/>
      <c r="AJ239" s="170"/>
    </row>
    <row r="240" spans="2:36" hidden="1">
      <c r="B240" s="19" t="s">
        <v>88</v>
      </c>
      <c r="C240" s="5" t="s">
        <v>163</v>
      </c>
      <c r="D240" s="17" t="s">
        <v>416</v>
      </c>
      <c r="E240" s="89" t="s">
        <v>151</v>
      </c>
      <c r="F240" s="126"/>
      <c r="G240" s="140">
        <f t="shared" si="12"/>
        <v>0</v>
      </c>
      <c r="H240"/>
      <c r="I240"/>
      <c r="J240"/>
      <c r="K240"/>
      <c r="L240" s="364"/>
      <c r="M240" s="364"/>
      <c r="N240" s="220"/>
      <c r="O240" s="220"/>
      <c r="P240" s="220"/>
      <c r="Q240" s="220"/>
      <c r="R240" s="220"/>
      <c r="S240" s="220"/>
      <c r="T240" s="220"/>
      <c r="U240" s="170"/>
      <c r="V240" s="170"/>
      <c r="W240" s="170"/>
      <c r="X240" s="170"/>
      <c r="Y240" s="170"/>
      <c r="Z240" s="170"/>
      <c r="AJ240" s="170"/>
    </row>
    <row r="241" spans="2:36" hidden="1">
      <c r="B241" s="19" t="s">
        <v>88</v>
      </c>
      <c r="C241" s="5" t="s">
        <v>163</v>
      </c>
      <c r="D241" s="17" t="s">
        <v>417</v>
      </c>
      <c r="E241" s="89" t="s">
        <v>151</v>
      </c>
      <c r="F241" s="126"/>
      <c r="G241" s="140">
        <f t="shared" si="12"/>
        <v>0</v>
      </c>
      <c r="H241"/>
      <c r="I241"/>
      <c r="J241"/>
      <c r="K241"/>
      <c r="L241" s="364"/>
      <c r="M241" s="364"/>
      <c r="N241" s="220"/>
      <c r="O241" s="220"/>
      <c r="P241" s="220"/>
      <c r="Q241" s="220"/>
      <c r="R241" s="220"/>
      <c r="S241" s="220"/>
      <c r="T241" s="220"/>
      <c r="U241" s="170"/>
      <c r="V241" s="170"/>
      <c r="W241" s="170"/>
      <c r="X241" s="170"/>
      <c r="Y241" s="170"/>
      <c r="Z241" s="170"/>
      <c r="AJ241" s="170"/>
    </row>
    <row r="242" spans="2:36" hidden="1">
      <c r="B242" s="19" t="s">
        <v>88</v>
      </c>
      <c r="C242" s="5" t="s">
        <v>163</v>
      </c>
      <c r="D242" s="17" t="s">
        <v>418</v>
      </c>
      <c r="E242" s="89" t="s">
        <v>151</v>
      </c>
      <c r="F242" s="126"/>
      <c r="G242" s="140">
        <f t="shared" si="12"/>
        <v>0</v>
      </c>
      <c r="H242"/>
      <c r="I242"/>
      <c r="J242"/>
      <c r="K242"/>
      <c r="L242" s="364"/>
      <c r="M242" s="364"/>
      <c r="N242" s="220"/>
      <c r="O242" s="220"/>
      <c r="P242" s="220"/>
      <c r="Q242" s="220"/>
      <c r="R242" s="220"/>
      <c r="S242" s="220"/>
      <c r="T242" s="220"/>
      <c r="U242" s="170"/>
      <c r="V242" s="170"/>
      <c r="W242" s="170"/>
      <c r="X242" s="170"/>
      <c r="Y242" s="170"/>
      <c r="Z242" s="170"/>
      <c r="AJ242" s="170"/>
    </row>
    <row r="243" spans="2:36" hidden="1">
      <c r="B243" s="19" t="s">
        <v>88</v>
      </c>
      <c r="C243" s="5" t="s">
        <v>163</v>
      </c>
      <c r="D243" s="17" t="s">
        <v>419</v>
      </c>
      <c r="E243" s="89" t="s">
        <v>151</v>
      </c>
      <c r="F243" s="126"/>
      <c r="G243" s="140">
        <f t="shared" si="12"/>
        <v>0</v>
      </c>
      <c r="H243"/>
      <c r="I243"/>
      <c r="J243"/>
      <c r="K243"/>
      <c r="L243" s="364"/>
      <c r="M243" s="364"/>
      <c r="N243" s="220"/>
      <c r="O243" s="220"/>
      <c r="P243" s="220"/>
      <c r="Q243" s="220"/>
      <c r="R243" s="220"/>
      <c r="S243" s="220"/>
      <c r="T243" s="220"/>
      <c r="U243" s="170"/>
      <c r="V243" s="170"/>
      <c r="W243" s="170"/>
      <c r="X243" s="170"/>
      <c r="Y243" s="170"/>
      <c r="Z243" s="170"/>
      <c r="AJ243" s="170"/>
    </row>
    <row r="244" spans="2:36" hidden="1">
      <c r="B244" s="19" t="s">
        <v>88</v>
      </c>
      <c r="C244" s="5" t="s">
        <v>163</v>
      </c>
      <c r="D244" s="17" t="s">
        <v>420</v>
      </c>
      <c r="E244" s="89" t="s">
        <v>151</v>
      </c>
      <c r="F244" s="126"/>
      <c r="G244" s="140">
        <f t="shared" si="12"/>
        <v>0</v>
      </c>
      <c r="H244"/>
      <c r="I244"/>
      <c r="J244"/>
      <c r="K244"/>
      <c r="L244" s="364"/>
      <c r="M244" s="364"/>
      <c r="N244" s="220"/>
      <c r="O244" s="220"/>
      <c r="P244" s="220"/>
      <c r="Q244" s="220"/>
      <c r="R244" s="220"/>
      <c r="S244" s="220"/>
      <c r="T244" s="220"/>
      <c r="U244" s="170"/>
      <c r="V244" s="170"/>
      <c r="W244" s="170"/>
      <c r="X244" s="170"/>
      <c r="Y244" s="170"/>
      <c r="Z244" s="170"/>
      <c r="AJ244" s="170"/>
    </row>
    <row r="245" spans="2:36" hidden="1">
      <c r="B245" s="19" t="s">
        <v>88</v>
      </c>
      <c r="C245" s="5" t="s">
        <v>163</v>
      </c>
      <c r="D245" s="17" t="s">
        <v>421</v>
      </c>
      <c r="E245" s="89" t="s">
        <v>151</v>
      </c>
      <c r="F245" s="126"/>
      <c r="G245" s="140">
        <f t="shared" si="12"/>
        <v>0</v>
      </c>
      <c r="H245"/>
      <c r="I245"/>
      <c r="J245"/>
      <c r="K245"/>
      <c r="L245" s="364"/>
      <c r="M245" s="364"/>
      <c r="N245" s="220"/>
      <c r="O245" s="220"/>
      <c r="P245" s="220"/>
      <c r="Q245" s="220"/>
      <c r="R245" s="220"/>
      <c r="S245" s="220"/>
      <c r="T245" s="220"/>
      <c r="U245" s="170"/>
      <c r="V245" s="170"/>
      <c r="W245" s="170"/>
      <c r="X245" s="170"/>
      <c r="Y245" s="170"/>
      <c r="Z245" s="170"/>
      <c r="AJ245" s="170"/>
    </row>
    <row r="246" spans="2:36" hidden="1">
      <c r="B246" s="19" t="s">
        <v>88</v>
      </c>
      <c r="C246" s="5" t="s">
        <v>163</v>
      </c>
      <c r="D246" s="17" t="s">
        <v>422</v>
      </c>
      <c r="E246" s="89" t="s">
        <v>151</v>
      </c>
      <c r="F246" s="126"/>
      <c r="G246" s="140">
        <f t="shared" si="12"/>
        <v>0</v>
      </c>
      <c r="H246"/>
      <c r="I246"/>
      <c r="J246"/>
      <c r="K246"/>
      <c r="L246" s="364"/>
      <c r="M246" s="364"/>
      <c r="N246" s="220"/>
      <c r="O246" s="220"/>
      <c r="P246" s="220"/>
      <c r="Q246" s="220"/>
      <c r="R246" s="220"/>
      <c r="S246" s="220"/>
      <c r="T246" s="220"/>
      <c r="U246"/>
      <c r="V246"/>
      <c r="W246" s="170"/>
      <c r="X246" s="170"/>
      <c r="Y246" s="170"/>
      <c r="Z246" s="170"/>
      <c r="AJ246" s="170"/>
    </row>
    <row r="247" spans="2:36" hidden="1">
      <c r="B247" s="19" t="s">
        <v>88</v>
      </c>
      <c r="C247" s="5" t="s">
        <v>163</v>
      </c>
      <c r="D247" s="17" t="s">
        <v>423</v>
      </c>
      <c r="E247" s="89" t="s">
        <v>151</v>
      </c>
      <c r="F247" s="126"/>
      <c r="G247" s="140">
        <f t="shared" si="12"/>
        <v>0</v>
      </c>
      <c r="H247"/>
      <c r="I247"/>
      <c r="J247"/>
      <c r="K247"/>
      <c r="L247" s="364"/>
      <c r="M247" s="364"/>
      <c r="N247" s="220"/>
      <c r="O247" s="220"/>
      <c r="P247" s="220"/>
      <c r="Q247" s="220"/>
      <c r="R247" s="220"/>
      <c r="S247" s="220"/>
      <c r="T247" s="220"/>
      <c r="U247"/>
      <c r="V247"/>
      <c r="W247" s="170"/>
      <c r="X247" s="170"/>
      <c r="Y247" s="170"/>
      <c r="Z247" s="170"/>
      <c r="AJ247" s="170"/>
    </row>
    <row r="248" spans="2:36" hidden="1">
      <c r="B248" s="19" t="s">
        <v>88</v>
      </c>
      <c r="C248" s="5" t="s">
        <v>163</v>
      </c>
      <c r="D248" s="17" t="s">
        <v>424</v>
      </c>
      <c r="E248" s="89" t="s">
        <v>151</v>
      </c>
      <c r="F248" s="126"/>
      <c r="G248" s="140">
        <f t="shared" si="12"/>
        <v>0</v>
      </c>
      <c r="H248"/>
      <c r="I248"/>
      <c r="J248"/>
      <c r="K248"/>
      <c r="L248" s="364"/>
      <c r="M248" s="364"/>
      <c r="N248" s="220"/>
      <c r="O248" s="220"/>
      <c r="P248" s="220"/>
      <c r="Q248" s="220"/>
      <c r="R248" s="220"/>
      <c r="S248" s="220"/>
      <c r="T248" s="220"/>
      <c r="U248"/>
      <c r="V248"/>
      <c r="W248" s="170"/>
      <c r="X248" s="170"/>
      <c r="Y248" s="170"/>
      <c r="Z248" s="170"/>
      <c r="AJ248" s="170"/>
    </row>
    <row r="249" spans="2:36" hidden="1">
      <c r="B249" s="19" t="s">
        <v>88</v>
      </c>
      <c r="C249" s="5" t="s">
        <v>163</v>
      </c>
      <c r="D249" s="17" t="s">
        <v>425</v>
      </c>
      <c r="E249" s="89" t="s">
        <v>151</v>
      </c>
      <c r="F249" s="126"/>
      <c r="G249" s="140">
        <f t="shared" si="12"/>
        <v>0</v>
      </c>
      <c r="H249"/>
      <c r="I249"/>
      <c r="J249"/>
      <c r="K249"/>
      <c r="L249" s="364"/>
      <c r="M249" s="364"/>
      <c r="N249" s="220"/>
      <c r="O249" s="220"/>
      <c r="P249" s="220"/>
      <c r="Q249" s="220"/>
      <c r="R249" s="220"/>
      <c r="S249" s="220"/>
      <c r="T249" s="220"/>
      <c r="U249"/>
      <c r="V249"/>
      <c r="W249" s="170"/>
      <c r="X249" s="170"/>
      <c r="Y249" s="170"/>
      <c r="Z249" s="170"/>
      <c r="AJ249" s="170"/>
    </row>
    <row r="250" spans="2:36" hidden="1">
      <c r="B250" s="19" t="s">
        <v>88</v>
      </c>
      <c r="C250" s="5" t="s">
        <v>163</v>
      </c>
      <c r="D250" s="17" t="s">
        <v>426</v>
      </c>
      <c r="E250" s="89" t="s">
        <v>151</v>
      </c>
      <c r="F250" s="126"/>
      <c r="G250" s="140">
        <f t="shared" si="12"/>
        <v>0</v>
      </c>
      <c r="H250"/>
      <c r="I250"/>
      <c r="J250"/>
      <c r="K250"/>
      <c r="L250" s="364"/>
      <c r="M250" s="364"/>
      <c r="N250" s="220"/>
      <c r="O250" s="220"/>
      <c r="P250" s="220"/>
      <c r="Q250" s="220"/>
      <c r="R250" s="220"/>
      <c r="S250" s="220"/>
      <c r="T250" s="220"/>
      <c r="U250"/>
      <c r="V250"/>
      <c r="W250" s="170"/>
      <c r="X250" s="170"/>
      <c r="Y250" s="170"/>
      <c r="Z250" s="170"/>
      <c r="AJ250" s="170"/>
    </row>
    <row r="251" spans="2:36" hidden="1">
      <c r="B251" s="19" t="s">
        <v>88</v>
      </c>
      <c r="C251" s="5" t="s">
        <v>163</v>
      </c>
      <c r="D251" s="17" t="s">
        <v>427</v>
      </c>
      <c r="E251" s="89" t="s">
        <v>151</v>
      </c>
      <c r="F251" s="126"/>
      <c r="G251" s="140">
        <f t="shared" si="12"/>
        <v>0</v>
      </c>
      <c r="H251"/>
      <c r="I251"/>
      <c r="J251"/>
      <c r="K251"/>
      <c r="L251" s="364"/>
      <c r="M251" s="364"/>
      <c r="N251" s="220"/>
      <c r="O251" s="220"/>
      <c r="P251" s="220"/>
      <c r="Q251" s="220"/>
      <c r="R251" s="220"/>
      <c r="S251" s="220"/>
      <c r="T251" s="220"/>
      <c r="U251"/>
      <c r="V251"/>
      <c r="W251" s="170"/>
      <c r="X251" s="170"/>
      <c r="Y251" s="170"/>
      <c r="Z251" s="170"/>
      <c r="AJ251" s="170"/>
    </row>
    <row r="252" spans="2:36" hidden="1">
      <c r="B252" s="19" t="s">
        <v>88</v>
      </c>
      <c r="C252" s="5" t="s">
        <v>163</v>
      </c>
      <c r="D252" s="17" t="s">
        <v>428</v>
      </c>
      <c r="E252" s="89" t="s">
        <v>151</v>
      </c>
      <c r="F252" s="126"/>
      <c r="G252" s="140">
        <f t="shared" si="12"/>
        <v>0</v>
      </c>
      <c r="H252"/>
      <c r="I252"/>
      <c r="J252"/>
      <c r="K252"/>
      <c r="L252" s="364"/>
      <c r="M252" s="364"/>
      <c r="N252" s="220"/>
      <c r="O252" s="220"/>
      <c r="P252" s="220"/>
      <c r="Q252" s="220"/>
      <c r="R252" s="220"/>
      <c r="S252" s="220"/>
      <c r="T252" s="220"/>
      <c r="U252"/>
      <c r="V252"/>
      <c r="W252" s="170"/>
      <c r="X252" s="170"/>
      <c r="Y252" s="170"/>
      <c r="Z252" s="170"/>
      <c r="AJ252" s="170"/>
    </row>
    <row r="253" spans="2:36" hidden="1">
      <c r="B253" s="19" t="s">
        <v>88</v>
      </c>
      <c r="C253" s="5" t="s">
        <v>163</v>
      </c>
      <c r="D253" s="17" t="s">
        <v>429</v>
      </c>
      <c r="E253" s="89" t="s">
        <v>151</v>
      </c>
      <c r="F253" s="126"/>
      <c r="G253" s="140">
        <f t="shared" si="12"/>
        <v>0</v>
      </c>
      <c r="H253"/>
      <c r="I253"/>
      <c r="J253"/>
      <c r="K253"/>
      <c r="L253" s="364"/>
      <c r="M253" s="364"/>
      <c r="N253" s="220"/>
      <c r="O253" s="220"/>
      <c r="P253" s="220"/>
      <c r="Q253" s="220"/>
      <c r="R253" s="220"/>
      <c r="S253" s="220"/>
      <c r="T253" s="220"/>
      <c r="U253"/>
      <c r="V253"/>
      <c r="W253" s="170"/>
      <c r="X253" s="170"/>
      <c r="Y253" s="170"/>
      <c r="Z253" s="170"/>
      <c r="AJ253" s="170"/>
    </row>
    <row r="254" spans="2:36" hidden="1">
      <c r="B254" s="19" t="s">
        <v>88</v>
      </c>
      <c r="C254" s="5" t="s">
        <v>163</v>
      </c>
      <c r="D254" s="17" t="s">
        <v>430</v>
      </c>
      <c r="E254" s="89" t="s">
        <v>151</v>
      </c>
      <c r="F254" s="126"/>
      <c r="G254" s="140">
        <f t="shared" si="12"/>
        <v>0</v>
      </c>
      <c r="H254"/>
      <c r="I254"/>
      <c r="J254"/>
      <c r="K254"/>
      <c r="L254" s="364"/>
      <c r="M254" s="364"/>
      <c r="N254" s="220"/>
      <c r="O254" s="220"/>
      <c r="P254" s="220"/>
      <c r="Q254" s="220"/>
      <c r="R254" s="220"/>
      <c r="S254" s="220"/>
      <c r="T254" s="220"/>
      <c r="U254"/>
      <c r="V254"/>
      <c r="W254" s="170"/>
      <c r="X254" s="170"/>
      <c r="Y254" s="170"/>
      <c r="Z254" s="170"/>
      <c r="AJ254" s="170"/>
    </row>
    <row r="255" spans="2:36" hidden="1">
      <c r="B255" s="19" t="s">
        <v>88</v>
      </c>
      <c r="C255" s="5" t="s">
        <v>163</v>
      </c>
      <c r="D255" s="17" t="s">
        <v>431</v>
      </c>
      <c r="E255" s="89" t="s">
        <v>151</v>
      </c>
      <c r="F255" s="126"/>
      <c r="G255" s="140">
        <f t="shared" si="12"/>
        <v>0</v>
      </c>
      <c r="H255"/>
      <c r="I255"/>
      <c r="J255"/>
      <c r="K255"/>
      <c r="L255" s="364"/>
      <c r="M255" s="364"/>
      <c r="N255" s="220"/>
      <c r="O255" s="220"/>
      <c r="P255" s="220"/>
      <c r="Q255" s="220"/>
      <c r="R255" s="220"/>
      <c r="S255" s="220"/>
      <c r="T255" s="220"/>
      <c r="U255"/>
      <c r="V255"/>
      <c r="W255" s="170"/>
      <c r="X255" s="170"/>
      <c r="Y255" s="170"/>
      <c r="Z255" s="170"/>
      <c r="AJ255" s="170"/>
    </row>
    <row r="256" spans="2:36" hidden="1">
      <c r="B256" s="19" t="s">
        <v>88</v>
      </c>
      <c r="C256" s="5" t="s">
        <v>163</v>
      </c>
      <c r="D256" s="17" t="s">
        <v>432</v>
      </c>
      <c r="E256" s="89" t="s">
        <v>151</v>
      </c>
      <c r="F256" s="126"/>
      <c r="G256" s="140">
        <f t="shared" si="12"/>
        <v>0</v>
      </c>
      <c r="H256"/>
      <c r="I256"/>
      <c r="J256"/>
      <c r="K256"/>
      <c r="L256" s="364"/>
      <c r="M256" s="364"/>
      <c r="N256" s="220"/>
      <c r="O256" s="220"/>
      <c r="P256" s="220"/>
      <c r="Q256" s="220"/>
      <c r="R256" s="220"/>
      <c r="S256" s="220"/>
      <c r="T256" s="220"/>
      <c r="U256"/>
      <c r="V256"/>
      <c r="W256" s="170"/>
      <c r="X256" s="170"/>
      <c r="Y256" s="170"/>
      <c r="Z256" s="170"/>
      <c r="AJ256" s="170"/>
    </row>
    <row r="257" spans="1:57" hidden="1">
      <c r="B257" s="19" t="s">
        <v>88</v>
      </c>
      <c r="C257" s="5" t="s">
        <v>163</v>
      </c>
      <c r="D257" s="17" t="s">
        <v>433</v>
      </c>
      <c r="E257" s="89" t="s">
        <v>151</v>
      </c>
      <c r="F257" s="126"/>
      <c r="G257" s="140">
        <f t="shared" si="12"/>
        <v>0</v>
      </c>
      <c r="H257"/>
      <c r="I257"/>
      <c r="J257"/>
      <c r="K257"/>
      <c r="L257" s="364"/>
      <c r="M257" s="364"/>
      <c r="N257" s="220"/>
      <c r="O257" s="220"/>
      <c r="P257" s="220"/>
      <c r="Q257" s="220"/>
      <c r="R257" s="220"/>
      <c r="S257" s="220"/>
      <c r="T257" s="220"/>
      <c r="U257"/>
      <c r="V257"/>
      <c r="W257" s="170"/>
      <c r="X257" s="170"/>
      <c r="Y257" s="170"/>
      <c r="Z257" s="170"/>
      <c r="AJ257" s="170"/>
    </row>
    <row r="258" spans="1:57" hidden="1">
      <c r="B258" s="19" t="s">
        <v>88</v>
      </c>
      <c r="C258" s="5" t="s">
        <v>163</v>
      </c>
      <c r="D258" s="17" t="s">
        <v>434</v>
      </c>
      <c r="E258" s="89" t="s">
        <v>151</v>
      </c>
      <c r="F258" s="126"/>
      <c r="G258" s="140">
        <f t="shared" si="12"/>
        <v>0</v>
      </c>
      <c r="H258"/>
      <c r="I258"/>
      <c r="J258"/>
      <c r="K258"/>
      <c r="L258" s="364"/>
      <c r="M258" s="364"/>
      <c r="N258" s="220"/>
      <c r="O258" s="220"/>
      <c r="P258" s="220"/>
      <c r="Q258" s="220"/>
      <c r="R258" s="220"/>
      <c r="S258" s="220"/>
      <c r="T258" s="220"/>
      <c r="U258"/>
      <c r="V258"/>
      <c r="W258" s="170"/>
      <c r="X258" s="170"/>
      <c r="Y258" s="170"/>
      <c r="Z258" s="170"/>
      <c r="AJ258" s="170"/>
    </row>
    <row r="259" spans="1:57" hidden="1">
      <c r="B259" s="19" t="s">
        <v>88</v>
      </c>
      <c r="C259" s="5" t="s">
        <v>163</v>
      </c>
      <c r="D259" s="17" t="s">
        <v>435</v>
      </c>
      <c r="E259" s="109" t="str">
        <f>DEC2HEX(G259,2)</f>
        <v>BE</v>
      </c>
      <c r="F259" s="126" t="s">
        <v>667</v>
      </c>
      <c r="G259" s="140">
        <f>MOD(256-MOD(SUM(G132:G258),256),256)</f>
        <v>190</v>
      </c>
      <c r="H259"/>
      <c r="I259"/>
      <c r="J259"/>
      <c r="K259"/>
      <c r="L259" s="364"/>
      <c r="M259" s="364"/>
      <c r="N259" s="220"/>
      <c r="O259" s="220"/>
      <c r="P259" s="220"/>
      <c r="Q259" s="220"/>
      <c r="R259" s="220"/>
      <c r="S259" s="220"/>
      <c r="T259" s="220"/>
      <c r="U259"/>
      <c r="V259"/>
      <c r="W259" s="170"/>
      <c r="X259" s="170"/>
      <c r="Y259" s="170"/>
      <c r="Z259" s="170"/>
      <c r="AJ259" s="170"/>
    </row>
    <row r="260" spans="1:57" collapsed="1">
      <c r="A260"/>
      <c r="B260"/>
      <c r="C260"/>
      <c r="D260"/>
      <c r="E260"/>
      <c r="F260"/>
      <c r="G260"/>
      <c r="H260"/>
      <c r="I260"/>
      <c r="J260"/>
      <c r="K260"/>
      <c r="L260" s="220"/>
      <c r="M260" s="220"/>
      <c r="N260" s="220"/>
      <c r="O260" s="220"/>
      <c r="P260" s="220"/>
      <c r="Q260" s="220"/>
      <c r="R260" s="220"/>
      <c r="S260" s="220"/>
      <c r="T260" s="220"/>
      <c r="U260"/>
      <c r="V260"/>
      <c r="W260" s="170"/>
      <c r="X260" s="170"/>
      <c r="Y260" s="170"/>
      <c r="Z260" s="170"/>
      <c r="AJ260" s="170"/>
    </row>
    <row r="261" spans="1:57">
      <c r="A261"/>
      <c r="B261"/>
      <c r="C261"/>
      <c r="D261"/>
      <c r="E261"/>
      <c r="F261"/>
      <c r="G261"/>
      <c r="H261"/>
      <c r="I261"/>
      <c r="J261"/>
      <c r="K261"/>
      <c r="L261" s="220"/>
      <c r="M261" s="220"/>
      <c r="N261" s="220"/>
      <c r="O261" s="220"/>
      <c r="P261" s="220"/>
      <c r="Q261" s="220"/>
      <c r="R261" s="220"/>
      <c r="S261" s="220"/>
      <c r="T261" s="220"/>
      <c r="U261"/>
      <c r="V261"/>
      <c r="W261" s="170"/>
      <c r="X261" s="170"/>
      <c r="Y261" s="170"/>
      <c r="Z261" s="170"/>
      <c r="AJ261" s="170"/>
    </row>
    <row r="262" spans="1:57">
      <c r="A262"/>
      <c r="B262"/>
      <c r="C262"/>
      <c r="D262"/>
      <c r="E262"/>
      <c r="F262"/>
      <c r="G262"/>
      <c r="H262"/>
      <c r="I262"/>
      <c r="J262"/>
      <c r="K262"/>
      <c r="L262" s="220"/>
      <c r="M262" s="220"/>
      <c r="N262" s="220"/>
      <c r="O262" s="220"/>
      <c r="P262" s="220"/>
      <c r="Q262" s="220"/>
      <c r="R262" s="220"/>
      <c r="S262" s="220"/>
      <c r="T262" s="220"/>
      <c r="U262"/>
      <c r="V262"/>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c r="AT262"/>
      <c r="AU262"/>
      <c r="AV262"/>
      <c r="AW262"/>
      <c r="AX262"/>
      <c r="AY262"/>
      <c r="AZ262"/>
      <c r="BA262"/>
      <c r="BB262"/>
      <c r="BC262"/>
      <c r="BD262"/>
      <c r="BE262"/>
    </row>
    <row r="263" spans="1:57">
      <c r="A263"/>
      <c r="B263"/>
      <c r="C263"/>
      <c r="D263"/>
      <c r="E263"/>
      <c r="F263"/>
      <c r="G263"/>
      <c r="H263"/>
      <c r="I263"/>
      <c r="J263"/>
      <c r="K263"/>
      <c r="L263" s="220"/>
      <c r="M263" s="220"/>
      <c r="N263" s="220"/>
      <c r="O263" s="220"/>
      <c r="P263" s="220"/>
      <c r="Q263" s="220"/>
      <c r="R263" s="220"/>
      <c r="S263" s="220"/>
      <c r="T263" s="220"/>
      <c r="U263"/>
      <c r="V263"/>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c r="AT263"/>
      <c r="AU263"/>
      <c r="AV263"/>
      <c r="AW263"/>
      <c r="AX263"/>
      <c r="AY263"/>
      <c r="AZ263"/>
      <c r="BA263"/>
      <c r="BB263"/>
      <c r="BC263"/>
      <c r="BD263"/>
      <c r="BE263"/>
    </row>
    <row r="264" spans="1:57">
      <c r="A264"/>
      <c r="B264"/>
      <c r="C264"/>
      <c r="D264"/>
      <c r="E264"/>
      <c r="F264"/>
      <c r="G264"/>
      <c r="H264"/>
      <c r="I264"/>
      <c r="J264"/>
      <c r="K264"/>
      <c r="L264" s="220"/>
      <c r="M264" s="220"/>
      <c r="N264" s="220"/>
      <c r="O264" s="220"/>
      <c r="P264" s="220"/>
      <c r="Q264" s="220"/>
      <c r="R264" s="220"/>
      <c r="S264" s="220"/>
      <c r="T264" s="220"/>
      <c r="U264"/>
      <c r="V264"/>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c r="AT264"/>
      <c r="AU264"/>
      <c r="AV264"/>
      <c r="AW264"/>
      <c r="AX264"/>
      <c r="AY264"/>
      <c r="AZ264"/>
      <c r="BA264"/>
      <c r="BB264"/>
      <c r="BC264"/>
      <c r="BD264"/>
      <c r="BE264"/>
    </row>
    <row r="265" spans="1:57">
      <c r="A265"/>
      <c r="B265"/>
      <c r="C265"/>
      <c r="D265"/>
      <c r="E265"/>
      <c r="F265"/>
      <c r="G265"/>
      <c r="H265"/>
      <c r="I265"/>
      <c r="J265"/>
      <c r="K265"/>
      <c r="L265" s="220"/>
      <c r="M265" s="220"/>
      <c r="N265" s="220"/>
      <c r="O265" s="220"/>
      <c r="P265" s="220"/>
      <c r="Q265" s="220"/>
      <c r="R265" s="220"/>
      <c r="S265" s="220"/>
      <c r="T265" s="220"/>
      <c r="U265"/>
      <c r="V265"/>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c r="AT265"/>
      <c r="AU265"/>
      <c r="AV265"/>
      <c r="AW265"/>
      <c r="AX265"/>
      <c r="AY265"/>
      <c r="AZ265"/>
      <c r="BA265"/>
      <c r="BB265"/>
      <c r="BC265"/>
      <c r="BD265"/>
      <c r="BE265"/>
    </row>
    <row r="266" spans="1:57">
      <c r="A266"/>
      <c r="B266"/>
      <c r="C266"/>
      <c r="D266"/>
      <c r="E266"/>
      <c r="F266"/>
      <c r="G266"/>
      <c r="H266"/>
      <c r="I266"/>
      <c r="J266"/>
      <c r="K266"/>
      <c r="L266" s="220"/>
      <c r="M266" s="220"/>
      <c r="N266" s="220"/>
      <c r="O266" s="220"/>
      <c r="P266" s="220"/>
      <c r="Q266" s="220"/>
      <c r="R266" s="220"/>
      <c r="S266" s="220"/>
      <c r="T266" s="220"/>
      <c r="U266"/>
      <c r="V266"/>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c r="AT266"/>
      <c r="AU266"/>
      <c r="AV266"/>
      <c r="AW266"/>
      <c r="AX266"/>
      <c r="AY266"/>
      <c r="AZ266"/>
      <c r="BA266"/>
      <c r="BB266"/>
      <c r="BC266"/>
      <c r="BD266"/>
      <c r="BE266"/>
    </row>
    <row r="267" spans="1:57">
      <c r="A267"/>
      <c r="B267"/>
      <c r="C267"/>
      <c r="D267"/>
      <c r="E267"/>
      <c r="F267"/>
      <c r="G267"/>
      <c r="H267"/>
      <c r="I267"/>
      <c r="J267"/>
      <c r="K267"/>
      <c r="L267" s="220"/>
      <c r="M267" s="220"/>
      <c r="N267" s="220"/>
      <c r="O267" s="220"/>
      <c r="P267" s="220"/>
      <c r="Q267" s="220"/>
      <c r="R267" s="220"/>
      <c r="S267" s="220"/>
      <c r="T267" s="220"/>
      <c r="U267"/>
      <c r="V267"/>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c r="AT267"/>
      <c r="AU267"/>
      <c r="AV267"/>
      <c r="AW267"/>
      <c r="AX267"/>
      <c r="AY267"/>
      <c r="AZ267"/>
      <c r="BA267"/>
      <c r="BB267"/>
      <c r="BC267"/>
      <c r="BD267"/>
      <c r="BE267"/>
    </row>
    <row r="268" spans="1:57">
      <c r="A268"/>
      <c r="B268"/>
      <c r="C268"/>
      <c r="D268"/>
      <c r="E268"/>
      <c r="F268"/>
      <c r="G268"/>
      <c r="H268"/>
      <c r="I268"/>
      <c r="J268"/>
      <c r="K268"/>
      <c r="L268" s="220"/>
      <c r="M268" s="220"/>
      <c r="N268" s="220"/>
      <c r="O268" s="220"/>
      <c r="P268" s="220"/>
      <c r="Q268" s="220"/>
      <c r="R268" s="220"/>
      <c r="S268" s="220"/>
      <c r="T268" s="220"/>
      <c r="U268"/>
      <c r="V268"/>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c r="AT268"/>
      <c r="AU268"/>
      <c r="AV268"/>
      <c r="AW268"/>
      <c r="AX268"/>
      <c r="AY268"/>
      <c r="AZ268"/>
      <c r="BA268"/>
      <c r="BB268"/>
      <c r="BC268"/>
      <c r="BD268"/>
      <c r="BE268"/>
    </row>
    <row r="269" spans="1:57">
      <c r="A269"/>
      <c r="B269"/>
      <c r="C269"/>
      <c r="D269"/>
      <c r="E269"/>
      <c r="F269"/>
      <c r="G269"/>
      <c r="H269"/>
      <c r="I269"/>
      <c r="J269"/>
      <c r="K269"/>
      <c r="L269" s="220"/>
      <c r="M269" s="220"/>
      <c r="N269" s="220"/>
      <c r="O269" s="220"/>
      <c r="P269" s="220"/>
      <c r="Q269" s="220"/>
      <c r="R269" s="220"/>
      <c r="S269" s="220"/>
      <c r="T269" s="220"/>
      <c r="U269"/>
      <c r="V269"/>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c r="AT269"/>
      <c r="AU269"/>
      <c r="AV269"/>
      <c r="AW269"/>
      <c r="AX269"/>
      <c r="AY269"/>
      <c r="AZ269"/>
      <c r="BA269"/>
      <c r="BB269"/>
      <c r="BC269"/>
      <c r="BD269"/>
      <c r="BE269"/>
    </row>
    <row r="270" spans="1:57">
      <c r="A270"/>
      <c r="B270"/>
      <c r="C270"/>
      <c r="D270"/>
      <c r="E270"/>
      <c r="F270"/>
      <c r="G270"/>
      <c r="H270"/>
      <c r="I270"/>
      <c r="J270"/>
      <c r="K270"/>
      <c r="L270" s="220"/>
      <c r="M270" s="220"/>
      <c r="N270" s="220"/>
      <c r="O270" s="220"/>
      <c r="P270" s="220"/>
      <c r="Q270" s="220"/>
      <c r="R270" s="220"/>
      <c r="S270" s="220"/>
      <c r="T270" s="220"/>
      <c r="U270"/>
      <c r="V2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c r="AT270"/>
      <c r="AU270"/>
      <c r="AV270"/>
      <c r="AW270"/>
      <c r="AX270"/>
      <c r="AY270"/>
      <c r="AZ270"/>
      <c r="BA270"/>
      <c r="BB270"/>
      <c r="BC270"/>
      <c r="BD270"/>
      <c r="BE270"/>
    </row>
    <row r="271" spans="1:57">
      <c r="A271"/>
      <c r="B271"/>
      <c r="C271"/>
      <c r="D271"/>
      <c r="E271"/>
      <c r="F271"/>
      <c r="G271"/>
      <c r="H271"/>
      <c r="I271"/>
      <c r="J271"/>
      <c r="K271"/>
      <c r="L271" s="220"/>
      <c r="M271" s="220"/>
      <c r="N271" s="220"/>
      <c r="O271" s="220"/>
      <c r="P271" s="220"/>
      <c r="Q271" s="220"/>
      <c r="R271" s="220"/>
      <c r="S271" s="220"/>
      <c r="T271" s="220"/>
      <c r="U271"/>
      <c r="V271"/>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c r="AT271"/>
      <c r="AU271"/>
      <c r="AV271"/>
      <c r="AW271"/>
      <c r="AX271"/>
      <c r="AY271"/>
      <c r="AZ271"/>
      <c r="BA271"/>
      <c r="BB271"/>
      <c r="BC271"/>
      <c r="BD271"/>
      <c r="BE271"/>
    </row>
    <row r="272" spans="1:57">
      <c r="A272"/>
      <c r="B272"/>
      <c r="C272"/>
      <c r="D272"/>
      <c r="E272"/>
      <c r="F272"/>
      <c r="G272"/>
      <c r="H272"/>
      <c r="I272"/>
      <c r="J272"/>
      <c r="K272"/>
      <c r="L272" s="220"/>
      <c r="M272" s="220"/>
      <c r="N272" s="220"/>
      <c r="O272" s="220"/>
      <c r="P272" s="220"/>
      <c r="Q272" s="220"/>
      <c r="R272" s="220"/>
      <c r="S272" s="220"/>
      <c r="T272" s="220"/>
      <c r="U272"/>
      <c r="V272"/>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c r="AT272"/>
      <c r="AU272"/>
      <c r="AV272"/>
      <c r="AW272"/>
      <c r="AX272"/>
      <c r="AY272"/>
      <c r="AZ272"/>
      <c r="BA272"/>
      <c r="BB272"/>
      <c r="BC272"/>
      <c r="BD272"/>
      <c r="BE272"/>
    </row>
    <row r="273" spans="1:57">
      <c r="A273"/>
      <c r="B273"/>
      <c r="C273"/>
      <c r="D273"/>
      <c r="E273"/>
      <c r="F273"/>
      <c r="G273"/>
      <c r="H273"/>
      <c r="I273"/>
      <c r="J273"/>
      <c r="K273"/>
      <c r="L273" s="220"/>
      <c r="M273" s="220"/>
      <c r="N273" s="220"/>
      <c r="O273" s="220"/>
      <c r="P273" s="220"/>
      <c r="Q273" s="220"/>
      <c r="R273" s="220"/>
      <c r="S273" s="220"/>
      <c r="T273" s="220"/>
      <c r="U273"/>
      <c r="V273"/>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c r="AT273"/>
      <c r="AU273"/>
      <c r="AV273"/>
      <c r="AW273"/>
      <c r="AX273"/>
      <c r="AY273"/>
      <c r="AZ273"/>
      <c r="BA273"/>
      <c r="BB273"/>
      <c r="BC273"/>
      <c r="BD273"/>
      <c r="BE273"/>
    </row>
    <row r="274" spans="1:57">
      <c r="A274"/>
      <c r="B274"/>
      <c r="C274"/>
      <c r="D274"/>
      <c r="E274"/>
      <c r="F274"/>
      <c r="G274"/>
      <c r="H274"/>
      <c r="I274"/>
      <c r="J274"/>
      <c r="K274"/>
      <c r="L274" s="220"/>
      <c r="M274" s="220"/>
      <c r="N274" s="220"/>
      <c r="O274" s="220"/>
      <c r="P274" s="220"/>
      <c r="Q274" s="220"/>
      <c r="R274" s="220"/>
      <c r="S274" s="220"/>
      <c r="T274" s="220"/>
      <c r="U274"/>
      <c r="V274"/>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c r="AT274"/>
      <c r="AU274"/>
      <c r="AV274"/>
      <c r="AW274"/>
      <c r="AX274"/>
      <c r="AY274"/>
      <c r="AZ274"/>
      <c r="BA274"/>
      <c r="BB274"/>
      <c r="BC274"/>
      <c r="BD274"/>
      <c r="BE274"/>
    </row>
    <row r="275" spans="1:57">
      <c r="A275"/>
      <c r="B275"/>
      <c r="C275"/>
      <c r="D275"/>
      <c r="E275"/>
      <c r="F275"/>
      <c r="G275"/>
      <c r="H275"/>
      <c r="I275"/>
      <c r="J275"/>
      <c r="K275"/>
      <c r="L275" s="220"/>
      <c r="M275" s="220"/>
      <c r="N275" s="220"/>
      <c r="O275" s="220"/>
      <c r="P275" s="220"/>
      <c r="Q275" s="220"/>
      <c r="R275" s="220"/>
      <c r="S275" s="220"/>
      <c r="T275" s="220"/>
      <c r="U275"/>
      <c r="V275"/>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c r="AT275"/>
      <c r="AU275"/>
      <c r="AV275"/>
      <c r="AW275"/>
      <c r="AX275"/>
      <c r="AY275"/>
      <c r="AZ275"/>
      <c r="BA275"/>
      <c r="BB275"/>
      <c r="BC275"/>
      <c r="BD275"/>
      <c r="BE275"/>
    </row>
    <row r="276" spans="1:57">
      <c r="A276"/>
      <c r="B276"/>
      <c r="C276"/>
      <c r="D276"/>
      <c r="E276"/>
      <c r="F276"/>
      <c r="G276"/>
      <c r="H276"/>
      <c r="I276"/>
      <c r="J276"/>
      <c r="K276"/>
      <c r="L276" s="220"/>
      <c r="M276" s="220"/>
      <c r="N276" s="220"/>
      <c r="O276" s="220"/>
      <c r="P276" s="220"/>
      <c r="Q276" s="220"/>
      <c r="R276" s="220"/>
      <c r="S276" s="220"/>
      <c r="T276" s="220"/>
      <c r="U276"/>
      <c r="V276"/>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c r="AT276"/>
      <c r="AU276"/>
      <c r="AV276"/>
      <c r="AW276"/>
      <c r="AX276"/>
      <c r="AY276"/>
      <c r="AZ276"/>
      <c r="BA276"/>
      <c r="BB276"/>
      <c r="BC276"/>
      <c r="BD276"/>
      <c r="BE276"/>
    </row>
    <row r="277" spans="1:57">
      <c r="A277"/>
      <c r="B277"/>
      <c r="C277"/>
      <c r="D277"/>
      <c r="E277"/>
      <c r="F277"/>
      <c r="G277"/>
      <c r="H277"/>
      <c r="I277"/>
      <c r="J277"/>
      <c r="K277"/>
      <c r="L277" s="220"/>
      <c r="M277" s="220"/>
      <c r="N277" s="220"/>
      <c r="O277" s="220"/>
      <c r="P277" s="220"/>
      <c r="Q277" s="220"/>
      <c r="R277" s="220"/>
      <c r="S277" s="220"/>
      <c r="T277" s="220"/>
      <c r="U277"/>
      <c r="V277"/>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c r="AT277"/>
      <c r="AU277"/>
      <c r="AV277"/>
      <c r="AW277"/>
      <c r="AX277"/>
      <c r="AY277"/>
      <c r="AZ277"/>
      <c r="BA277"/>
      <c r="BB277"/>
      <c r="BC277"/>
      <c r="BD277"/>
      <c r="BE277"/>
    </row>
    <row r="278" spans="1:57">
      <c r="A278"/>
      <c r="B278"/>
      <c r="C278"/>
      <c r="D278"/>
      <c r="E278"/>
      <c r="F278"/>
      <c r="G278"/>
      <c r="H278"/>
      <c r="I278"/>
      <c r="J278"/>
      <c r="K278"/>
      <c r="L278" s="220"/>
      <c r="M278" s="220"/>
      <c r="N278" s="220"/>
      <c r="O278" s="220"/>
      <c r="P278" s="220"/>
      <c r="Q278" s="220"/>
      <c r="R278" s="220"/>
      <c r="S278" s="220"/>
      <c r="T278" s="220"/>
      <c r="U278"/>
      <c r="V278"/>
      <c r="W278" s="170"/>
      <c r="X278" s="170"/>
      <c r="Y278" s="170"/>
      <c r="Z278" s="170"/>
      <c r="AA278" s="170"/>
      <c r="AB278" s="170"/>
      <c r="AC278" s="170"/>
      <c r="AD278" s="170"/>
      <c r="AE278" s="170"/>
      <c r="AF278" s="170"/>
      <c r="AG278" s="170"/>
      <c r="AH278" s="170"/>
      <c r="AI278" s="170"/>
      <c r="AJ278" s="170"/>
      <c r="AK278" s="170"/>
      <c r="AL278" s="170"/>
      <c r="AM278" s="170"/>
      <c r="AN278" s="170"/>
      <c r="AO278" s="170"/>
      <c r="AP278" s="170"/>
      <c r="AQ278" s="170"/>
      <c r="AR278" s="170"/>
      <c r="AS278"/>
      <c r="AT278"/>
      <c r="AU278"/>
      <c r="AV278"/>
      <c r="AW278"/>
      <c r="AX278"/>
      <c r="AY278"/>
      <c r="AZ278"/>
      <c r="BA278"/>
      <c r="BB278"/>
      <c r="BC278"/>
      <c r="BD278"/>
      <c r="BE278"/>
    </row>
    <row r="279" spans="1:57">
      <c r="A279"/>
      <c r="B279"/>
      <c r="C279"/>
      <c r="D279"/>
      <c r="E279"/>
      <c r="F279"/>
      <c r="G279"/>
      <c r="H279"/>
      <c r="I279"/>
      <c r="J279"/>
      <c r="K279"/>
      <c r="L279" s="220"/>
      <c r="M279" s="220"/>
      <c r="N279" s="220"/>
      <c r="O279" s="220"/>
      <c r="P279" s="220"/>
      <c r="Q279" s="220"/>
      <c r="R279" s="220"/>
      <c r="S279" s="220"/>
      <c r="T279" s="220"/>
      <c r="U279"/>
      <c r="V279"/>
      <c r="W279" s="170"/>
      <c r="X279" s="170"/>
      <c r="Y279" s="170"/>
      <c r="Z279" s="170"/>
      <c r="AA279" s="170"/>
      <c r="AB279" s="170"/>
      <c r="AC279" s="170"/>
      <c r="AD279" s="170"/>
      <c r="AE279" s="170"/>
      <c r="AF279" s="170"/>
      <c r="AG279" s="170"/>
      <c r="AH279" s="170"/>
      <c r="AI279" s="170"/>
      <c r="AJ279" s="170"/>
      <c r="AK279" s="170"/>
      <c r="AL279" s="170"/>
      <c r="AM279" s="170"/>
      <c r="AN279" s="170"/>
      <c r="AO279" s="170"/>
      <c r="AP279" s="170"/>
      <c r="AQ279" s="170"/>
      <c r="AR279" s="170"/>
      <c r="AS279"/>
      <c r="AT279"/>
      <c r="AU279"/>
      <c r="AV279"/>
      <c r="AW279"/>
      <c r="AX279"/>
      <c r="AY279"/>
      <c r="AZ279"/>
      <c r="BA279"/>
      <c r="BB279"/>
      <c r="BC279"/>
      <c r="BD279"/>
      <c r="BE279"/>
    </row>
    <row r="280" spans="1:57">
      <c r="A280"/>
      <c r="B280"/>
      <c r="C280"/>
      <c r="D280"/>
      <c r="E280"/>
      <c r="F280"/>
      <c r="G280"/>
      <c r="H280"/>
      <c r="I280"/>
      <c r="J280"/>
      <c r="K280"/>
      <c r="L280" s="220"/>
      <c r="M280" s="220"/>
      <c r="N280" s="220"/>
      <c r="O280" s="220"/>
      <c r="P280" s="220"/>
      <c r="Q280" s="220"/>
      <c r="R280" s="220"/>
      <c r="S280" s="220"/>
      <c r="T280" s="220"/>
      <c r="U280"/>
      <c r="V280"/>
      <c r="W280" s="170"/>
      <c r="X280" s="170"/>
      <c r="Y280" s="170"/>
      <c r="Z280" s="170"/>
      <c r="AA280" s="170"/>
      <c r="AB280" s="170"/>
      <c r="AC280" s="170"/>
      <c r="AD280" s="170"/>
      <c r="AE280" s="170"/>
      <c r="AF280" s="170"/>
      <c r="AG280" s="170"/>
      <c r="AH280" s="170"/>
      <c r="AI280" s="170"/>
      <c r="AJ280" s="170"/>
      <c r="AK280" s="170"/>
      <c r="AL280" s="170"/>
      <c r="AM280" s="170"/>
      <c r="AN280" s="170"/>
      <c r="AO280" s="170"/>
      <c r="AP280" s="170"/>
      <c r="AQ280" s="170"/>
      <c r="AR280" s="170"/>
      <c r="AS280"/>
      <c r="AT280"/>
      <c r="AU280"/>
      <c r="AV280"/>
      <c r="AW280"/>
      <c r="AX280"/>
      <c r="AY280"/>
      <c r="AZ280"/>
      <c r="BA280"/>
      <c r="BB280"/>
      <c r="BC280"/>
      <c r="BD280"/>
      <c r="BE280"/>
    </row>
    <row r="281" spans="1:57">
      <c r="A281"/>
      <c r="B281"/>
      <c r="C281"/>
      <c r="D281"/>
      <c r="E281"/>
      <c r="F281"/>
      <c r="G281"/>
      <c r="H281"/>
      <c r="I281"/>
      <c r="J281"/>
      <c r="K281"/>
      <c r="L281" s="220"/>
      <c r="M281" s="220"/>
      <c r="N281" s="220"/>
      <c r="O281" s="220"/>
      <c r="P281" s="220"/>
      <c r="Q281" s="220"/>
      <c r="R281" s="220"/>
      <c r="S281" s="220"/>
      <c r="T281" s="220"/>
      <c r="U281"/>
      <c r="V281"/>
      <c r="W281" s="170"/>
      <c r="X281" s="170"/>
      <c r="Y281" s="170"/>
      <c r="Z281" s="170"/>
      <c r="AA281" s="170"/>
      <c r="AB281" s="170"/>
      <c r="AC281" s="170"/>
      <c r="AD281" s="170"/>
      <c r="AE281" s="170"/>
      <c r="AF281" s="170"/>
      <c r="AG281" s="170"/>
      <c r="AH281" s="170"/>
      <c r="AI281" s="170"/>
      <c r="AJ281" s="170"/>
      <c r="AK281" s="170"/>
      <c r="AL281" s="170"/>
      <c r="AM281" s="170"/>
      <c r="AN281" s="170"/>
      <c r="AO281" s="170"/>
      <c r="AP281" s="170"/>
      <c r="AQ281" s="170"/>
      <c r="AR281" s="170"/>
      <c r="AS281"/>
      <c r="AT281"/>
      <c r="AU281"/>
      <c r="AV281"/>
      <c r="AW281"/>
      <c r="AX281"/>
      <c r="AY281"/>
      <c r="AZ281"/>
      <c r="BA281"/>
      <c r="BB281"/>
      <c r="BC281"/>
      <c r="BD281"/>
      <c r="BE281"/>
    </row>
    <row r="282" spans="1:57">
      <c r="A282"/>
      <c r="B282"/>
      <c r="C282"/>
      <c r="D282"/>
      <c r="E282"/>
      <c r="F282"/>
      <c r="G282"/>
      <c r="H282"/>
      <c r="I282"/>
      <c r="J282"/>
      <c r="K282"/>
      <c r="L282" s="220"/>
      <c r="M282" s="220"/>
      <c r="N282" s="220"/>
      <c r="O282" s="220"/>
      <c r="P282" s="220"/>
      <c r="Q282" s="220"/>
      <c r="R282" s="220"/>
      <c r="S282" s="220"/>
      <c r="T282" s="220"/>
      <c r="U282"/>
      <c r="V282"/>
      <c r="W282" s="170"/>
      <c r="X282" s="170"/>
      <c r="Y282" s="170"/>
      <c r="Z282" s="170"/>
      <c r="AA282" s="170"/>
      <c r="AB282" s="170"/>
      <c r="AC282" s="170"/>
      <c r="AD282" s="170"/>
      <c r="AE282" s="170"/>
      <c r="AF282" s="170"/>
      <c r="AG282" s="170"/>
      <c r="AH282" s="170"/>
      <c r="AI282" s="170"/>
      <c r="AJ282" s="170"/>
      <c r="AK282" s="170"/>
      <c r="AL282" s="170"/>
      <c r="AM282" s="170"/>
      <c r="AN282" s="170"/>
      <c r="AO282" s="170"/>
      <c r="AP282" s="170"/>
      <c r="AQ282" s="170"/>
      <c r="AR282" s="170"/>
      <c r="AS282"/>
      <c r="AT282"/>
      <c r="AU282"/>
      <c r="AV282"/>
      <c r="AW282"/>
      <c r="AX282"/>
      <c r="AY282"/>
      <c r="AZ282"/>
      <c r="BA282"/>
      <c r="BB282"/>
      <c r="BC282"/>
      <c r="BD282"/>
      <c r="BE282"/>
    </row>
    <row r="283" spans="1:57">
      <c r="A283"/>
      <c r="B283"/>
      <c r="C283"/>
      <c r="D283"/>
      <c r="E283"/>
      <c r="F283"/>
      <c r="G283"/>
      <c r="H283"/>
      <c r="I283"/>
      <c r="J283"/>
      <c r="K283"/>
      <c r="L283" s="220"/>
      <c r="M283" s="220"/>
      <c r="N283" s="220"/>
      <c r="O283" s="220"/>
      <c r="P283" s="220"/>
      <c r="Q283" s="220"/>
      <c r="R283" s="220"/>
      <c r="S283" s="220"/>
      <c r="T283" s="220"/>
      <c r="U283"/>
      <c r="V283"/>
      <c r="W283" s="170"/>
      <c r="X283" s="170"/>
      <c r="Y283" s="170"/>
      <c r="Z283" s="170"/>
      <c r="AA283" s="170"/>
      <c r="AB283" s="170"/>
      <c r="AC283" s="170"/>
      <c r="AD283" s="170"/>
      <c r="AE283" s="170"/>
      <c r="AF283" s="170"/>
      <c r="AG283" s="170"/>
      <c r="AH283" s="170"/>
      <c r="AI283" s="170"/>
      <c r="AJ283" s="170"/>
      <c r="AK283" s="170"/>
      <c r="AL283" s="170"/>
      <c r="AM283" s="170"/>
      <c r="AN283" s="170"/>
      <c r="AO283" s="170"/>
      <c r="AP283" s="170"/>
      <c r="AQ283" s="170"/>
      <c r="AR283" s="170"/>
      <c r="AS283"/>
      <c r="AT283"/>
      <c r="AU283"/>
      <c r="AV283"/>
      <c r="AW283"/>
      <c r="AX283"/>
      <c r="AY283"/>
      <c r="AZ283"/>
      <c r="BA283"/>
      <c r="BB283"/>
      <c r="BC283"/>
      <c r="BD283"/>
      <c r="BE283"/>
    </row>
    <row r="284" spans="1:57">
      <c r="A284"/>
      <c r="B284"/>
      <c r="C284"/>
      <c r="D284"/>
      <c r="E284"/>
      <c r="F284"/>
      <c r="G284"/>
      <c r="H284"/>
      <c r="I284"/>
      <c r="J284"/>
      <c r="K284"/>
      <c r="L284" s="220"/>
      <c r="M284" s="220"/>
      <c r="N284" s="220"/>
      <c r="O284" s="220"/>
      <c r="P284" s="220"/>
      <c r="Q284" s="220"/>
      <c r="R284" s="220"/>
      <c r="S284" s="220"/>
      <c r="T284" s="220"/>
      <c r="U284"/>
      <c r="V284"/>
      <c r="W284" s="170"/>
      <c r="X284" s="170"/>
      <c r="Y284" s="170"/>
      <c r="Z284" s="170"/>
      <c r="AA284" s="170"/>
      <c r="AB284" s="170"/>
      <c r="AC284" s="170"/>
      <c r="AD284" s="170"/>
      <c r="AE284" s="170"/>
      <c r="AF284" s="170"/>
      <c r="AG284" s="170"/>
      <c r="AH284" s="170"/>
      <c r="AI284" s="170"/>
      <c r="AJ284" s="170"/>
      <c r="AK284" s="170"/>
      <c r="AL284" s="170"/>
      <c r="AM284" s="170"/>
      <c r="AN284" s="170"/>
      <c r="AO284" s="170"/>
      <c r="AP284" s="170"/>
      <c r="AQ284" s="170"/>
      <c r="AR284" s="170"/>
      <c r="AS284"/>
      <c r="AT284"/>
      <c r="AU284"/>
      <c r="AV284"/>
      <c r="AW284"/>
      <c r="AX284"/>
      <c r="AY284"/>
      <c r="AZ284"/>
      <c r="BA284"/>
      <c r="BB284"/>
      <c r="BC284"/>
      <c r="BD284"/>
      <c r="BE284"/>
    </row>
    <row r="285" spans="1:57">
      <c r="A285"/>
      <c r="B285"/>
      <c r="C285"/>
      <c r="D285"/>
      <c r="E285"/>
      <c r="F285"/>
      <c r="G285"/>
      <c r="H285"/>
      <c r="I285"/>
      <c r="J285"/>
      <c r="K285"/>
      <c r="L285" s="220"/>
      <c r="M285" s="220"/>
      <c r="N285" s="220"/>
      <c r="O285" s="220"/>
      <c r="P285" s="220"/>
      <c r="Q285" s="220"/>
      <c r="R285" s="220"/>
      <c r="S285" s="220"/>
      <c r="T285" s="220"/>
      <c r="U285"/>
      <c r="V285"/>
      <c r="W285" s="170"/>
      <c r="X285" s="170"/>
      <c r="Y285" s="170"/>
      <c r="Z285" s="170"/>
      <c r="AA285" s="170"/>
      <c r="AB285" s="170"/>
      <c r="AC285" s="170"/>
      <c r="AD285" s="170"/>
      <c r="AE285" s="170"/>
      <c r="AF285" s="170"/>
      <c r="AG285" s="170"/>
      <c r="AH285" s="170"/>
      <c r="AI285" s="170"/>
      <c r="AJ285" s="170"/>
      <c r="AK285" s="170"/>
      <c r="AL285" s="170"/>
      <c r="AM285" s="170"/>
      <c r="AN285" s="170"/>
      <c r="AO285" s="170"/>
      <c r="AP285" s="170"/>
      <c r="AQ285" s="170"/>
      <c r="AR285" s="170"/>
      <c r="AS285"/>
      <c r="AT285"/>
      <c r="AU285"/>
      <c r="AV285"/>
      <c r="AW285"/>
      <c r="AX285"/>
      <c r="AY285"/>
      <c r="AZ285"/>
      <c r="BA285"/>
      <c r="BB285"/>
      <c r="BC285"/>
      <c r="BD285"/>
      <c r="BE285"/>
    </row>
    <row r="286" spans="1:57">
      <c r="A286"/>
      <c r="B286"/>
      <c r="C286"/>
      <c r="D286"/>
      <c r="E286"/>
      <c r="F286"/>
      <c r="G286"/>
      <c r="H286"/>
      <c r="I286"/>
      <c r="J286"/>
      <c r="K286"/>
      <c r="L286" s="220"/>
      <c r="M286" s="220"/>
      <c r="N286" s="220"/>
      <c r="O286" s="220"/>
      <c r="P286" s="220"/>
      <c r="Q286" s="220"/>
      <c r="R286" s="220"/>
      <c r="S286" s="220"/>
      <c r="T286" s="220"/>
      <c r="U286"/>
      <c r="V286"/>
      <c r="W286" s="170"/>
      <c r="X286" s="170"/>
      <c r="Y286" s="170"/>
      <c r="Z286" s="170"/>
      <c r="AA286" s="170"/>
      <c r="AB286" s="170"/>
      <c r="AC286" s="170"/>
      <c r="AD286" s="170"/>
      <c r="AE286" s="170"/>
      <c r="AF286" s="170"/>
      <c r="AG286" s="170"/>
      <c r="AH286" s="170"/>
      <c r="AI286" s="170"/>
      <c r="AJ286" s="170"/>
      <c r="AK286" s="170"/>
      <c r="AL286" s="170"/>
      <c r="AM286" s="170"/>
      <c r="AN286" s="170"/>
      <c r="AO286" s="170"/>
      <c r="AP286" s="170"/>
      <c r="AQ286" s="170"/>
      <c r="AR286" s="170"/>
      <c r="AS286"/>
      <c r="AT286"/>
      <c r="AU286"/>
      <c r="AV286"/>
      <c r="AW286"/>
      <c r="AX286"/>
      <c r="AY286"/>
      <c r="AZ286"/>
      <c r="BA286"/>
      <c r="BB286"/>
      <c r="BC286"/>
      <c r="BD286"/>
      <c r="BE286"/>
    </row>
    <row r="287" spans="1:57">
      <c r="A287"/>
      <c r="B287"/>
      <c r="C287"/>
      <c r="D287"/>
      <c r="E287"/>
      <c r="F287"/>
      <c r="G287"/>
      <c r="H287"/>
      <c r="I287"/>
      <c r="J287"/>
      <c r="K287"/>
      <c r="L287" s="220"/>
      <c r="M287" s="220"/>
      <c r="N287" s="220"/>
      <c r="O287" s="220"/>
      <c r="P287" s="220"/>
      <c r="Q287" s="220"/>
      <c r="R287" s="220"/>
      <c r="S287" s="220"/>
      <c r="T287" s="220"/>
      <c r="U287"/>
      <c r="V287"/>
      <c r="W287" s="170"/>
      <c r="X287" s="170"/>
      <c r="Y287" s="170"/>
      <c r="Z287" s="170"/>
      <c r="AA287" s="170"/>
      <c r="AB287" s="170"/>
      <c r="AC287" s="170"/>
      <c r="AD287" s="170"/>
      <c r="AE287" s="170"/>
      <c r="AF287" s="170"/>
      <c r="AG287" s="170"/>
      <c r="AH287" s="170"/>
      <c r="AI287" s="170"/>
      <c r="AJ287" s="170"/>
      <c r="AK287" s="170"/>
      <c r="AL287" s="170"/>
      <c r="AM287" s="170"/>
      <c r="AN287" s="170"/>
      <c r="AO287" s="170"/>
      <c r="AP287" s="170"/>
      <c r="AQ287" s="170"/>
      <c r="AR287" s="170"/>
      <c r="AS287"/>
      <c r="AT287"/>
      <c r="AU287"/>
      <c r="AV287"/>
      <c r="AW287"/>
      <c r="AX287"/>
      <c r="AY287"/>
      <c r="AZ287"/>
      <c r="BA287"/>
      <c r="BB287"/>
      <c r="BC287"/>
      <c r="BD287"/>
      <c r="BE287"/>
    </row>
    <row r="288" spans="1:57">
      <c r="A288"/>
      <c r="B288"/>
      <c r="C288"/>
      <c r="D288"/>
      <c r="E288"/>
      <c r="F288"/>
      <c r="G288"/>
      <c r="H288"/>
      <c r="I288"/>
      <c r="J288"/>
      <c r="K288"/>
      <c r="L288" s="220"/>
      <c r="M288" s="220"/>
      <c r="N288" s="220"/>
      <c r="O288" s="220"/>
      <c r="P288" s="220"/>
      <c r="Q288" s="220"/>
      <c r="R288" s="220"/>
      <c r="S288" s="220"/>
      <c r="T288" s="220"/>
      <c r="U288"/>
      <c r="V288"/>
      <c r="W288" s="170"/>
      <c r="X288" s="170"/>
      <c r="Y288" s="170"/>
      <c r="Z288" s="170"/>
      <c r="AA288" s="170"/>
      <c r="AB288" s="170"/>
      <c r="AC288" s="170"/>
      <c r="AD288" s="170"/>
      <c r="AE288" s="170"/>
      <c r="AF288" s="170"/>
      <c r="AG288" s="170"/>
      <c r="AH288" s="170"/>
      <c r="AI288" s="170"/>
      <c r="AJ288" s="170"/>
      <c r="AK288" s="170"/>
      <c r="AL288" s="170"/>
      <c r="AM288" s="170"/>
      <c r="AN288" s="170"/>
      <c r="AO288" s="170"/>
      <c r="AP288" s="170"/>
      <c r="AQ288" s="170"/>
      <c r="AR288" s="170"/>
      <c r="AS288"/>
      <c r="AT288"/>
      <c r="AU288"/>
      <c r="AV288"/>
      <c r="AW288"/>
      <c r="AX288"/>
      <c r="AY288"/>
      <c r="AZ288"/>
      <c r="BA288"/>
      <c r="BB288"/>
      <c r="BC288"/>
      <c r="BD288"/>
      <c r="BE288"/>
    </row>
    <row r="289" spans="1:57">
      <c r="A289"/>
      <c r="B289"/>
      <c r="C289"/>
      <c r="D289"/>
      <c r="E289"/>
      <c r="F289"/>
      <c r="G289"/>
      <c r="H289"/>
      <c r="I289"/>
      <c r="J289"/>
      <c r="K289"/>
      <c r="L289" s="220"/>
      <c r="M289" s="220"/>
      <c r="N289" s="220"/>
      <c r="O289" s="220"/>
      <c r="P289" s="220"/>
      <c r="Q289" s="220"/>
      <c r="R289" s="220"/>
      <c r="S289" s="220"/>
      <c r="T289" s="220"/>
      <c r="U289"/>
      <c r="V289"/>
      <c r="W289" s="170"/>
      <c r="X289" s="170"/>
      <c r="Y289" s="170"/>
      <c r="Z289" s="170"/>
      <c r="AA289" s="170"/>
      <c r="AB289" s="170"/>
      <c r="AC289" s="170"/>
      <c r="AD289" s="170"/>
      <c r="AE289" s="170"/>
      <c r="AF289" s="170"/>
      <c r="AG289" s="170"/>
      <c r="AH289" s="170"/>
      <c r="AI289" s="170"/>
      <c r="AJ289" s="170"/>
      <c r="AK289" s="170"/>
      <c r="AL289" s="170"/>
      <c r="AM289" s="170"/>
      <c r="AN289" s="170"/>
      <c r="AO289" s="170"/>
      <c r="AP289" s="170"/>
      <c r="AQ289" s="170"/>
      <c r="AR289" s="170"/>
      <c r="AS289"/>
      <c r="AT289"/>
      <c r="AU289"/>
      <c r="AV289"/>
      <c r="AW289"/>
      <c r="AX289"/>
      <c r="AY289"/>
      <c r="AZ289"/>
      <c r="BA289"/>
      <c r="BB289"/>
      <c r="BC289"/>
      <c r="BD289"/>
      <c r="BE289"/>
    </row>
    <row r="290" spans="1:57">
      <c r="A290"/>
      <c r="B290"/>
      <c r="C290"/>
      <c r="D290"/>
      <c r="E290"/>
      <c r="F290"/>
      <c r="G290"/>
      <c r="H290"/>
      <c r="I290"/>
      <c r="J290"/>
      <c r="K290"/>
      <c r="L290" s="220"/>
      <c r="M290" s="220"/>
      <c r="N290" s="220"/>
      <c r="O290" s="220"/>
      <c r="P290" s="220"/>
      <c r="Q290" s="220"/>
      <c r="R290" s="220"/>
      <c r="S290" s="220"/>
      <c r="T290" s="220"/>
      <c r="U290"/>
      <c r="V290"/>
      <c r="W290" s="170"/>
      <c r="X290" s="170"/>
      <c r="Y290" s="170"/>
      <c r="Z290" s="170"/>
      <c r="AA290" s="170"/>
      <c r="AB290" s="170"/>
      <c r="AC290" s="170"/>
      <c r="AD290" s="170"/>
      <c r="AE290" s="170"/>
      <c r="AF290" s="170"/>
      <c r="AG290" s="170"/>
      <c r="AH290" s="170"/>
      <c r="AI290" s="170"/>
      <c r="AJ290" s="170"/>
      <c r="AK290" s="170"/>
      <c r="AL290" s="170"/>
      <c r="AM290" s="170"/>
      <c r="AN290" s="170"/>
      <c r="AO290" s="170"/>
      <c r="AP290" s="170"/>
      <c r="AQ290" s="170"/>
      <c r="AR290" s="170"/>
      <c r="AS290"/>
      <c r="AT290"/>
      <c r="AU290"/>
      <c r="AV290"/>
      <c r="AW290"/>
      <c r="AX290"/>
      <c r="AY290"/>
      <c r="AZ290"/>
      <c r="BA290"/>
      <c r="BB290"/>
      <c r="BC290"/>
      <c r="BD290"/>
      <c r="BE290"/>
    </row>
    <row r="291" spans="1:57">
      <c r="A291"/>
      <c r="B291"/>
      <c r="C291"/>
      <c r="D291"/>
      <c r="E291"/>
      <c r="F291"/>
      <c r="G291"/>
      <c r="H291"/>
      <c r="I291"/>
      <c r="J291"/>
      <c r="K291"/>
      <c r="L291" s="220"/>
      <c r="M291" s="220"/>
      <c r="N291" s="220"/>
      <c r="O291" s="220"/>
      <c r="P291" s="220"/>
      <c r="Q291" s="220"/>
      <c r="R291" s="220"/>
      <c r="S291" s="220"/>
      <c r="T291" s="220"/>
      <c r="U291"/>
      <c r="V291"/>
      <c r="W291" s="170"/>
      <c r="X291" s="170"/>
      <c r="Y291" s="170"/>
      <c r="Z291" s="170"/>
      <c r="AA291" s="170"/>
      <c r="AB291" s="170"/>
      <c r="AC291" s="170"/>
      <c r="AD291" s="170"/>
      <c r="AE291" s="170"/>
      <c r="AF291" s="170"/>
      <c r="AG291" s="170"/>
      <c r="AH291" s="170"/>
      <c r="AI291" s="170"/>
      <c r="AJ291" s="170"/>
      <c r="AK291" s="170"/>
      <c r="AL291" s="170"/>
      <c r="AM291" s="170"/>
      <c r="AN291" s="170"/>
      <c r="AO291" s="170"/>
      <c r="AP291" s="170"/>
      <c r="AQ291" s="170"/>
      <c r="AR291" s="170"/>
      <c r="AS291"/>
      <c r="AT291"/>
      <c r="AU291"/>
      <c r="AV291"/>
      <c r="AW291"/>
      <c r="AX291"/>
      <c r="AY291"/>
      <c r="AZ291"/>
      <c r="BA291"/>
      <c r="BB291"/>
      <c r="BC291"/>
      <c r="BD291"/>
      <c r="BE291"/>
    </row>
    <row r="292" spans="1:57">
      <c r="A292"/>
      <c r="B292"/>
      <c r="C292"/>
      <c r="D292"/>
      <c r="E292"/>
      <c r="F292"/>
      <c r="G292"/>
      <c r="H292"/>
      <c r="I292"/>
      <c r="J292"/>
      <c r="K292"/>
      <c r="L292" s="220"/>
      <c r="M292" s="220"/>
      <c r="N292" s="220"/>
      <c r="O292" s="220"/>
      <c r="P292" s="220"/>
      <c r="Q292" s="220"/>
      <c r="R292" s="220"/>
      <c r="S292" s="220"/>
      <c r="T292" s="220"/>
      <c r="U292"/>
      <c r="V292"/>
      <c r="W292" s="170"/>
      <c r="X292" s="170"/>
      <c r="Y292" s="170"/>
      <c r="Z292" s="170"/>
      <c r="AA292" s="170"/>
      <c r="AB292" s="170"/>
      <c r="AC292" s="170"/>
      <c r="AD292" s="170"/>
      <c r="AE292" s="170"/>
      <c r="AF292" s="170"/>
      <c r="AG292" s="170"/>
      <c r="AH292" s="170"/>
      <c r="AI292" s="170"/>
      <c r="AJ292" s="170"/>
      <c r="AK292" s="170"/>
      <c r="AL292" s="170"/>
      <c r="AM292" s="170"/>
      <c r="AN292" s="170"/>
      <c r="AO292" s="170"/>
      <c r="AP292" s="170"/>
      <c r="AQ292" s="170"/>
      <c r="AR292" s="170"/>
      <c r="AS292"/>
      <c r="AT292"/>
      <c r="AU292"/>
      <c r="AV292"/>
      <c r="AW292"/>
      <c r="AX292"/>
      <c r="AY292"/>
      <c r="AZ292"/>
      <c r="BA292"/>
      <c r="BB292"/>
      <c r="BC292"/>
      <c r="BD292"/>
      <c r="BE292"/>
    </row>
    <row r="293" spans="1:57">
      <c r="A293"/>
      <c r="B293"/>
      <c r="C293"/>
      <c r="D293"/>
      <c r="E293"/>
      <c r="F293"/>
      <c r="G293"/>
      <c r="H293"/>
      <c r="I293"/>
      <c r="J293"/>
      <c r="K293"/>
      <c r="L293" s="220"/>
      <c r="M293" s="220"/>
      <c r="N293" s="220"/>
      <c r="O293" s="220"/>
      <c r="P293" s="220"/>
      <c r="Q293" s="220"/>
      <c r="R293" s="220"/>
      <c r="S293" s="220"/>
      <c r="T293" s="220"/>
      <c r="U293" s="170"/>
      <c r="V293" s="170"/>
      <c r="W293" s="170"/>
      <c r="X293" s="170"/>
      <c r="Y293" s="170"/>
      <c r="Z293" s="170"/>
      <c r="AA293" s="170"/>
      <c r="AB293" s="170"/>
      <c r="AC293" s="170"/>
      <c r="AD293" s="170"/>
      <c r="AE293" s="170"/>
      <c r="AF293" s="170"/>
      <c r="AG293" s="170"/>
      <c r="AH293" s="170"/>
      <c r="AI293" s="170"/>
      <c r="AJ293" s="170"/>
      <c r="AK293" s="170"/>
      <c r="AL293" s="170"/>
      <c r="AM293" s="170"/>
      <c r="AN293" s="170"/>
      <c r="AO293" s="170"/>
      <c r="AP293" s="170"/>
      <c r="AQ293" s="170"/>
      <c r="AR293" s="170"/>
      <c r="AS293"/>
      <c r="AT293"/>
      <c r="AU293"/>
      <c r="AV293"/>
      <c r="AW293"/>
      <c r="AX293"/>
      <c r="AY293"/>
      <c r="AZ293"/>
      <c r="BA293"/>
      <c r="BB293"/>
      <c r="BC293"/>
      <c r="BD293"/>
      <c r="BE293"/>
    </row>
    <row r="294" spans="1:57">
      <c r="A294"/>
      <c r="B294"/>
      <c r="C294"/>
      <c r="D294"/>
      <c r="E294"/>
      <c r="F294"/>
      <c r="G294"/>
      <c r="H294"/>
      <c r="I294"/>
      <c r="J294"/>
      <c r="K294"/>
      <c r="L294" s="220"/>
      <c r="M294" s="220"/>
      <c r="N294" s="220"/>
      <c r="O294" s="220"/>
      <c r="P294" s="220"/>
      <c r="Q294" s="220"/>
      <c r="R294" s="220"/>
      <c r="S294" s="220"/>
      <c r="T294" s="220"/>
      <c r="U294" s="170"/>
      <c r="V294" s="170"/>
      <c r="W294" s="170"/>
      <c r="X294" s="170"/>
      <c r="Y294" s="170"/>
      <c r="Z294" s="170"/>
      <c r="AA294" s="170"/>
      <c r="AB294" s="170"/>
      <c r="AC294" s="170"/>
      <c r="AD294" s="170"/>
      <c r="AE294" s="170"/>
      <c r="AF294" s="170"/>
      <c r="AG294" s="170"/>
      <c r="AH294" s="170"/>
      <c r="AI294" s="170"/>
      <c r="AJ294" s="170"/>
      <c r="AK294" s="170"/>
      <c r="AL294" s="170"/>
      <c r="AM294" s="170"/>
      <c r="AN294" s="170"/>
      <c r="AO294" s="170"/>
      <c r="AP294" s="170"/>
      <c r="AQ294" s="170"/>
      <c r="AR294" s="170"/>
      <c r="AS294"/>
      <c r="AT294"/>
      <c r="AU294"/>
      <c r="AV294"/>
      <c r="AW294"/>
      <c r="AX294"/>
      <c r="AY294"/>
      <c r="AZ294"/>
      <c r="BA294"/>
      <c r="BB294"/>
      <c r="BC294"/>
      <c r="BD294"/>
      <c r="BE294"/>
    </row>
    <row r="295" spans="1:57">
      <c r="A295"/>
      <c r="B295"/>
      <c r="C295"/>
      <c r="D295"/>
      <c r="E295"/>
      <c r="F295"/>
      <c r="G295"/>
      <c r="H295"/>
      <c r="I295"/>
      <c r="J295"/>
      <c r="K295"/>
      <c r="L295" s="220"/>
      <c r="M295" s="220"/>
      <c r="N295" s="220"/>
      <c r="O295" s="220"/>
      <c r="P295" s="220"/>
      <c r="Q295" s="220"/>
      <c r="R295" s="220"/>
      <c r="S295" s="220"/>
      <c r="T295" s="220"/>
      <c r="U295" s="170"/>
      <c r="V295" s="170"/>
      <c r="W295" s="170"/>
      <c r="X295" s="170"/>
      <c r="Y295" s="170"/>
      <c r="Z295" s="170"/>
      <c r="AA295" s="170"/>
      <c r="AB295" s="170"/>
      <c r="AC295" s="170"/>
      <c r="AD295" s="170"/>
      <c r="AE295" s="170"/>
      <c r="AF295" s="170"/>
      <c r="AG295" s="170"/>
      <c r="AH295" s="170"/>
      <c r="AI295" s="170"/>
      <c r="AJ295" s="170"/>
      <c r="AK295" s="170"/>
      <c r="AL295" s="170"/>
      <c r="AM295" s="170"/>
      <c r="AN295" s="170"/>
      <c r="AO295" s="170"/>
      <c r="AP295" s="170"/>
      <c r="AQ295" s="170"/>
      <c r="AR295" s="170"/>
      <c r="AS295"/>
      <c r="AT295"/>
      <c r="AU295"/>
      <c r="AV295"/>
      <c r="AW295"/>
      <c r="AX295"/>
      <c r="AY295"/>
      <c r="AZ295"/>
      <c r="BA295"/>
      <c r="BB295"/>
      <c r="BC295"/>
      <c r="BD295"/>
      <c r="BE295"/>
    </row>
    <row r="296" spans="1:57">
      <c r="A296"/>
      <c r="B296"/>
      <c r="C296"/>
      <c r="D296"/>
      <c r="E296"/>
      <c r="F296"/>
      <c r="G296"/>
      <c r="H296"/>
      <c r="I296"/>
      <c r="J296"/>
      <c r="K296"/>
      <c r="L296" s="220"/>
      <c r="M296" s="220"/>
      <c r="N296" s="220"/>
      <c r="O296" s="220"/>
      <c r="P296" s="220"/>
      <c r="Q296" s="220"/>
      <c r="R296" s="220"/>
      <c r="S296" s="220"/>
      <c r="T296" s="220"/>
      <c r="U296" s="170"/>
      <c r="V296" s="170"/>
      <c r="W296" s="170"/>
      <c r="X296" s="170"/>
      <c r="Y296" s="170"/>
      <c r="Z296" s="170"/>
      <c r="AA296" s="170"/>
      <c r="AB296" s="170"/>
      <c r="AC296" s="170"/>
      <c r="AD296" s="170"/>
      <c r="AE296" s="170"/>
      <c r="AF296" s="170"/>
      <c r="AG296" s="170"/>
      <c r="AH296" s="170"/>
      <c r="AI296" s="170"/>
      <c r="AJ296" s="170"/>
      <c r="AK296" s="170"/>
      <c r="AL296" s="170"/>
      <c r="AM296" s="170"/>
      <c r="AN296" s="170"/>
      <c r="AO296" s="170"/>
      <c r="AP296" s="170"/>
      <c r="AQ296" s="170"/>
      <c r="AR296" s="170"/>
      <c r="AS296"/>
      <c r="AT296"/>
      <c r="AU296"/>
      <c r="AV296"/>
      <c r="AW296"/>
      <c r="AX296"/>
      <c r="AY296"/>
      <c r="AZ296"/>
      <c r="BA296"/>
      <c r="BB296"/>
      <c r="BC296"/>
      <c r="BD296"/>
      <c r="BE296"/>
    </row>
    <row r="297" spans="1:57">
      <c r="A297"/>
      <c r="B297"/>
      <c r="C297"/>
      <c r="D297"/>
      <c r="E297"/>
      <c r="F297"/>
      <c r="G297"/>
      <c r="H297"/>
      <c r="I297"/>
      <c r="J297"/>
      <c r="K297"/>
      <c r="L297" s="220"/>
      <c r="M297" s="220"/>
      <c r="N297" s="220"/>
      <c r="O297" s="220"/>
      <c r="P297" s="220"/>
      <c r="Q297" s="220"/>
      <c r="R297" s="220"/>
      <c r="S297" s="220"/>
      <c r="T297" s="220"/>
      <c r="U297" s="170"/>
      <c r="V297" s="170"/>
      <c r="W297" s="170"/>
      <c r="X297" s="170"/>
      <c r="Y297" s="170"/>
      <c r="Z297" s="170"/>
      <c r="AA297" s="170"/>
      <c r="AB297" s="170"/>
      <c r="AC297" s="170"/>
      <c r="AD297" s="170"/>
      <c r="AE297" s="170"/>
      <c r="AF297" s="170"/>
      <c r="AG297" s="170"/>
      <c r="AH297" s="170"/>
      <c r="AI297" s="170"/>
      <c r="AJ297" s="170"/>
      <c r="AK297" s="170"/>
      <c r="AL297" s="170"/>
      <c r="AM297" s="170"/>
      <c r="AN297" s="170"/>
      <c r="AO297" s="170"/>
      <c r="AP297" s="170"/>
      <c r="AQ297" s="170"/>
      <c r="AR297" s="170"/>
      <c r="AS297"/>
      <c r="AT297"/>
      <c r="AU297"/>
      <c r="AV297"/>
      <c r="AW297"/>
      <c r="AX297"/>
      <c r="AY297"/>
      <c r="AZ297"/>
      <c r="BA297"/>
      <c r="BB297"/>
      <c r="BC297"/>
      <c r="BD297"/>
      <c r="BE297"/>
    </row>
    <row r="298" spans="1:57">
      <c r="A298"/>
      <c r="B298"/>
      <c r="C298"/>
      <c r="D298"/>
      <c r="E298"/>
      <c r="F298"/>
      <c r="G298"/>
      <c r="H298"/>
      <c r="I298"/>
      <c r="J298"/>
      <c r="K298"/>
      <c r="L298" s="220"/>
      <c r="M298" s="220"/>
      <c r="N298" s="220"/>
      <c r="O298" s="220"/>
      <c r="P298" s="220"/>
      <c r="Q298" s="220"/>
      <c r="R298" s="220"/>
      <c r="S298" s="220"/>
      <c r="T298" s="220"/>
      <c r="U298" s="170"/>
      <c r="V298" s="170"/>
      <c r="W298" s="170"/>
      <c r="X298" s="170"/>
      <c r="Y298" s="170"/>
      <c r="Z298" s="170"/>
      <c r="AA298" s="170"/>
      <c r="AB298" s="170"/>
      <c r="AC298" s="170"/>
      <c r="AD298" s="170"/>
      <c r="AE298" s="170"/>
      <c r="AF298" s="170"/>
      <c r="AG298" s="170"/>
      <c r="AH298" s="170"/>
      <c r="AI298" s="170"/>
      <c r="AJ298" s="170"/>
      <c r="AK298" s="170"/>
      <c r="AL298" s="170"/>
      <c r="AM298" s="170"/>
      <c r="AN298" s="170"/>
      <c r="AO298" s="170"/>
      <c r="AP298" s="170"/>
      <c r="AQ298" s="170"/>
      <c r="AR298" s="170"/>
      <c r="AS298"/>
      <c r="AT298"/>
      <c r="AU298"/>
      <c r="AV298"/>
      <c r="AW298"/>
      <c r="AX298"/>
      <c r="AY298"/>
      <c r="AZ298"/>
      <c r="BA298"/>
      <c r="BB298"/>
      <c r="BC298"/>
      <c r="BD298"/>
      <c r="BE298"/>
    </row>
    <row r="299" spans="1:57">
      <c r="A299"/>
      <c r="B299"/>
      <c r="C299"/>
      <c r="D299"/>
      <c r="E299"/>
      <c r="F299"/>
      <c r="G299"/>
      <c r="H299"/>
      <c r="I299"/>
      <c r="J299"/>
      <c r="K299"/>
      <c r="L299" s="220"/>
      <c r="M299" s="220"/>
      <c r="N299" s="220"/>
      <c r="O299" s="220"/>
      <c r="P299" s="220"/>
      <c r="Q299" s="220"/>
      <c r="R299" s="220"/>
      <c r="S299" s="220"/>
      <c r="T299" s="220"/>
      <c r="U299" s="170"/>
      <c r="V299" s="170"/>
      <c r="W299" s="170"/>
      <c r="X299" s="170"/>
      <c r="Y299" s="170"/>
      <c r="Z299" s="170"/>
      <c r="AA299" s="170"/>
      <c r="AB299" s="170"/>
      <c r="AC299" s="170"/>
      <c r="AD299" s="170"/>
      <c r="AE299" s="170"/>
      <c r="AF299" s="170"/>
      <c r="AG299" s="170"/>
      <c r="AH299" s="170"/>
      <c r="AI299" s="170"/>
      <c r="AJ299" s="170"/>
      <c r="AK299" s="170"/>
      <c r="AL299" s="170"/>
      <c r="AM299" s="170"/>
      <c r="AN299" s="170"/>
      <c r="AO299" s="170"/>
      <c r="AP299" s="170"/>
      <c r="AQ299" s="170"/>
      <c r="AR299" s="170"/>
      <c r="AS299"/>
      <c r="AT299"/>
      <c r="AU299"/>
      <c r="AV299"/>
      <c r="AW299"/>
      <c r="AX299"/>
      <c r="AY299"/>
      <c r="AZ299"/>
      <c r="BA299"/>
      <c r="BB299"/>
      <c r="BC299"/>
      <c r="BD299"/>
      <c r="BE299"/>
    </row>
    <row r="300" spans="1:57">
      <c r="A300"/>
      <c r="B300"/>
      <c r="C300"/>
      <c r="D300"/>
      <c r="E300"/>
      <c r="F300"/>
      <c r="G300"/>
      <c r="H300"/>
      <c r="I300"/>
      <c r="J300"/>
      <c r="K300"/>
      <c r="L300" s="220"/>
      <c r="M300" s="220"/>
      <c r="N300" s="220"/>
      <c r="O300" s="220"/>
      <c r="P300" s="220"/>
      <c r="Q300" s="220"/>
      <c r="R300" s="220"/>
      <c r="S300" s="220"/>
      <c r="T300" s="220"/>
      <c r="U300" s="170"/>
      <c r="V300" s="170"/>
      <c r="W300" s="170"/>
      <c r="X300" s="170"/>
      <c r="Y300" s="170"/>
      <c r="Z300" s="170"/>
      <c r="AA300" s="170"/>
      <c r="AB300" s="170"/>
      <c r="AC300" s="170"/>
      <c r="AD300" s="170"/>
      <c r="AE300" s="170"/>
      <c r="AF300" s="170"/>
      <c r="AG300" s="170"/>
      <c r="AH300" s="170"/>
      <c r="AI300" s="170"/>
      <c r="AJ300" s="170"/>
      <c r="AK300" s="170"/>
      <c r="AL300" s="170"/>
      <c r="AM300" s="170"/>
      <c r="AN300" s="170"/>
      <c r="AO300" s="170"/>
      <c r="AP300" s="170"/>
      <c r="AQ300" s="170"/>
      <c r="AR300" s="170"/>
      <c r="AS300"/>
      <c r="AT300"/>
      <c r="AU300"/>
      <c r="AV300"/>
      <c r="AW300"/>
      <c r="AX300"/>
      <c r="AY300"/>
      <c r="AZ300"/>
      <c r="BA300"/>
      <c r="BB300"/>
      <c r="BC300"/>
      <c r="BD300"/>
      <c r="BE300"/>
    </row>
    <row r="301" spans="1:57">
      <c r="A301"/>
      <c r="B301"/>
      <c r="C301"/>
      <c r="D301"/>
      <c r="E301"/>
      <c r="F301"/>
      <c r="G301"/>
      <c r="H301"/>
      <c r="I301"/>
      <c r="J301"/>
      <c r="K301"/>
      <c r="L301" s="220"/>
      <c r="M301" s="220"/>
      <c r="N301" s="220"/>
      <c r="O301" s="220"/>
      <c r="P301" s="220"/>
      <c r="Q301" s="220"/>
      <c r="R301" s="220"/>
      <c r="S301" s="220"/>
      <c r="T301" s="220"/>
      <c r="U301" s="170"/>
      <c r="V301" s="170"/>
      <c r="W301" s="170"/>
      <c r="X301" s="170"/>
      <c r="Y301" s="170"/>
      <c r="Z301" s="170"/>
      <c r="AA301" s="170"/>
      <c r="AB301" s="170"/>
      <c r="AC301" s="170"/>
      <c r="AD301" s="170"/>
      <c r="AE301" s="170"/>
      <c r="AF301" s="170"/>
      <c r="AG301" s="170"/>
      <c r="AH301" s="170"/>
      <c r="AI301" s="170"/>
      <c r="AJ301" s="170"/>
      <c r="AK301" s="170"/>
      <c r="AL301" s="170"/>
      <c r="AM301" s="170"/>
      <c r="AN301" s="170"/>
      <c r="AO301" s="170"/>
      <c r="AP301" s="170"/>
      <c r="AQ301" s="170"/>
      <c r="AR301" s="170"/>
      <c r="AS301"/>
      <c r="AT301"/>
      <c r="AU301"/>
      <c r="AV301"/>
      <c r="AW301"/>
      <c r="AX301"/>
      <c r="AY301"/>
      <c r="AZ301"/>
      <c r="BA301"/>
      <c r="BB301"/>
      <c r="BC301"/>
      <c r="BD301"/>
      <c r="BE301"/>
    </row>
    <row r="302" spans="1:57">
      <c r="A302"/>
      <c r="B302"/>
      <c r="C302"/>
      <c r="D302"/>
      <c r="E302"/>
      <c r="F302"/>
      <c r="G302"/>
      <c r="H302"/>
      <c r="I302"/>
      <c r="J302"/>
      <c r="K302"/>
      <c r="L302" s="220"/>
      <c r="M302" s="220"/>
      <c r="N302" s="220"/>
      <c r="O302" s="220"/>
      <c r="P302" s="220"/>
      <c r="Q302" s="220"/>
      <c r="R302" s="220"/>
      <c r="S302" s="220"/>
      <c r="T302" s="22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c r="AT302"/>
      <c r="AU302"/>
      <c r="AV302"/>
      <c r="AW302"/>
      <c r="AX302"/>
      <c r="AY302"/>
      <c r="AZ302"/>
      <c r="BA302"/>
      <c r="BB302"/>
      <c r="BC302"/>
      <c r="BD302"/>
      <c r="BE302"/>
    </row>
    <row r="303" spans="1:57">
      <c r="A303"/>
      <c r="B303"/>
      <c r="C303"/>
      <c r="D303"/>
      <c r="E303"/>
      <c r="F303"/>
      <c r="G303"/>
      <c r="H303"/>
      <c r="I303"/>
      <c r="J303"/>
      <c r="K303"/>
      <c r="L303" s="220"/>
      <c r="M303" s="220"/>
      <c r="N303" s="220"/>
      <c r="O303" s="220"/>
      <c r="P303" s="220"/>
      <c r="Q303" s="220"/>
      <c r="R303" s="220"/>
      <c r="S303" s="220"/>
      <c r="T303" s="220"/>
      <c r="U303" s="170"/>
      <c r="V303" s="170"/>
      <c r="W303" s="170"/>
      <c r="X303" s="170"/>
      <c r="Y303" s="170"/>
      <c r="Z303" s="170"/>
      <c r="AA303" s="170"/>
      <c r="AB303" s="170"/>
      <c r="AC303" s="170"/>
      <c r="AD303" s="170"/>
      <c r="AE303" s="170"/>
      <c r="AF303" s="170"/>
      <c r="AG303" s="170"/>
      <c r="AH303" s="170"/>
      <c r="AI303" s="170"/>
      <c r="AJ303" s="170"/>
      <c r="AK303" s="170"/>
      <c r="AL303" s="170"/>
      <c r="AM303" s="170"/>
      <c r="AN303" s="170"/>
      <c r="AO303" s="170"/>
      <c r="AP303" s="170"/>
      <c r="AQ303" s="170"/>
      <c r="AR303" s="170"/>
      <c r="AS303"/>
      <c r="AT303"/>
      <c r="AU303"/>
      <c r="AV303"/>
      <c r="AW303"/>
      <c r="AX303"/>
      <c r="AY303"/>
      <c r="AZ303"/>
      <c r="BA303"/>
      <c r="BB303"/>
      <c r="BC303"/>
      <c r="BD303"/>
      <c r="BE303"/>
    </row>
    <row r="304" spans="1:57">
      <c r="A304"/>
      <c r="B304"/>
      <c r="C304"/>
      <c r="D304"/>
      <c r="E304"/>
      <c r="F304"/>
      <c r="G304"/>
      <c r="H304"/>
      <c r="I304"/>
      <c r="J304"/>
      <c r="K304"/>
      <c r="L304" s="220"/>
      <c r="M304" s="220"/>
      <c r="N304" s="220"/>
      <c r="O304" s="220"/>
      <c r="P304" s="220"/>
      <c r="Q304" s="220"/>
      <c r="R304" s="220"/>
      <c r="S304" s="220"/>
      <c r="T304" s="22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c r="AT304"/>
      <c r="AU304"/>
      <c r="AV304"/>
      <c r="AW304"/>
      <c r="AX304"/>
      <c r="AY304"/>
      <c r="AZ304"/>
      <c r="BA304"/>
      <c r="BB304"/>
      <c r="BC304"/>
      <c r="BD304"/>
      <c r="BE304"/>
    </row>
    <row r="305" spans="1:57">
      <c r="A305"/>
      <c r="B305"/>
      <c r="C305"/>
      <c r="D305"/>
      <c r="E305"/>
      <c r="F305"/>
      <c r="G305"/>
      <c r="H305"/>
      <c r="I305"/>
      <c r="J305"/>
      <c r="K305"/>
      <c r="L305" s="220"/>
      <c r="M305" s="220"/>
      <c r="N305" s="220"/>
      <c r="O305" s="220"/>
      <c r="P305" s="220"/>
      <c r="Q305" s="220"/>
      <c r="R305" s="220"/>
      <c r="S305" s="220"/>
      <c r="T305" s="220"/>
      <c r="U305" s="170"/>
      <c r="V305" s="170"/>
      <c r="W305" s="170"/>
      <c r="X305" s="170"/>
      <c r="Y305" s="170"/>
      <c r="Z305" s="170"/>
      <c r="AA305" s="170"/>
      <c r="AB305" s="170"/>
      <c r="AC305" s="170"/>
      <c r="AD305" s="170"/>
      <c r="AE305" s="170"/>
      <c r="AF305" s="170"/>
      <c r="AG305" s="170"/>
      <c r="AH305" s="170"/>
      <c r="AI305" s="170"/>
      <c r="AJ305" s="170"/>
      <c r="AK305" s="170"/>
      <c r="AL305" s="170"/>
      <c r="AM305" s="170"/>
      <c r="AN305" s="170"/>
      <c r="AO305" s="170"/>
      <c r="AP305" s="170"/>
      <c r="AQ305" s="170"/>
      <c r="AR305" s="170"/>
      <c r="AS305"/>
      <c r="AT305"/>
      <c r="AU305"/>
      <c r="AV305"/>
      <c r="AW305"/>
      <c r="AX305"/>
      <c r="AY305"/>
      <c r="AZ305"/>
      <c r="BA305"/>
      <c r="BB305"/>
      <c r="BC305"/>
      <c r="BD305"/>
      <c r="BE305"/>
    </row>
    <row r="306" spans="1:57">
      <c r="A306"/>
      <c r="B306"/>
      <c r="C306"/>
      <c r="D306"/>
      <c r="E306"/>
      <c r="F306"/>
      <c r="G306"/>
      <c r="H306"/>
      <c r="I306"/>
      <c r="J306"/>
      <c r="K306"/>
      <c r="L306" s="220"/>
      <c r="M306" s="220"/>
      <c r="N306" s="220"/>
      <c r="O306" s="220"/>
      <c r="P306" s="220"/>
      <c r="Q306" s="220"/>
      <c r="R306" s="220"/>
      <c r="S306" s="220"/>
      <c r="T306" s="22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c r="AT306"/>
      <c r="AU306"/>
      <c r="AV306"/>
      <c r="AW306"/>
      <c r="AX306"/>
      <c r="AY306"/>
      <c r="AZ306"/>
      <c r="BA306"/>
      <c r="BB306"/>
      <c r="BC306"/>
      <c r="BD306"/>
      <c r="BE306"/>
    </row>
    <row r="307" spans="1:57">
      <c r="A307"/>
      <c r="B307"/>
      <c r="C307"/>
      <c r="D307"/>
      <c r="E307"/>
      <c r="F307"/>
      <c r="G307"/>
      <c r="H307"/>
      <c r="I307"/>
      <c r="J307"/>
      <c r="K307"/>
      <c r="L307" s="220"/>
      <c r="M307" s="220"/>
      <c r="N307" s="220"/>
      <c r="O307" s="220"/>
      <c r="P307" s="220"/>
      <c r="Q307" s="220"/>
      <c r="R307" s="220"/>
      <c r="S307" s="220"/>
      <c r="T307" s="22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c r="AT307"/>
      <c r="AU307"/>
      <c r="AV307"/>
      <c r="AW307"/>
      <c r="AX307"/>
      <c r="AY307"/>
      <c r="AZ307"/>
      <c r="BA307"/>
      <c r="BB307"/>
      <c r="BC307"/>
      <c r="BD307"/>
      <c r="BE307"/>
    </row>
    <row r="308" spans="1:57">
      <c r="A308"/>
      <c r="B308"/>
      <c r="C308"/>
      <c r="D308"/>
      <c r="E308"/>
      <c r="F308"/>
      <c r="G308"/>
      <c r="H308"/>
      <c r="I308"/>
      <c r="J308"/>
      <c r="K308"/>
      <c r="L308" s="220"/>
      <c r="M308" s="220"/>
      <c r="N308" s="220"/>
      <c r="O308" s="220"/>
      <c r="P308" s="220"/>
      <c r="Q308" s="220"/>
      <c r="R308" s="220"/>
      <c r="S308" s="220"/>
      <c r="T308" s="22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c r="AT308"/>
      <c r="AU308"/>
      <c r="AV308"/>
      <c r="AW308"/>
      <c r="AX308"/>
      <c r="AY308"/>
      <c r="AZ308"/>
      <c r="BA308"/>
      <c r="BB308"/>
      <c r="BC308"/>
      <c r="BD308"/>
      <c r="BE308"/>
    </row>
    <row r="309" spans="1:57">
      <c r="A309"/>
      <c r="B309"/>
      <c r="C309"/>
      <c r="D309"/>
      <c r="E309"/>
      <c r="F309"/>
      <c r="G309"/>
      <c r="H309"/>
      <c r="I309"/>
      <c r="J309"/>
      <c r="K309"/>
      <c r="L309" s="220"/>
      <c r="M309" s="220"/>
      <c r="N309" s="220"/>
      <c r="O309" s="220"/>
      <c r="P309" s="220"/>
      <c r="Q309" s="220"/>
      <c r="R309" s="220"/>
      <c r="S309" s="220"/>
      <c r="T309" s="22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c r="AT309"/>
      <c r="AU309"/>
      <c r="AV309"/>
      <c r="AW309"/>
      <c r="AX309"/>
      <c r="AY309"/>
      <c r="AZ309"/>
      <c r="BA309"/>
      <c r="BB309"/>
      <c r="BC309"/>
      <c r="BD309"/>
      <c r="BE309"/>
    </row>
    <row r="310" spans="1:57">
      <c r="A310"/>
      <c r="B310"/>
      <c r="C310"/>
      <c r="D310"/>
      <c r="E310"/>
      <c r="F310"/>
      <c r="G310"/>
      <c r="H310"/>
      <c r="I310"/>
      <c r="J310"/>
      <c r="K310"/>
      <c r="L310" s="220"/>
      <c r="M310" s="220"/>
      <c r="N310" s="220"/>
      <c r="O310" s="220"/>
      <c r="P310" s="220"/>
      <c r="Q310" s="220"/>
      <c r="R310" s="220"/>
      <c r="S310" s="220"/>
      <c r="T310" s="22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c r="AT310"/>
      <c r="AU310"/>
      <c r="AV310"/>
      <c r="AW310"/>
      <c r="AX310"/>
      <c r="AY310"/>
      <c r="AZ310"/>
      <c r="BA310"/>
      <c r="BB310"/>
      <c r="BC310"/>
      <c r="BD310"/>
      <c r="BE310"/>
    </row>
    <row r="311" spans="1:57">
      <c r="A311"/>
      <c r="B311"/>
      <c r="C311"/>
      <c r="D311"/>
      <c r="E311"/>
      <c r="F311"/>
      <c r="G311"/>
      <c r="H311"/>
      <c r="I311"/>
      <c r="J311"/>
      <c r="K311"/>
      <c r="L311" s="220"/>
      <c r="M311" s="220"/>
      <c r="N311" s="220"/>
      <c r="O311" s="220"/>
      <c r="P311" s="220"/>
      <c r="Q311" s="220"/>
      <c r="R311" s="220"/>
      <c r="S311" s="220"/>
      <c r="T311" s="22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c r="AT311"/>
      <c r="AU311"/>
      <c r="AV311"/>
      <c r="AW311"/>
      <c r="AX311"/>
      <c r="AY311"/>
      <c r="AZ311"/>
      <c r="BA311"/>
      <c r="BB311"/>
      <c r="BC311"/>
      <c r="BD311"/>
      <c r="BE311"/>
    </row>
    <row r="312" spans="1:57">
      <c r="A312"/>
      <c r="B312"/>
      <c r="C312"/>
      <c r="D312"/>
      <c r="E312"/>
      <c r="F312"/>
      <c r="G312"/>
      <c r="H312"/>
      <c r="I312"/>
      <c r="J312"/>
      <c r="K312"/>
      <c r="L312" s="220"/>
      <c r="M312" s="220"/>
      <c r="N312" s="220"/>
      <c r="O312" s="220"/>
      <c r="P312" s="220"/>
      <c r="Q312" s="220"/>
      <c r="R312" s="220"/>
      <c r="S312" s="220"/>
      <c r="T312" s="22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c r="AT312"/>
      <c r="AU312"/>
      <c r="AV312"/>
      <c r="AW312"/>
      <c r="AX312"/>
      <c r="AY312"/>
      <c r="AZ312"/>
      <c r="BA312"/>
      <c r="BB312"/>
      <c r="BC312"/>
      <c r="BD312"/>
      <c r="BE312"/>
    </row>
    <row r="313" spans="1:57">
      <c r="A313"/>
      <c r="B313"/>
      <c r="C313"/>
      <c r="D313"/>
      <c r="E313"/>
      <c r="F313"/>
      <c r="G313"/>
      <c r="H313"/>
      <c r="I313"/>
      <c r="J313"/>
      <c r="K313"/>
      <c r="L313" s="220"/>
      <c r="M313" s="220"/>
      <c r="N313" s="220"/>
      <c r="O313" s="220"/>
      <c r="P313" s="220"/>
      <c r="Q313" s="220"/>
      <c r="R313" s="220"/>
      <c r="S313" s="220"/>
      <c r="T313" s="22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c r="AT313"/>
      <c r="AU313"/>
      <c r="AV313"/>
      <c r="AW313"/>
      <c r="AX313"/>
      <c r="AY313"/>
      <c r="AZ313"/>
      <c r="BA313"/>
      <c r="BB313"/>
      <c r="BC313"/>
      <c r="BD313"/>
      <c r="BE313"/>
    </row>
    <row r="314" spans="1:57">
      <c r="H314"/>
      <c r="I314"/>
      <c r="J314"/>
      <c r="K314"/>
      <c r="L314" s="220"/>
      <c r="M314" s="220"/>
      <c r="N314" s="220"/>
      <c r="O314" s="220"/>
      <c r="P314" s="220"/>
      <c r="Q314" s="220"/>
      <c r="R314" s="220"/>
      <c r="S314" s="220"/>
      <c r="T314" s="22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c r="AT314"/>
      <c r="AU314"/>
      <c r="AV314"/>
      <c r="AW314"/>
      <c r="AX314"/>
      <c r="AY314"/>
      <c r="AZ314"/>
      <c r="BA314"/>
      <c r="BB314"/>
      <c r="BC314"/>
      <c r="BD314"/>
      <c r="BE314"/>
    </row>
    <row r="315" spans="1:57">
      <c r="H315"/>
      <c r="I315"/>
      <c r="J315"/>
      <c r="K315"/>
      <c r="L315" s="220"/>
      <c r="M315" s="220"/>
      <c r="N315" s="220"/>
      <c r="O315" s="220"/>
      <c r="P315" s="220"/>
      <c r="Q315" s="220"/>
      <c r="R315" s="220"/>
      <c r="S315" s="220"/>
      <c r="T315" s="22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c r="AT315"/>
      <c r="AU315"/>
      <c r="AV315"/>
      <c r="AW315"/>
      <c r="AX315"/>
      <c r="AY315"/>
      <c r="AZ315"/>
      <c r="BA315"/>
      <c r="BB315"/>
      <c r="BC315"/>
      <c r="BD315"/>
      <c r="BE315"/>
    </row>
    <row r="316" spans="1:57">
      <c r="H316"/>
      <c r="I316"/>
      <c r="J316"/>
      <c r="K316"/>
      <c r="L316" s="220"/>
      <c r="M316" s="220"/>
      <c r="N316" s="220"/>
      <c r="O316" s="220"/>
      <c r="P316" s="220"/>
      <c r="Q316" s="220"/>
      <c r="R316" s="220"/>
      <c r="S316" s="220"/>
      <c r="T316" s="22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c r="AT316"/>
      <c r="AU316"/>
      <c r="AV316"/>
      <c r="AW316"/>
      <c r="AX316"/>
      <c r="AY316"/>
      <c r="AZ316"/>
      <c r="BA316"/>
      <c r="BB316"/>
      <c r="BC316"/>
      <c r="BD316"/>
      <c r="BE316"/>
    </row>
    <row r="317" spans="1:57">
      <c r="H317"/>
      <c r="I317"/>
      <c r="J317"/>
      <c r="K317"/>
      <c r="L317" s="220"/>
      <c r="M317" s="220"/>
      <c r="N317" s="220"/>
      <c r="O317" s="220"/>
      <c r="P317" s="220"/>
      <c r="Q317" s="220"/>
      <c r="R317" s="220"/>
      <c r="S317" s="220"/>
      <c r="T317" s="22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c r="AT317"/>
      <c r="AU317"/>
      <c r="AV317"/>
      <c r="AW317"/>
      <c r="AX317"/>
      <c r="AY317"/>
      <c r="AZ317"/>
      <c r="BA317"/>
      <c r="BB317"/>
      <c r="BC317"/>
      <c r="BD317"/>
      <c r="BE317"/>
    </row>
    <row r="318" spans="1:57">
      <c r="H318"/>
      <c r="I318"/>
      <c r="J318"/>
      <c r="K318"/>
      <c r="L318" s="220"/>
      <c r="M318" s="220"/>
      <c r="N318" s="220"/>
      <c r="O318" s="220"/>
      <c r="P318" s="220"/>
      <c r="Q318" s="220"/>
      <c r="R318" s="220"/>
      <c r="S318" s="220"/>
      <c r="T318" s="22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c r="AT318"/>
      <c r="AU318"/>
      <c r="AV318"/>
      <c r="AW318"/>
      <c r="AX318"/>
      <c r="AY318"/>
      <c r="AZ318"/>
      <c r="BA318"/>
      <c r="BB318"/>
      <c r="BC318"/>
      <c r="BD318"/>
      <c r="BE318"/>
    </row>
    <row r="319" spans="1:57">
      <c r="H319"/>
      <c r="I319"/>
      <c r="J319"/>
      <c r="K319"/>
      <c r="L319" s="220"/>
      <c r="M319" s="220"/>
      <c r="N319" s="220"/>
      <c r="O319" s="220"/>
      <c r="P319" s="220"/>
      <c r="Q319" s="220"/>
      <c r="R319" s="220"/>
      <c r="S319" s="220"/>
      <c r="T319" s="22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c r="AT319"/>
      <c r="AU319"/>
      <c r="AV319"/>
      <c r="AW319"/>
      <c r="AX319"/>
      <c r="AY319"/>
      <c r="AZ319"/>
      <c r="BA319"/>
      <c r="BB319"/>
      <c r="BC319"/>
      <c r="BD319"/>
      <c r="BE319"/>
    </row>
    <row r="320" spans="1:57">
      <c r="H320"/>
      <c r="I320"/>
      <c r="J320"/>
      <c r="K320"/>
      <c r="L320" s="220"/>
      <c r="M320" s="220"/>
      <c r="N320" s="220"/>
      <c r="O320" s="220"/>
      <c r="P320" s="220"/>
      <c r="Q320" s="220"/>
      <c r="R320" s="220"/>
      <c r="S320" s="220"/>
      <c r="T320" s="22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c r="AT320"/>
      <c r="AU320"/>
      <c r="AV320"/>
      <c r="AW320"/>
      <c r="AX320"/>
      <c r="AY320"/>
      <c r="AZ320"/>
      <c r="BA320"/>
      <c r="BB320"/>
      <c r="BC320"/>
      <c r="BD320"/>
      <c r="BE320"/>
    </row>
    <row r="321" spans="8:57">
      <c r="H321"/>
      <c r="I321"/>
      <c r="J321"/>
      <c r="K321"/>
      <c r="L321" s="220"/>
      <c r="M321" s="220"/>
      <c r="N321" s="220"/>
      <c r="O321" s="220"/>
      <c r="P321" s="220"/>
      <c r="Q321" s="220"/>
      <c r="R321" s="220"/>
      <c r="S321" s="220"/>
      <c r="T321" s="22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c r="AT321"/>
      <c r="AU321"/>
      <c r="AV321"/>
      <c r="AW321"/>
      <c r="AX321"/>
      <c r="AY321"/>
      <c r="AZ321"/>
      <c r="BA321"/>
      <c r="BB321"/>
      <c r="BC321"/>
      <c r="BD321"/>
      <c r="BE321"/>
    </row>
    <row r="322" spans="8:57">
      <c r="H322"/>
      <c r="I322"/>
      <c r="J322"/>
      <c r="K322"/>
      <c r="L322" s="220"/>
      <c r="M322" s="220"/>
      <c r="N322" s="220"/>
      <c r="O322" s="220"/>
      <c r="P322" s="220"/>
      <c r="Q322" s="220"/>
      <c r="R322" s="220"/>
      <c r="S322" s="220"/>
      <c r="T322" s="22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c r="AT322"/>
      <c r="AU322"/>
      <c r="AV322"/>
      <c r="AW322"/>
      <c r="AX322"/>
      <c r="AY322"/>
      <c r="AZ322"/>
      <c r="BA322"/>
      <c r="BB322"/>
      <c r="BC322"/>
      <c r="BD322"/>
      <c r="BE322"/>
    </row>
    <row r="323" spans="8:57">
      <c r="H323"/>
      <c r="I323"/>
      <c r="J323"/>
      <c r="K323"/>
      <c r="L323" s="220"/>
      <c r="M323" s="220"/>
      <c r="N323" s="220"/>
      <c r="O323" s="220"/>
      <c r="P323" s="220"/>
      <c r="Q323" s="220"/>
      <c r="R323" s="220"/>
      <c r="S323" s="220"/>
      <c r="T323" s="22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c r="AT323"/>
      <c r="AU323"/>
      <c r="AV323"/>
      <c r="AW323"/>
      <c r="AX323"/>
      <c r="AY323"/>
      <c r="AZ323"/>
      <c r="BA323"/>
      <c r="BB323"/>
      <c r="BC323"/>
      <c r="BD323"/>
      <c r="BE323"/>
    </row>
    <row r="324" spans="8:57">
      <c r="H324"/>
      <c r="I324"/>
      <c r="J324"/>
      <c r="K324"/>
      <c r="L324" s="220"/>
      <c r="M324" s="220"/>
      <c r="N324" s="220"/>
      <c r="O324" s="220"/>
      <c r="P324" s="220"/>
      <c r="Q324" s="220"/>
      <c r="R324" s="220"/>
      <c r="S324" s="220"/>
      <c r="T324" s="22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c r="AT324"/>
      <c r="AU324"/>
      <c r="AV324"/>
      <c r="AW324"/>
      <c r="AX324"/>
      <c r="AY324"/>
      <c r="AZ324"/>
      <c r="BA324"/>
      <c r="BB324"/>
      <c r="BC324"/>
      <c r="BD324"/>
      <c r="BE324"/>
    </row>
    <row r="325" spans="8:57">
      <c r="H325"/>
      <c r="I325"/>
      <c r="J325"/>
      <c r="K325"/>
      <c r="L325" s="220"/>
      <c r="M325" s="220"/>
      <c r="N325" s="220"/>
      <c r="O325" s="220"/>
      <c r="P325" s="220"/>
      <c r="Q325" s="220"/>
      <c r="R325" s="220"/>
      <c r="S325" s="220"/>
      <c r="T325" s="22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c r="AT325"/>
      <c r="AU325"/>
      <c r="AV325"/>
      <c r="AW325"/>
      <c r="AX325"/>
      <c r="AY325"/>
      <c r="AZ325"/>
      <c r="BA325"/>
      <c r="BB325"/>
      <c r="BC325"/>
      <c r="BD325"/>
      <c r="BE325"/>
    </row>
    <row r="326" spans="8:57">
      <c r="H326"/>
      <c r="I326"/>
      <c r="J326"/>
      <c r="K326"/>
      <c r="L326" s="220"/>
      <c r="M326" s="220"/>
      <c r="N326" s="220"/>
      <c r="O326" s="220"/>
      <c r="P326" s="220"/>
      <c r="Q326" s="220"/>
      <c r="R326" s="220"/>
      <c r="S326" s="220"/>
      <c r="T326" s="220"/>
      <c r="U326" s="170"/>
      <c r="V326" s="170"/>
      <c r="W326" s="170"/>
      <c r="X326" s="170"/>
      <c r="Y326" s="170"/>
      <c r="Z326" s="170"/>
      <c r="AA326" s="170"/>
      <c r="AB326" s="170"/>
      <c r="AC326" s="170"/>
      <c r="AD326" s="170"/>
      <c r="AE326" s="170"/>
      <c r="AF326" s="170"/>
      <c r="AG326" s="170"/>
      <c r="AH326" s="170"/>
      <c r="AI326" s="170"/>
      <c r="AJ326" s="170"/>
      <c r="AK326" s="170"/>
      <c r="AL326" s="170"/>
      <c r="AM326" s="170"/>
      <c r="AN326" s="170"/>
      <c r="AO326" s="170"/>
      <c r="AP326" s="170"/>
      <c r="AQ326" s="170"/>
      <c r="AR326" s="170"/>
      <c r="AS326"/>
      <c r="AT326"/>
      <c r="AU326"/>
      <c r="AV326"/>
      <c r="AW326"/>
      <c r="AX326"/>
      <c r="AY326"/>
      <c r="AZ326"/>
      <c r="BA326"/>
      <c r="BB326"/>
      <c r="BC326"/>
      <c r="BD326"/>
      <c r="BE326"/>
    </row>
    <row r="327" spans="8:57">
      <c r="H327"/>
      <c r="I327"/>
      <c r="J327"/>
      <c r="K327"/>
      <c r="L327" s="220"/>
      <c r="M327" s="220"/>
      <c r="N327" s="220"/>
      <c r="O327" s="220"/>
      <c r="P327" s="220"/>
      <c r="Q327" s="220"/>
      <c r="R327" s="220"/>
      <c r="S327" s="220"/>
      <c r="T327" s="220"/>
      <c r="U327" s="170"/>
      <c r="V327" s="170"/>
      <c r="W327" s="170"/>
      <c r="X327" s="170"/>
      <c r="Y327" s="170"/>
      <c r="Z327" s="170"/>
      <c r="AA327" s="170"/>
      <c r="AB327" s="170"/>
      <c r="AC327" s="170"/>
      <c r="AD327" s="170"/>
      <c r="AE327" s="170"/>
      <c r="AF327" s="170"/>
      <c r="AG327" s="170"/>
      <c r="AH327" s="170"/>
      <c r="AI327" s="170"/>
      <c r="AJ327" s="170"/>
      <c r="AK327" s="170"/>
      <c r="AL327" s="170"/>
      <c r="AM327" s="170"/>
      <c r="AN327" s="170"/>
      <c r="AO327" s="170"/>
      <c r="AP327" s="170"/>
      <c r="AQ327" s="170"/>
      <c r="AR327" s="170"/>
      <c r="AS327"/>
      <c r="AT327"/>
      <c r="AU327"/>
      <c r="AV327"/>
      <c r="AW327"/>
      <c r="AX327"/>
      <c r="AY327"/>
      <c r="AZ327"/>
      <c r="BA327"/>
      <c r="BB327"/>
      <c r="BC327"/>
      <c r="BD327"/>
      <c r="BE327"/>
    </row>
    <row r="328" spans="8:57">
      <c r="H328"/>
      <c r="I328"/>
      <c r="J328"/>
      <c r="K328"/>
      <c r="L328" s="220"/>
      <c r="M328" s="220"/>
      <c r="N328" s="220"/>
      <c r="O328" s="220"/>
      <c r="P328" s="220"/>
      <c r="Q328" s="220"/>
      <c r="R328" s="220"/>
      <c r="S328" s="220"/>
      <c r="T328" s="220"/>
      <c r="U328" s="170"/>
      <c r="V328" s="170"/>
      <c r="W328" s="170"/>
      <c r="X328" s="170"/>
      <c r="Y328" s="170"/>
      <c r="Z328" s="170"/>
      <c r="AA328" s="170"/>
      <c r="AB328" s="170"/>
      <c r="AC328" s="170"/>
      <c r="AD328" s="170"/>
      <c r="AE328" s="170"/>
      <c r="AF328" s="170"/>
      <c r="AG328" s="170"/>
      <c r="AH328" s="170"/>
      <c r="AI328" s="170"/>
      <c r="AJ328" s="170"/>
      <c r="AK328" s="170"/>
      <c r="AL328" s="170"/>
      <c r="AM328" s="170"/>
      <c r="AN328" s="170"/>
      <c r="AO328" s="170"/>
      <c r="AP328" s="170"/>
      <c r="AQ328" s="170"/>
      <c r="AR328" s="170"/>
      <c r="AS328"/>
      <c r="AT328"/>
      <c r="AU328"/>
      <c r="AV328"/>
      <c r="AW328"/>
      <c r="AX328"/>
      <c r="AY328"/>
      <c r="AZ328"/>
      <c r="BA328"/>
      <c r="BB328"/>
      <c r="BC328"/>
      <c r="BD328"/>
      <c r="BE328"/>
    </row>
    <row r="329" spans="8:57">
      <c r="H329"/>
      <c r="I329"/>
      <c r="J329"/>
      <c r="K329"/>
      <c r="L329" s="220"/>
      <c r="M329" s="220"/>
      <c r="N329" s="220"/>
      <c r="O329" s="220"/>
      <c r="P329" s="220"/>
      <c r="Q329" s="220"/>
      <c r="R329" s="220"/>
      <c r="S329" s="220"/>
      <c r="T329" s="220"/>
      <c r="U329" s="170"/>
      <c r="V329" s="170"/>
      <c r="W329" s="170"/>
      <c r="X329" s="170"/>
      <c r="Y329" s="170"/>
      <c r="Z329" s="170"/>
      <c r="AA329" s="170"/>
      <c r="AB329" s="170"/>
      <c r="AC329" s="170"/>
      <c r="AD329" s="170"/>
      <c r="AE329" s="170"/>
      <c r="AF329" s="170"/>
      <c r="AG329" s="170"/>
      <c r="AH329" s="170"/>
      <c r="AI329" s="170"/>
      <c r="AJ329" s="170"/>
      <c r="AK329" s="170"/>
      <c r="AL329" s="170"/>
      <c r="AM329" s="170"/>
      <c r="AN329" s="170"/>
      <c r="AO329" s="170"/>
      <c r="AP329" s="170"/>
      <c r="AQ329" s="170"/>
      <c r="AR329" s="170"/>
      <c r="AS329"/>
      <c r="AT329"/>
      <c r="AU329"/>
      <c r="AV329"/>
      <c r="AW329"/>
      <c r="AX329"/>
      <c r="AY329"/>
      <c r="AZ329"/>
      <c r="BA329"/>
      <c r="BB329"/>
      <c r="BC329"/>
      <c r="BD329"/>
      <c r="BE329"/>
    </row>
    <row r="330" spans="8:57">
      <c r="H330"/>
      <c r="I330"/>
      <c r="J330"/>
      <c r="K330"/>
      <c r="L330" s="220"/>
      <c r="M330" s="220"/>
      <c r="N330" s="220"/>
      <c r="O330" s="220"/>
      <c r="P330" s="220"/>
      <c r="Q330" s="220"/>
      <c r="R330" s="220"/>
      <c r="S330" s="220"/>
      <c r="T330" s="220"/>
      <c r="U330" s="170"/>
      <c r="V330" s="170"/>
      <c r="W330" s="170"/>
      <c r="X330" s="170"/>
      <c r="Y330" s="170"/>
      <c r="Z330" s="170"/>
      <c r="AA330" s="170"/>
      <c r="AB330" s="170"/>
      <c r="AC330" s="170"/>
      <c r="AD330" s="170"/>
      <c r="AE330" s="170"/>
      <c r="AF330" s="170"/>
      <c r="AG330" s="170"/>
      <c r="AH330" s="170"/>
      <c r="AI330" s="170"/>
      <c r="AJ330" s="170"/>
      <c r="AK330" s="170"/>
      <c r="AL330" s="170"/>
      <c r="AM330" s="170"/>
      <c r="AN330" s="170"/>
      <c r="AO330" s="170"/>
      <c r="AP330" s="170"/>
      <c r="AQ330" s="170"/>
      <c r="AR330" s="170"/>
      <c r="AS330"/>
      <c r="AT330"/>
      <c r="AU330"/>
      <c r="AV330"/>
      <c r="AW330"/>
      <c r="AX330"/>
      <c r="AY330"/>
      <c r="AZ330"/>
      <c r="BA330"/>
      <c r="BB330"/>
      <c r="BC330"/>
      <c r="BD330"/>
      <c r="BE330"/>
    </row>
    <row r="331" spans="8:57">
      <c r="H331"/>
      <c r="I331"/>
      <c r="J331"/>
      <c r="K331"/>
      <c r="L331" s="220"/>
      <c r="M331" s="220"/>
      <c r="N331" s="220"/>
      <c r="O331" s="220"/>
      <c r="P331" s="220"/>
      <c r="Q331" s="220"/>
      <c r="R331" s="220"/>
      <c r="S331" s="220"/>
      <c r="T331" s="220"/>
      <c r="U331" s="170"/>
      <c r="V331" s="170"/>
      <c r="W331" s="170"/>
      <c r="X331" s="170"/>
      <c r="Y331" s="170"/>
      <c r="Z331" s="170"/>
      <c r="AA331" s="170"/>
      <c r="AB331" s="170"/>
      <c r="AC331" s="170"/>
      <c r="AD331" s="170"/>
      <c r="AE331" s="170"/>
      <c r="AF331" s="170"/>
      <c r="AG331" s="170"/>
      <c r="AH331" s="170"/>
      <c r="AI331" s="170"/>
      <c r="AJ331" s="170"/>
      <c r="AK331" s="170"/>
      <c r="AL331" s="170"/>
      <c r="AM331" s="170"/>
      <c r="AN331" s="170"/>
      <c r="AO331" s="170"/>
      <c r="AP331" s="170"/>
      <c r="AQ331" s="170"/>
      <c r="AR331" s="170"/>
      <c r="AS331"/>
      <c r="AT331"/>
      <c r="AU331"/>
      <c r="AV331"/>
      <c r="AW331"/>
      <c r="AX331"/>
      <c r="AY331"/>
      <c r="AZ331"/>
      <c r="BA331"/>
      <c r="BB331"/>
      <c r="BC331"/>
      <c r="BD331"/>
      <c r="BE331"/>
    </row>
    <row r="332" spans="8:57">
      <c r="H332"/>
      <c r="I332"/>
      <c r="J332"/>
      <c r="K332"/>
      <c r="L332" s="220"/>
      <c r="M332" s="220"/>
      <c r="N332" s="220"/>
      <c r="O332" s="220"/>
      <c r="P332" s="220"/>
      <c r="Q332" s="220"/>
      <c r="R332" s="220"/>
      <c r="S332" s="220"/>
      <c r="T332" s="220"/>
      <c r="U332" s="170"/>
      <c r="V332" s="170"/>
      <c r="W332" s="170"/>
      <c r="X332" s="170"/>
      <c r="Y332" s="170"/>
      <c r="Z332" s="170"/>
      <c r="AA332" s="170"/>
      <c r="AB332" s="170"/>
      <c r="AC332" s="170"/>
      <c r="AD332" s="170"/>
      <c r="AE332" s="170"/>
      <c r="AF332" s="170"/>
      <c r="AG332" s="170"/>
      <c r="AH332" s="170"/>
      <c r="AI332" s="170"/>
      <c r="AJ332" s="170"/>
      <c r="AK332" s="170"/>
      <c r="AL332" s="170"/>
      <c r="AM332" s="170"/>
      <c r="AN332" s="170"/>
      <c r="AO332" s="170"/>
      <c r="AP332" s="170"/>
      <c r="AQ332" s="170"/>
      <c r="AR332" s="170"/>
      <c r="AS332"/>
      <c r="AT332"/>
      <c r="AU332"/>
      <c r="AV332"/>
      <c r="AW332"/>
      <c r="AX332"/>
      <c r="AY332"/>
      <c r="AZ332"/>
      <c r="BA332"/>
      <c r="BB332"/>
      <c r="BC332"/>
      <c r="BD332"/>
      <c r="BE332"/>
    </row>
    <row r="333" spans="8:57">
      <c r="H333"/>
      <c r="I333"/>
      <c r="J333"/>
      <c r="K333"/>
      <c r="L333" s="220"/>
      <c r="M333" s="220"/>
      <c r="N333" s="220"/>
      <c r="O333" s="220"/>
      <c r="P333" s="220"/>
      <c r="Q333" s="220"/>
      <c r="R333" s="220"/>
      <c r="S333" s="220"/>
      <c r="T333" s="220"/>
      <c r="U333" s="170"/>
      <c r="V333" s="170"/>
      <c r="W333" s="170"/>
      <c r="X333" s="170"/>
      <c r="Y333" s="170"/>
      <c r="Z333" s="170"/>
      <c r="AA333" s="170"/>
      <c r="AB333" s="170"/>
      <c r="AC333" s="170"/>
      <c r="AD333" s="170"/>
      <c r="AE333" s="170"/>
      <c r="AF333" s="170"/>
      <c r="AG333" s="170"/>
      <c r="AH333" s="170"/>
      <c r="AI333" s="170"/>
      <c r="AJ333" s="170"/>
      <c r="AK333" s="170"/>
      <c r="AL333" s="170"/>
      <c r="AM333" s="170"/>
      <c r="AN333" s="170"/>
      <c r="AO333" s="170"/>
      <c r="AP333" s="170"/>
      <c r="AQ333" s="170"/>
      <c r="AR333" s="170"/>
      <c r="AS333"/>
      <c r="AT333"/>
      <c r="AU333"/>
      <c r="AV333"/>
      <c r="AW333"/>
      <c r="AX333"/>
      <c r="AY333"/>
      <c r="AZ333"/>
      <c r="BA333"/>
      <c r="BB333"/>
      <c r="BC333"/>
      <c r="BD333"/>
      <c r="BE333"/>
    </row>
    <row r="334" spans="8:57">
      <c r="H334"/>
      <c r="I334"/>
      <c r="J334"/>
      <c r="K334"/>
      <c r="L334" s="220"/>
      <c r="M334" s="220"/>
      <c r="N334" s="220"/>
      <c r="O334" s="220"/>
      <c r="P334" s="220"/>
      <c r="Q334" s="220"/>
      <c r="R334" s="220"/>
      <c r="S334" s="220"/>
      <c r="T334" s="220"/>
      <c r="U334" s="170"/>
      <c r="V334" s="170"/>
      <c r="W334" s="170"/>
      <c r="X334" s="170"/>
      <c r="Y334" s="170"/>
      <c r="Z334" s="170"/>
      <c r="AA334" s="170"/>
      <c r="AB334" s="170"/>
      <c r="AC334" s="170"/>
      <c r="AD334" s="170"/>
      <c r="AE334" s="170"/>
      <c r="AF334" s="170"/>
      <c r="AG334" s="170"/>
      <c r="AH334" s="170"/>
      <c r="AI334" s="170"/>
      <c r="AJ334" s="170"/>
      <c r="AK334" s="170"/>
      <c r="AL334" s="170"/>
      <c r="AM334" s="170"/>
      <c r="AN334" s="170"/>
      <c r="AO334" s="170"/>
      <c r="AP334" s="170"/>
      <c r="AQ334" s="170"/>
      <c r="AR334" s="170"/>
      <c r="AS334"/>
      <c r="AT334"/>
      <c r="AU334"/>
      <c r="AV334"/>
      <c r="AW334"/>
      <c r="AX334"/>
      <c r="AY334"/>
      <c r="AZ334"/>
      <c r="BA334"/>
      <c r="BB334"/>
      <c r="BC334"/>
      <c r="BD334"/>
      <c r="BE334"/>
    </row>
    <row r="335" spans="8:57">
      <c r="H335"/>
      <c r="I335"/>
      <c r="J335"/>
      <c r="K335"/>
      <c r="L335" s="220"/>
      <c r="M335" s="220"/>
      <c r="N335" s="220"/>
      <c r="O335" s="220"/>
      <c r="P335" s="220"/>
      <c r="Q335" s="220"/>
      <c r="R335" s="220"/>
      <c r="S335" s="220"/>
      <c r="T335" s="220"/>
      <c r="U335" s="170"/>
      <c r="V335" s="170"/>
      <c r="W335" s="170"/>
      <c r="X335" s="170"/>
      <c r="Y335" s="170"/>
      <c r="Z335" s="170"/>
      <c r="AA335" s="170"/>
      <c r="AB335" s="170"/>
      <c r="AC335" s="170"/>
      <c r="AD335" s="170"/>
      <c r="AE335" s="170"/>
      <c r="AF335" s="170"/>
      <c r="AG335" s="170"/>
      <c r="AH335" s="170"/>
      <c r="AI335" s="170"/>
      <c r="AJ335" s="170"/>
      <c r="AK335" s="170"/>
      <c r="AL335" s="170"/>
      <c r="AM335" s="170"/>
      <c r="AN335" s="170"/>
      <c r="AO335" s="170"/>
      <c r="AP335" s="170"/>
      <c r="AQ335" s="170"/>
      <c r="AR335" s="170"/>
      <c r="AS335"/>
      <c r="AT335"/>
      <c r="AU335"/>
      <c r="AV335"/>
      <c r="AW335"/>
      <c r="AX335"/>
      <c r="AY335"/>
      <c r="AZ335"/>
      <c r="BA335"/>
      <c r="BB335"/>
      <c r="BC335"/>
      <c r="BD335"/>
      <c r="BE335"/>
    </row>
    <row r="336" spans="8:57">
      <c r="H336"/>
      <c r="I336"/>
      <c r="J336"/>
      <c r="K336"/>
      <c r="L336" s="220"/>
      <c r="M336" s="220"/>
      <c r="N336" s="220"/>
      <c r="O336" s="220"/>
      <c r="P336" s="220"/>
      <c r="Q336" s="220"/>
      <c r="R336" s="220"/>
      <c r="S336" s="220"/>
      <c r="T336" s="220"/>
      <c r="U336" s="170"/>
      <c r="V336" s="170"/>
      <c r="W336" s="170"/>
      <c r="X336" s="170"/>
      <c r="Y336" s="170"/>
      <c r="Z336" s="170"/>
      <c r="AA336" s="170"/>
      <c r="AB336" s="170"/>
      <c r="AC336" s="170"/>
      <c r="AD336" s="170"/>
      <c r="AE336" s="170"/>
      <c r="AF336" s="170"/>
      <c r="AG336" s="170"/>
      <c r="AH336" s="170"/>
      <c r="AI336" s="170"/>
      <c r="AJ336" s="170"/>
      <c r="AK336" s="170"/>
      <c r="AL336" s="170"/>
      <c r="AM336" s="170"/>
      <c r="AN336" s="170"/>
      <c r="AO336" s="170"/>
      <c r="AP336" s="170"/>
      <c r="AQ336" s="170"/>
      <c r="AR336" s="170"/>
      <c r="AS336"/>
      <c r="AT336"/>
      <c r="AU336"/>
      <c r="AV336"/>
      <c r="AW336"/>
      <c r="AX336"/>
      <c r="AY336"/>
      <c r="AZ336"/>
      <c r="BA336"/>
      <c r="BB336"/>
      <c r="BC336"/>
      <c r="BD336"/>
      <c r="BE336"/>
    </row>
    <row r="337" spans="8:57">
      <c r="H337"/>
      <c r="I337"/>
      <c r="J337"/>
      <c r="K337"/>
      <c r="L337" s="220"/>
      <c r="M337" s="220"/>
      <c r="N337" s="220"/>
      <c r="O337" s="220"/>
      <c r="P337" s="220"/>
      <c r="Q337" s="220"/>
      <c r="R337" s="220"/>
      <c r="S337" s="220"/>
      <c r="T337" s="220"/>
      <c r="U337" s="170"/>
      <c r="V337" s="170"/>
      <c r="W337" s="170"/>
      <c r="X337" s="170"/>
      <c r="Y337" s="170"/>
      <c r="Z337" s="170"/>
      <c r="AA337" s="170"/>
      <c r="AB337" s="170"/>
      <c r="AC337" s="170"/>
      <c r="AD337" s="170"/>
      <c r="AE337" s="170"/>
      <c r="AF337" s="170"/>
      <c r="AG337" s="170"/>
      <c r="AH337" s="170"/>
      <c r="AI337" s="170"/>
      <c r="AJ337" s="170"/>
      <c r="AK337" s="170"/>
      <c r="AL337" s="170"/>
      <c r="AM337" s="170"/>
      <c r="AN337" s="170"/>
      <c r="AO337" s="170"/>
      <c r="AP337" s="170"/>
      <c r="AQ337" s="170"/>
      <c r="AR337" s="170"/>
      <c r="AS337"/>
      <c r="AT337"/>
      <c r="AU337"/>
      <c r="AV337"/>
      <c r="AW337"/>
      <c r="AX337"/>
      <c r="AY337"/>
      <c r="AZ337"/>
      <c r="BA337"/>
      <c r="BB337"/>
      <c r="BC337"/>
      <c r="BD337"/>
      <c r="BE337"/>
    </row>
    <row r="338" spans="8:57">
      <c r="H338"/>
      <c r="I338"/>
      <c r="J338"/>
      <c r="K338"/>
      <c r="L338" s="220"/>
      <c r="M338" s="220"/>
      <c r="N338" s="220"/>
      <c r="O338" s="220"/>
      <c r="P338" s="220"/>
      <c r="Q338" s="220"/>
      <c r="R338" s="220"/>
      <c r="S338" s="220"/>
      <c r="T338" s="220"/>
      <c r="U338" s="170"/>
      <c r="V338" s="170"/>
      <c r="W338" s="170"/>
      <c r="X338" s="170"/>
      <c r="Y338" s="170"/>
      <c r="Z338" s="170"/>
      <c r="AA338" s="170"/>
      <c r="AB338" s="170"/>
      <c r="AC338" s="170"/>
      <c r="AD338" s="170"/>
      <c r="AE338" s="170"/>
      <c r="AF338" s="170"/>
      <c r="AG338" s="170"/>
      <c r="AH338" s="170"/>
      <c r="AI338" s="170"/>
      <c r="AJ338" s="170"/>
      <c r="AK338" s="170"/>
      <c r="AL338" s="170"/>
      <c r="AM338" s="170"/>
      <c r="AN338" s="170"/>
      <c r="AO338" s="170"/>
      <c r="AP338" s="170"/>
      <c r="AQ338" s="170"/>
      <c r="AR338" s="170"/>
      <c r="AS338"/>
      <c r="AT338"/>
      <c r="AU338"/>
      <c r="AV338"/>
      <c r="AW338"/>
      <c r="AX338"/>
      <c r="AY338"/>
      <c r="AZ338"/>
      <c r="BA338"/>
      <c r="BB338"/>
      <c r="BC338"/>
      <c r="BD338"/>
      <c r="BE338"/>
    </row>
    <row r="339" spans="8:57">
      <c r="H339"/>
      <c r="I339"/>
      <c r="J339"/>
      <c r="K339"/>
      <c r="L339" s="220"/>
      <c r="M339" s="220"/>
      <c r="N339" s="220"/>
      <c r="O339" s="220"/>
      <c r="P339" s="220"/>
      <c r="Q339" s="220"/>
      <c r="R339" s="220"/>
      <c r="S339" s="220"/>
      <c r="T339" s="220"/>
      <c r="U339" s="170"/>
      <c r="V339" s="170"/>
      <c r="W339" s="170"/>
      <c r="X339" s="170"/>
      <c r="Y339" s="170"/>
      <c r="Z339" s="170"/>
      <c r="AA339" s="170"/>
      <c r="AB339" s="170"/>
      <c r="AC339" s="170"/>
      <c r="AD339" s="170"/>
      <c r="AE339" s="170"/>
      <c r="AF339" s="170"/>
      <c r="AG339" s="170"/>
      <c r="AH339" s="170"/>
      <c r="AI339" s="170"/>
      <c r="AJ339" s="170"/>
      <c r="AK339" s="170"/>
      <c r="AL339" s="170"/>
      <c r="AM339" s="170"/>
      <c r="AN339" s="170"/>
      <c r="AO339" s="170"/>
      <c r="AP339" s="170"/>
      <c r="AQ339" s="170"/>
      <c r="AR339" s="170"/>
      <c r="AS339"/>
      <c r="AT339"/>
      <c r="AU339"/>
      <c r="AV339"/>
      <c r="AW339"/>
      <c r="AX339"/>
      <c r="AY339"/>
      <c r="AZ339"/>
      <c r="BA339"/>
      <c r="BB339"/>
      <c r="BC339"/>
      <c r="BD339"/>
      <c r="BE339"/>
    </row>
    <row r="340" spans="8:57">
      <c r="H340"/>
      <c r="I340"/>
      <c r="J340"/>
      <c r="K340"/>
      <c r="L340" s="220"/>
      <c r="M340" s="220"/>
      <c r="N340" s="220"/>
      <c r="O340" s="220"/>
      <c r="P340" s="220"/>
      <c r="Q340" s="220"/>
      <c r="R340" s="220"/>
      <c r="S340" s="220"/>
      <c r="T340" s="220"/>
      <c r="U340" s="170"/>
      <c r="V340" s="170"/>
      <c r="W340" s="170"/>
      <c r="X340" s="170"/>
      <c r="Y340" s="170"/>
      <c r="Z340" s="170"/>
      <c r="AA340" s="170"/>
      <c r="AB340" s="170"/>
      <c r="AC340" s="170"/>
      <c r="AD340" s="170"/>
      <c r="AE340" s="170"/>
      <c r="AF340" s="170"/>
      <c r="AG340" s="170"/>
      <c r="AH340" s="170"/>
      <c r="AI340" s="170"/>
      <c r="AJ340" s="170"/>
      <c r="AK340" s="170"/>
      <c r="AL340" s="170"/>
      <c r="AM340" s="170"/>
      <c r="AN340" s="170"/>
      <c r="AO340" s="170"/>
      <c r="AP340" s="170"/>
      <c r="AQ340" s="170"/>
      <c r="AR340" s="170"/>
      <c r="AS340"/>
      <c r="AT340"/>
      <c r="AU340"/>
      <c r="AV340"/>
      <c r="AW340"/>
      <c r="AX340"/>
      <c r="AY340"/>
      <c r="AZ340"/>
      <c r="BA340"/>
      <c r="BB340"/>
      <c r="BC340"/>
      <c r="BD340"/>
      <c r="BE340"/>
    </row>
    <row r="341" spans="8:57">
      <c r="H341"/>
      <c r="I341"/>
      <c r="J341"/>
      <c r="K341"/>
      <c r="L341" s="220"/>
      <c r="M341" s="220"/>
      <c r="N341" s="220"/>
      <c r="O341" s="220"/>
      <c r="P341" s="220"/>
      <c r="Q341" s="220"/>
      <c r="R341" s="220"/>
      <c r="S341" s="220"/>
      <c r="T341" s="220"/>
      <c r="U341" s="170"/>
      <c r="V341" s="170"/>
      <c r="W341" s="170"/>
      <c r="X341" s="170"/>
      <c r="Y341" s="170"/>
      <c r="Z341" s="170"/>
      <c r="AA341" s="170"/>
      <c r="AB341" s="170"/>
      <c r="AC341" s="170"/>
      <c r="AD341" s="170"/>
      <c r="AE341" s="170"/>
      <c r="AF341" s="170"/>
      <c r="AG341" s="170"/>
      <c r="AH341" s="170"/>
      <c r="AI341" s="170"/>
      <c r="AJ341" s="170"/>
      <c r="AK341" s="170"/>
      <c r="AL341" s="170"/>
      <c r="AM341" s="170"/>
      <c r="AN341" s="170"/>
      <c r="AO341" s="170"/>
      <c r="AP341" s="170"/>
      <c r="AQ341" s="170"/>
      <c r="AR341" s="170"/>
      <c r="AS341"/>
      <c r="AT341"/>
      <c r="AU341"/>
      <c r="AV341"/>
      <c r="AW341"/>
      <c r="AX341"/>
      <c r="AY341"/>
      <c r="AZ341"/>
      <c r="BA341"/>
      <c r="BB341"/>
      <c r="BC341"/>
      <c r="BD341"/>
      <c r="BE341"/>
    </row>
    <row r="342" spans="8:57">
      <c r="H342"/>
      <c r="I342"/>
      <c r="J342"/>
      <c r="K342"/>
      <c r="L342" s="220"/>
      <c r="M342" s="220"/>
      <c r="N342" s="220"/>
      <c r="O342" s="220"/>
      <c r="P342" s="220"/>
      <c r="Q342" s="220"/>
      <c r="R342" s="220"/>
      <c r="S342" s="220"/>
      <c r="T342" s="220"/>
      <c r="U342" s="170"/>
      <c r="V342" s="170"/>
      <c r="W342" s="170"/>
      <c r="X342" s="170"/>
      <c r="Y342" s="170"/>
      <c r="Z342" s="170"/>
      <c r="AA342" s="170"/>
      <c r="AB342" s="170"/>
      <c r="AC342" s="170"/>
      <c r="AD342" s="170"/>
      <c r="AE342" s="170"/>
      <c r="AF342" s="170"/>
      <c r="AG342" s="170"/>
      <c r="AH342" s="170"/>
      <c r="AI342" s="170"/>
      <c r="AJ342" s="170"/>
      <c r="AK342" s="170"/>
      <c r="AL342" s="170"/>
      <c r="AM342" s="170"/>
      <c r="AN342" s="170"/>
      <c r="AO342" s="170"/>
      <c r="AP342" s="170"/>
      <c r="AQ342" s="170"/>
      <c r="AR342" s="170"/>
      <c r="AS342"/>
      <c r="AT342"/>
      <c r="AU342"/>
      <c r="AV342"/>
      <c r="AW342"/>
      <c r="AX342"/>
      <c r="AY342"/>
      <c r="AZ342"/>
      <c r="BA342"/>
      <c r="BB342"/>
      <c r="BC342"/>
      <c r="BD342"/>
      <c r="BE342"/>
    </row>
    <row r="343" spans="8:57">
      <c r="H343"/>
      <c r="I343"/>
      <c r="J343"/>
      <c r="K343"/>
      <c r="L343" s="220"/>
      <c r="M343" s="220"/>
      <c r="N343" s="220"/>
      <c r="O343" s="220"/>
      <c r="P343" s="220"/>
      <c r="Q343" s="220"/>
      <c r="R343" s="220"/>
      <c r="S343" s="220"/>
      <c r="T343" s="220"/>
      <c r="U343" s="170"/>
      <c r="V343" s="170"/>
      <c r="W343" s="170"/>
      <c r="X343" s="170"/>
      <c r="Y343" s="170"/>
      <c r="Z343" s="170"/>
      <c r="AA343" s="170"/>
      <c r="AB343" s="170"/>
      <c r="AC343" s="170"/>
      <c r="AD343" s="170"/>
      <c r="AE343" s="170"/>
      <c r="AF343" s="170"/>
      <c r="AG343" s="170"/>
      <c r="AH343" s="170"/>
      <c r="AI343" s="170"/>
      <c r="AJ343" s="170"/>
      <c r="AK343" s="170"/>
      <c r="AL343" s="170"/>
      <c r="AM343" s="170"/>
      <c r="AN343" s="170"/>
      <c r="AO343" s="170"/>
      <c r="AP343" s="170"/>
      <c r="AQ343" s="170"/>
      <c r="AR343" s="170"/>
      <c r="AS343"/>
      <c r="AT343"/>
      <c r="AU343"/>
      <c r="AV343"/>
      <c r="AW343"/>
      <c r="AX343"/>
      <c r="AY343"/>
      <c r="AZ343"/>
      <c r="BA343"/>
      <c r="BB343"/>
      <c r="BC343"/>
      <c r="BD343"/>
      <c r="BE343"/>
    </row>
    <row r="344" spans="8:57">
      <c r="H344"/>
      <c r="I344"/>
      <c r="J344"/>
      <c r="K344"/>
      <c r="L344" s="220"/>
      <c r="M344" s="220"/>
      <c r="N344" s="220"/>
      <c r="O344" s="220"/>
      <c r="P344" s="220"/>
      <c r="Q344" s="220"/>
      <c r="R344" s="220"/>
      <c r="S344" s="220"/>
      <c r="T344" s="220"/>
      <c r="U344" s="170"/>
      <c r="V344" s="170"/>
      <c r="W344" s="170"/>
      <c r="X344" s="170"/>
      <c r="Y344" s="170"/>
      <c r="Z344" s="170"/>
      <c r="AA344" s="170"/>
      <c r="AB344" s="170"/>
      <c r="AC344" s="170"/>
      <c r="AD344" s="170"/>
      <c r="AE344" s="170"/>
      <c r="AF344" s="170"/>
      <c r="AG344" s="170"/>
      <c r="AH344" s="170"/>
      <c r="AI344" s="170"/>
      <c r="AJ344" s="170"/>
      <c r="AK344" s="170"/>
      <c r="AL344" s="170"/>
      <c r="AM344" s="170"/>
      <c r="AN344" s="170"/>
      <c r="AO344" s="170"/>
      <c r="AP344" s="170"/>
      <c r="AQ344" s="170"/>
      <c r="AR344" s="170"/>
      <c r="AS344"/>
      <c r="AT344"/>
      <c r="AU344"/>
      <c r="AV344"/>
      <c r="AW344"/>
      <c r="AX344"/>
      <c r="AY344"/>
      <c r="AZ344"/>
      <c r="BA344"/>
      <c r="BB344"/>
      <c r="BC344"/>
      <c r="BD344"/>
      <c r="BE344"/>
    </row>
    <row r="345" spans="8:57">
      <c r="H345"/>
      <c r="I345"/>
      <c r="J345"/>
      <c r="K345"/>
      <c r="L345" s="220"/>
      <c r="M345" s="220"/>
      <c r="N345" s="220"/>
      <c r="O345" s="220"/>
      <c r="P345" s="220"/>
      <c r="Q345" s="220"/>
      <c r="R345" s="220"/>
      <c r="S345" s="220"/>
      <c r="T345" s="220"/>
      <c r="U345" s="170"/>
      <c r="V345" s="170"/>
      <c r="W345" s="170"/>
      <c r="X345" s="170"/>
      <c r="Y345" s="170"/>
      <c r="Z345" s="170"/>
      <c r="AA345" s="170"/>
      <c r="AB345" s="170"/>
      <c r="AC345" s="170"/>
      <c r="AD345" s="170"/>
      <c r="AE345" s="170"/>
      <c r="AF345" s="170"/>
      <c r="AG345" s="170"/>
      <c r="AH345" s="170"/>
      <c r="AI345" s="170"/>
      <c r="AJ345" s="170"/>
      <c r="AK345" s="170"/>
      <c r="AL345" s="170"/>
      <c r="AM345" s="170"/>
      <c r="AN345" s="170"/>
      <c r="AO345" s="170"/>
      <c r="AP345" s="170"/>
      <c r="AQ345" s="170"/>
      <c r="AR345" s="170"/>
      <c r="AS345"/>
      <c r="AT345"/>
      <c r="AU345"/>
      <c r="AV345"/>
      <c r="AW345"/>
      <c r="AX345"/>
      <c r="AY345"/>
      <c r="AZ345"/>
      <c r="BA345"/>
      <c r="BB345"/>
      <c r="BC345"/>
      <c r="BD345"/>
      <c r="BE345"/>
    </row>
    <row r="346" spans="8:57">
      <c r="H346"/>
      <c r="I346"/>
      <c r="J346"/>
      <c r="K346"/>
      <c r="L346" s="220"/>
      <c r="M346" s="220"/>
      <c r="N346" s="220"/>
      <c r="O346" s="220"/>
      <c r="P346" s="220"/>
      <c r="Q346" s="220"/>
      <c r="R346" s="220"/>
      <c r="S346" s="220"/>
      <c r="T346" s="220"/>
      <c r="U346" s="170"/>
      <c r="V346" s="170"/>
      <c r="W346" s="170"/>
      <c r="X346" s="170"/>
      <c r="Y346" s="170"/>
      <c r="Z346" s="170"/>
      <c r="AA346" s="170"/>
      <c r="AB346" s="170"/>
      <c r="AC346" s="170"/>
      <c r="AD346" s="170"/>
      <c r="AE346" s="170"/>
      <c r="AF346" s="170"/>
      <c r="AG346" s="170"/>
      <c r="AH346" s="170"/>
      <c r="AI346" s="170"/>
      <c r="AJ346" s="170"/>
      <c r="AK346" s="170"/>
      <c r="AL346" s="170"/>
      <c r="AM346" s="170"/>
      <c r="AN346" s="170"/>
      <c r="AO346" s="170"/>
      <c r="AP346" s="170"/>
      <c r="AQ346" s="170"/>
      <c r="AR346" s="170"/>
      <c r="AS346"/>
      <c r="AT346"/>
      <c r="AU346"/>
      <c r="AV346"/>
      <c r="AW346"/>
      <c r="AX346"/>
      <c r="AY346"/>
      <c r="AZ346"/>
      <c r="BA346"/>
      <c r="BB346"/>
      <c r="BC346"/>
      <c r="BD346"/>
      <c r="BE346"/>
    </row>
    <row r="347" spans="8:57">
      <c r="H347"/>
      <c r="I347"/>
      <c r="J347"/>
      <c r="K347"/>
      <c r="L347" s="220"/>
      <c r="M347" s="220"/>
      <c r="N347" s="220"/>
      <c r="O347" s="220"/>
      <c r="P347" s="220"/>
      <c r="Q347" s="220"/>
      <c r="R347" s="220"/>
      <c r="S347" s="220"/>
      <c r="T347" s="220"/>
      <c r="U347" s="170"/>
      <c r="V347" s="170"/>
      <c r="W347" s="170"/>
      <c r="X347" s="170"/>
      <c r="Y347" s="170"/>
      <c r="Z347" s="170"/>
      <c r="AA347" s="170"/>
      <c r="AB347" s="170"/>
      <c r="AC347" s="170"/>
      <c r="AD347" s="170"/>
      <c r="AE347" s="170"/>
      <c r="AF347" s="170"/>
      <c r="AG347" s="170"/>
      <c r="AH347" s="170"/>
      <c r="AI347" s="170"/>
      <c r="AJ347" s="170"/>
      <c r="AK347" s="170"/>
      <c r="AL347" s="170"/>
      <c r="AM347" s="170"/>
      <c r="AN347" s="170"/>
      <c r="AO347" s="170"/>
      <c r="AP347" s="170"/>
      <c r="AQ347" s="170"/>
      <c r="AR347" s="170"/>
      <c r="AS347"/>
      <c r="AT347"/>
      <c r="AU347"/>
      <c r="AV347"/>
      <c r="AW347"/>
      <c r="AX347"/>
      <c r="AY347"/>
      <c r="AZ347"/>
      <c r="BA347"/>
      <c r="BB347"/>
      <c r="BC347"/>
      <c r="BD347"/>
      <c r="BE347"/>
    </row>
    <row r="348" spans="8:57">
      <c r="H348"/>
      <c r="I348"/>
      <c r="J348"/>
      <c r="K348"/>
      <c r="L348" s="220"/>
      <c r="M348" s="220"/>
      <c r="N348" s="220"/>
      <c r="O348" s="220"/>
      <c r="P348" s="220"/>
      <c r="Q348" s="220"/>
      <c r="R348" s="220"/>
      <c r="S348" s="220"/>
      <c r="T348" s="220"/>
      <c r="U348" s="170"/>
      <c r="V348" s="170"/>
      <c r="W348" s="170"/>
      <c r="X348" s="170"/>
      <c r="Y348" s="170"/>
      <c r="Z348" s="170"/>
      <c r="AA348" s="170"/>
      <c r="AB348" s="170"/>
      <c r="AC348" s="170"/>
      <c r="AD348" s="170"/>
      <c r="AE348" s="170"/>
      <c r="AF348" s="170"/>
      <c r="AG348" s="170"/>
      <c r="AH348" s="170"/>
      <c r="AI348" s="170"/>
      <c r="AJ348" s="170"/>
      <c r="AK348" s="170"/>
      <c r="AL348" s="170"/>
      <c r="AM348" s="170"/>
      <c r="AN348" s="170"/>
      <c r="AO348" s="170"/>
      <c r="AP348" s="170"/>
      <c r="AQ348" s="170"/>
      <c r="AR348" s="170"/>
      <c r="AS348"/>
      <c r="AT348"/>
      <c r="AU348"/>
      <c r="AV348"/>
      <c r="AW348"/>
      <c r="AX348"/>
      <c r="AY348"/>
      <c r="AZ348"/>
      <c r="BA348"/>
      <c r="BB348"/>
      <c r="BC348"/>
      <c r="BD348"/>
      <c r="BE348"/>
    </row>
    <row r="349" spans="8:57">
      <c r="H349"/>
      <c r="I349"/>
      <c r="J349"/>
      <c r="K349"/>
      <c r="L349" s="220"/>
      <c r="M349" s="220"/>
      <c r="N349" s="220"/>
      <c r="O349" s="220"/>
      <c r="P349" s="220"/>
      <c r="Q349" s="220"/>
      <c r="R349" s="220"/>
      <c r="S349" s="220"/>
      <c r="T349" s="220"/>
      <c r="U349" s="170"/>
      <c r="V349" s="170"/>
      <c r="W349" s="170"/>
      <c r="X349" s="170"/>
      <c r="Y349" s="170"/>
      <c r="Z349" s="170"/>
      <c r="AA349" s="170"/>
      <c r="AB349" s="170"/>
      <c r="AC349" s="170"/>
      <c r="AD349" s="170"/>
      <c r="AE349" s="170"/>
      <c r="AF349" s="170"/>
      <c r="AG349" s="170"/>
      <c r="AH349" s="170"/>
      <c r="AI349" s="170"/>
      <c r="AJ349" s="170"/>
      <c r="AK349" s="170"/>
      <c r="AL349" s="170"/>
      <c r="AM349" s="170"/>
      <c r="AN349" s="170"/>
      <c r="AO349" s="170"/>
      <c r="AP349" s="170"/>
      <c r="AQ349" s="170"/>
      <c r="AR349" s="170"/>
      <c r="AS349"/>
      <c r="AT349"/>
      <c r="AU349"/>
      <c r="AV349"/>
      <c r="AW349"/>
      <c r="AX349"/>
      <c r="AY349"/>
      <c r="AZ349"/>
      <c r="BA349"/>
      <c r="BB349"/>
      <c r="BC349"/>
      <c r="BD349"/>
      <c r="BE349"/>
    </row>
    <row r="350" spans="8:57">
      <c r="H350"/>
      <c r="I350"/>
      <c r="J350"/>
      <c r="K350"/>
      <c r="L350" s="220"/>
      <c r="M350" s="220"/>
      <c r="N350" s="220"/>
      <c r="O350" s="220"/>
      <c r="P350" s="220"/>
      <c r="Q350" s="220"/>
      <c r="R350" s="220"/>
      <c r="S350" s="220"/>
      <c r="T350" s="220"/>
      <c r="U350" s="170"/>
      <c r="V350" s="170"/>
      <c r="W350" s="170"/>
      <c r="X350" s="170"/>
      <c r="Y350" s="170"/>
      <c r="Z350" s="170"/>
      <c r="AA350" s="170"/>
      <c r="AB350" s="170"/>
      <c r="AC350" s="170"/>
      <c r="AD350" s="170"/>
      <c r="AE350" s="170"/>
      <c r="AF350" s="170"/>
      <c r="AG350" s="170"/>
      <c r="AH350" s="170"/>
      <c r="AI350" s="170"/>
      <c r="AJ350" s="170"/>
      <c r="AK350" s="170"/>
      <c r="AL350" s="170"/>
      <c r="AM350" s="170"/>
      <c r="AN350" s="170"/>
      <c r="AO350" s="170"/>
      <c r="AP350" s="170"/>
      <c r="AQ350" s="170"/>
      <c r="AR350" s="170"/>
      <c r="AS350"/>
      <c r="AT350"/>
      <c r="AU350"/>
      <c r="AV350"/>
      <c r="AW350"/>
      <c r="AX350"/>
      <c r="AY350"/>
      <c r="AZ350"/>
      <c r="BA350"/>
      <c r="BB350"/>
      <c r="BC350"/>
      <c r="BD350"/>
      <c r="BE350"/>
    </row>
    <row r="351" spans="8:57">
      <c r="H351"/>
      <c r="I351"/>
      <c r="J351"/>
      <c r="K351"/>
      <c r="L351" s="220"/>
      <c r="M351" s="220"/>
      <c r="N351" s="220"/>
      <c r="O351" s="220"/>
      <c r="P351" s="220"/>
      <c r="Q351" s="220"/>
      <c r="R351" s="220"/>
      <c r="S351" s="220"/>
      <c r="T351" s="220"/>
      <c r="U351" s="170"/>
      <c r="V351" s="170"/>
      <c r="W351" s="170"/>
      <c r="X351" s="170"/>
      <c r="Y351" s="170"/>
      <c r="Z351" s="170"/>
      <c r="AA351" s="170"/>
      <c r="AB351" s="170"/>
      <c r="AC351" s="170"/>
      <c r="AD351" s="170"/>
      <c r="AE351" s="170"/>
      <c r="AF351" s="170"/>
      <c r="AG351" s="170"/>
      <c r="AH351" s="170"/>
      <c r="AI351" s="170"/>
      <c r="AJ351" s="170"/>
      <c r="AK351" s="170"/>
      <c r="AL351" s="170"/>
      <c r="AM351" s="170"/>
      <c r="AN351" s="170"/>
      <c r="AO351" s="170"/>
      <c r="AP351" s="170"/>
      <c r="AQ351" s="170"/>
      <c r="AR351" s="170"/>
      <c r="AS351"/>
      <c r="AT351"/>
      <c r="AU351"/>
      <c r="AV351"/>
      <c r="AW351"/>
      <c r="AX351"/>
      <c r="AY351"/>
      <c r="AZ351"/>
      <c r="BA351"/>
      <c r="BB351"/>
      <c r="BC351"/>
      <c r="BD351"/>
      <c r="BE351"/>
    </row>
    <row r="352" spans="8:57">
      <c r="H352"/>
      <c r="I352"/>
      <c r="J352"/>
      <c r="K352"/>
      <c r="L352" s="220"/>
      <c r="M352" s="220"/>
      <c r="N352" s="220"/>
      <c r="O352" s="220"/>
      <c r="P352" s="220"/>
      <c r="Q352" s="220"/>
      <c r="R352" s="220"/>
      <c r="S352" s="220"/>
      <c r="T352" s="220"/>
      <c r="U352" s="170"/>
      <c r="V352" s="170"/>
      <c r="W352" s="170"/>
      <c r="X352" s="170"/>
      <c r="Y352" s="170"/>
      <c r="Z352" s="170"/>
      <c r="AA352" s="170"/>
      <c r="AB352" s="170"/>
      <c r="AC352" s="170"/>
      <c r="AD352" s="170"/>
      <c r="AE352" s="170"/>
      <c r="AF352" s="170"/>
      <c r="AG352" s="170"/>
      <c r="AH352" s="170"/>
      <c r="AI352" s="170"/>
      <c r="AJ352" s="170"/>
      <c r="AK352" s="170"/>
      <c r="AL352" s="170"/>
      <c r="AM352" s="170"/>
      <c r="AN352" s="170"/>
      <c r="AO352" s="170"/>
      <c r="AP352" s="170"/>
      <c r="AQ352" s="170"/>
      <c r="AR352" s="170"/>
      <c r="AS352"/>
      <c r="AT352"/>
      <c r="AU352"/>
      <c r="AV352"/>
      <c r="AW352"/>
      <c r="AX352"/>
      <c r="AY352"/>
      <c r="AZ352"/>
      <c r="BA352"/>
      <c r="BB352"/>
      <c r="BC352"/>
      <c r="BD352"/>
      <c r="BE352"/>
    </row>
  </sheetData>
  <sheetProtection password="EE8F" sheet="1" objects="1" scenarios="1" selectLockedCells="1"/>
  <mergeCells count="121">
    <mergeCell ref="H13:J13"/>
    <mergeCell ref="H14:I14"/>
    <mergeCell ref="H15:I15"/>
    <mergeCell ref="H16:I16"/>
    <mergeCell ref="H17:I17"/>
    <mergeCell ref="H18:I18"/>
    <mergeCell ref="H61:I61"/>
    <mergeCell ref="H62:I62"/>
    <mergeCell ref="H63:I63"/>
    <mergeCell ref="H64:I64"/>
    <mergeCell ref="H65:I65"/>
    <mergeCell ref="H66:I66"/>
    <mergeCell ref="H19:I19"/>
    <mergeCell ref="H20:I20"/>
    <mergeCell ref="H21:I21"/>
    <mergeCell ref="H58:J58"/>
    <mergeCell ref="H59:I59"/>
    <mergeCell ref="H60:I60"/>
    <mergeCell ref="H79:I79"/>
    <mergeCell ref="H80:I80"/>
    <mergeCell ref="H81:I81"/>
    <mergeCell ref="H82:I82"/>
    <mergeCell ref="H83:I83"/>
    <mergeCell ref="H84:I84"/>
    <mergeCell ref="H67:I67"/>
    <mergeCell ref="H68:I68"/>
    <mergeCell ref="H69:I69"/>
    <mergeCell ref="H76:J76"/>
    <mergeCell ref="H77:I77"/>
    <mergeCell ref="H78:I78"/>
    <mergeCell ref="H70:I70"/>
    <mergeCell ref="H71:I71"/>
    <mergeCell ref="H72:I72"/>
    <mergeCell ref="H85:I85"/>
    <mergeCell ref="H86:I86"/>
    <mergeCell ref="H87:I87"/>
    <mergeCell ref="H98:J98"/>
    <mergeCell ref="H99:I99"/>
    <mergeCell ref="H100:I100"/>
    <mergeCell ref="H88:I88"/>
    <mergeCell ref="H89:I89"/>
    <mergeCell ref="H90:I90"/>
    <mergeCell ref="H107:I107"/>
    <mergeCell ref="H108:I108"/>
    <mergeCell ref="H109:I109"/>
    <mergeCell ref="H110:I110"/>
    <mergeCell ref="H111:I111"/>
    <mergeCell ref="H136:I136"/>
    <mergeCell ref="H101:I101"/>
    <mergeCell ref="H102:I102"/>
    <mergeCell ref="H103:I103"/>
    <mergeCell ref="H104:I104"/>
    <mergeCell ref="H105:I105"/>
    <mergeCell ref="H106:I106"/>
    <mergeCell ref="H159:I159"/>
    <mergeCell ref="H160:I160"/>
    <mergeCell ref="H158:J158"/>
    <mergeCell ref="H143:I143"/>
    <mergeCell ref="H137:I137"/>
    <mergeCell ref="H138:I138"/>
    <mergeCell ref="H139:I139"/>
    <mergeCell ref="H140:I140"/>
    <mergeCell ref="H141:I141"/>
    <mergeCell ref="H142:I142"/>
    <mergeCell ref="H167:I167"/>
    <mergeCell ref="H168:I168"/>
    <mergeCell ref="H169:I169"/>
    <mergeCell ref="H170:I170"/>
    <mergeCell ref="H171:I171"/>
    <mergeCell ref="H172:I172"/>
    <mergeCell ref="H161:I161"/>
    <mergeCell ref="H162:I162"/>
    <mergeCell ref="H163:I163"/>
    <mergeCell ref="H164:I164"/>
    <mergeCell ref="H165:I165"/>
    <mergeCell ref="H166:I166"/>
    <mergeCell ref="H224:I224"/>
    <mergeCell ref="H225:I225"/>
    <mergeCell ref="H226:I226"/>
    <mergeCell ref="H176:J176"/>
    <mergeCell ref="H177:I177"/>
    <mergeCell ref="H178:I178"/>
    <mergeCell ref="H179:I179"/>
    <mergeCell ref="H180:I180"/>
    <mergeCell ref="H181:I181"/>
    <mergeCell ref="H182:I182"/>
    <mergeCell ref="H195:I195"/>
    <mergeCell ref="H196:I196"/>
    <mergeCell ref="H197:I197"/>
    <mergeCell ref="H198:I198"/>
    <mergeCell ref="H199:I199"/>
    <mergeCell ref="H200:I200"/>
    <mergeCell ref="H201:I201"/>
    <mergeCell ref="H202:I202"/>
    <mergeCell ref="H203:I203"/>
    <mergeCell ref="H204:I204"/>
    <mergeCell ref="H183:I183"/>
    <mergeCell ref="H184:I184"/>
    <mergeCell ref="H185:I185"/>
    <mergeCell ref="H186:I186"/>
    <mergeCell ref="H187:I187"/>
    <mergeCell ref="H194:J194"/>
    <mergeCell ref="H188:I188"/>
    <mergeCell ref="H189:I189"/>
    <mergeCell ref="H190:I190"/>
    <mergeCell ref="H223:I223"/>
    <mergeCell ref="H217:I217"/>
    <mergeCell ref="H218:I218"/>
    <mergeCell ref="H219:I219"/>
    <mergeCell ref="H220:I220"/>
    <mergeCell ref="H221:I221"/>
    <mergeCell ref="H222:I222"/>
    <mergeCell ref="H205:I205"/>
    <mergeCell ref="H212:J212"/>
    <mergeCell ref="H213:I213"/>
    <mergeCell ref="H214:I214"/>
    <mergeCell ref="H215:I215"/>
    <mergeCell ref="H216:I216"/>
    <mergeCell ref="H206:I206"/>
    <mergeCell ref="H207:I207"/>
    <mergeCell ref="H208:I208"/>
  </mergeCells>
  <phoneticPr fontId="22"/>
  <dataValidations count="3">
    <dataValidation type="list" allowBlank="1" showInputMessage="1" showErrorMessage="1" sqref="J137:J143">
      <formula1>"Yes,No"</formula1>
    </dataValidation>
    <dataValidation type="list" allowBlank="1" showInputMessage="1" showErrorMessage="1" sqref="J71:J72 J89:J90 J171:J172 J189:J190 J207:J208 J225:J226">
      <formula1>"L Active,H Active"</formula1>
    </dataValidation>
    <dataValidation type="list" allowBlank="1" showInputMessage="1" showErrorMessage="1" sqref="J70 J88 J170 J188 J206 J224">
      <formula1>"Interlace,Progressive"</formula1>
    </dataValidation>
  </dataValidations>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expression" priority="15" stopIfTrue="1" id="{3158B4D7-9242-42BA-A24A-1FBFD628D432}">
            <xm:f>Main_Parameters!$S$3&lt;&gt;"New"</xm:f>
            <x14:dxf>
              <fill>
                <patternFill>
                  <bgColor theme="0" tint="-0.24994659260841701"/>
                </patternFill>
              </fill>
            </x14:dxf>
          </x14:cfRule>
          <xm:sqref>J59</xm:sqref>
        </x14:conditionalFormatting>
        <x14:conditionalFormatting xmlns:xm="http://schemas.microsoft.com/office/excel/2006/main">
          <x14:cfRule type="expression" priority="14" id="{1E45F67E-E333-4D85-997F-59D0B888FB59}">
            <xm:f>Main_Parameters!$S$3&lt;&gt;"New"</xm:f>
            <x14:dxf>
              <fill>
                <patternFill>
                  <bgColor theme="0" tint="-0.24994659260841701"/>
                </patternFill>
              </fill>
            </x14:dxf>
          </x14:cfRule>
          <xm:sqref>J60:J72</xm:sqref>
        </x14:conditionalFormatting>
        <x14:conditionalFormatting xmlns:xm="http://schemas.microsoft.com/office/excel/2006/main">
          <x14:cfRule type="expression" priority="13" id="{1F3E26FF-9D81-4A56-AEB8-B5A2801E7713}">
            <xm:f>Main_Parameters!$S$4&lt;&gt;"New"</xm:f>
            <x14:dxf>
              <fill>
                <patternFill>
                  <bgColor theme="0" tint="-0.24994659260841701"/>
                </patternFill>
              </fill>
            </x14:dxf>
          </x14:cfRule>
          <xm:sqref>J77:J90</xm:sqref>
        </x14:conditionalFormatting>
        <x14:conditionalFormatting xmlns:xm="http://schemas.microsoft.com/office/excel/2006/main">
          <x14:cfRule type="expression" priority="12" id="{F604C683-F500-4456-9864-2E603079C69B}">
            <xm:f>Main_Parameters!$S$5&lt;&gt;"New"</xm:f>
            <x14:dxf>
              <fill>
                <patternFill>
                  <bgColor theme="0" tint="-0.24994659260841701"/>
                </patternFill>
              </fill>
            </x14:dxf>
          </x14:cfRule>
          <xm:sqref>J159:J172</xm:sqref>
        </x14:conditionalFormatting>
        <x14:conditionalFormatting xmlns:xm="http://schemas.microsoft.com/office/excel/2006/main">
          <x14:cfRule type="expression" priority="11" id="{CBDCB8BB-DED9-46B0-A7AE-B3CFBC3EB760}">
            <xm:f>Main_Parameters!$S$7&lt;&gt;"New"</xm:f>
            <x14:dxf>
              <fill>
                <patternFill>
                  <bgColor theme="0" tint="-0.24994659260841701"/>
                </patternFill>
              </fill>
            </x14:dxf>
          </x14:cfRule>
          <xm:sqref>J177:J190</xm:sqref>
        </x14:conditionalFormatting>
        <x14:conditionalFormatting xmlns:xm="http://schemas.microsoft.com/office/excel/2006/main">
          <x14:cfRule type="expression" priority="10" id="{AE840A23-57EA-4051-8BC4-D4E26EAA6801}">
            <xm:f>Main_Parameters!$S$8&lt;&gt;"New"</xm:f>
            <x14:dxf>
              <fill>
                <patternFill>
                  <bgColor theme="0" tint="-0.24994659260841701"/>
                </patternFill>
              </fill>
            </x14:dxf>
          </x14:cfRule>
          <xm:sqref>J195:J208</xm:sqref>
        </x14:conditionalFormatting>
        <x14:conditionalFormatting xmlns:xm="http://schemas.microsoft.com/office/excel/2006/main">
          <x14:cfRule type="expression" priority="9" id="{0970632D-BDB0-48FF-93B5-4CED17D5075A}">
            <xm:f>Main_Parameters!$S$9&lt;&gt;"New"</xm:f>
            <x14:dxf>
              <fill>
                <patternFill>
                  <bgColor theme="0" tint="-0.24994659260841701"/>
                </patternFill>
              </fill>
            </x14:dxf>
          </x14:cfRule>
          <xm:sqref>J213:J226</xm:sqref>
        </x14:conditionalFormatting>
        <x14:conditionalFormatting xmlns:xm="http://schemas.microsoft.com/office/excel/2006/main">
          <x14:cfRule type="expression" priority="7" id="{8212CB57-7007-41C1-934F-BB69D315A5B0}">
            <xm:f>Main_Parameters!$U$4&lt;&gt;1</xm:f>
            <x14:dxf>
              <fill>
                <patternFill>
                  <bgColor theme="0" tint="-0.24994659260841701"/>
                </patternFill>
              </fill>
            </x14:dxf>
          </x14:cfRule>
          <xm:sqref>J138:K138</xm:sqref>
        </x14:conditionalFormatting>
        <x14:conditionalFormatting xmlns:xm="http://schemas.microsoft.com/office/excel/2006/main">
          <x14:cfRule type="expression" priority="6" id="{6927A9CF-BCA5-477B-AB1C-AD8E468D47FA}">
            <xm:f>Main_Parameters!$U$6&lt;&gt;1</xm:f>
            <x14:dxf>
              <fill>
                <patternFill>
                  <bgColor theme="0" tint="-0.24994659260841701"/>
                </patternFill>
              </fill>
            </x14:dxf>
          </x14:cfRule>
          <xm:sqref>J139:K139</xm:sqref>
        </x14:conditionalFormatting>
        <x14:conditionalFormatting xmlns:xm="http://schemas.microsoft.com/office/excel/2006/main">
          <x14:cfRule type="expression" priority="5" id="{56FC91F0-DB0F-41E6-A7EC-CF37D9F99FE7}">
            <xm:f>Main_Parameters!$U$7&lt;&gt;1</xm:f>
            <x14:dxf>
              <fill>
                <patternFill>
                  <bgColor theme="0" tint="-0.24994659260841701"/>
                </patternFill>
              </fill>
            </x14:dxf>
          </x14:cfRule>
          <xm:sqref>J140:K140</xm:sqref>
        </x14:conditionalFormatting>
        <x14:conditionalFormatting xmlns:xm="http://schemas.microsoft.com/office/excel/2006/main">
          <x14:cfRule type="expression" priority="4" id="{37EC6F77-5124-44FA-B433-F745624FF18A}">
            <xm:f>Main_Parameters!$U$8&lt;&gt;1</xm:f>
            <x14:dxf>
              <fill>
                <patternFill>
                  <bgColor theme="0" tint="-0.24994659260841701"/>
                </patternFill>
              </fill>
            </x14:dxf>
          </x14:cfRule>
          <xm:sqref>J141:K141</xm:sqref>
        </x14:conditionalFormatting>
        <x14:conditionalFormatting xmlns:xm="http://schemas.microsoft.com/office/excel/2006/main">
          <x14:cfRule type="expression" priority="3" id="{C3C505E1-DFEB-4820-B390-26ABF0CBB76F}">
            <xm:f>Main_Parameters!$U$9&lt;&gt;1</xm:f>
            <x14:dxf>
              <fill>
                <patternFill>
                  <bgColor theme="0" tint="-0.24994659260841701"/>
                </patternFill>
              </fill>
            </x14:dxf>
          </x14:cfRule>
          <xm:sqref>J142:K142</xm:sqref>
        </x14:conditionalFormatting>
        <x14:conditionalFormatting xmlns:xm="http://schemas.microsoft.com/office/excel/2006/main">
          <x14:cfRule type="expression" priority="2" id="{A147EDB9-2312-4B4B-983B-1E0E975FDB1E}">
            <xm:f>Main_Parameters!$U$10&lt;&gt;1</xm:f>
            <x14:dxf>
              <fill>
                <patternFill>
                  <bgColor theme="0" tint="-0.24994659260841701"/>
                </patternFill>
              </fill>
            </x14:dxf>
          </x14:cfRule>
          <xm:sqref>J143:K143</xm:sqref>
        </x14:conditionalFormatting>
        <x14:conditionalFormatting xmlns:xm="http://schemas.microsoft.com/office/excel/2006/main">
          <x14:cfRule type="expression" priority="1" id="{EAA5BA14-CA00-4ABD-95C5-D30C6CE84F20}">
            <xm:f>Main_Parameters!$U$3&lt;&gt;1</xm:f>
            <x14:dxf>
              <fill>
                <patternFill>
                  <bgColor theme="0" tint="-0.24994659260841701"/>
                </patternFill>
              </fill>
            </x14:dxf>
          </x14:cfRule>
          <xm:sqref>J137:K137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20"/>
  </sheetPr>
  <dimension ref="B1:BS21"/>
  <sheetViews>
    <sheetView showGridLines="0" zoomScale="75" zoomScaleNormal="75" workbookViewId="0">
      <selection activeCell="B8" sqref="B8:F19"/>
    </sheetView>
  </sheetViews>
  <sheetFormatPr defaultRowHeight="14.25"/>
  <cols>
    <col min="1" max="1" width="3.375" style="3" customWidth="1"/>
    <col min="2" max="2" width="7.875" style="3" customWidth="1"/>
    <col min="3" max="3" width="29" style="3" customWidth="1"/>
    <col min="4" max="4" width="11" style="3" customWidth="1"/>
    <col min="5" max="5" width="12.625" style="116" customWidth="1"/>
    <col min="6" max="6" width="76.7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71" ht="18">
      <c r="B1" s="12" t="s">
        <v>1639</v>
      </c>
      <c r="C1" s="12"/>
      <c r="F1" s="152"/>
      <c r="G1" s="407" t="s">
        <v>1394</v>
      </c>
      <c r="H1" s="135" t="s">
        <v>1640</v>
      </c>
      <c r="I1" s="21"/>
      <c r="J1" s="4"/>
      <c r="K1"/>
      <c r="L1" s="18"/>
    </row>
    <row r="2" spans="2:71" ht="18">
      <c r="B2" s="3" t="s">
        <v>1641</v>
      </c>
      <c r="H2" s="152" t="s">
        <v>1642</v>
      </c>
      <c r="I2"/>
      <c r="J2"/>
      <c r="K2"/>
      <c r="L2"/>
      <c r="M2"/>
      <c r="N2"/>
      <c r="O2"/>
      <c r="P2"/>
    </row>
    <row r="3" spans="2:71">
      <c r="B3" s="3" t="s">
        <v>1643</v>
      </c>
      <c r="C3" s="11"/>
      <c r="D3" s="1"/>
      <c r="E3" s="117"/>
      <c r="F3" s="1"/>
      <c r="G3" s="1"/>
      <c r="H3" s="1"/>
      <c r="I3"/>
      <c r="J3"/>
      <c r="K3"/>
      <c r="L3"/>
      <c r="M3"/>
      <c r="N3"/>
      <c r="O3"/>
      <c r="P3"/>
      <c r="Q3"/>
      <c r="R3"/>
      <c r="S3"/>
      <c r="T3"/>
      <c r="U3"/>
      <c r="V3"/>
      <c r="W3"/>
      <c r="X3" s="376"/>
      <c r="AH3" s="376"/>
    </row>
    <row r="4" spans="2:71" ht="15">
      <c r="B4" s="10"/>
      <c r="C4" s="11"/>
      <c r="D4" s="1"/>
      <c r="E4" s="117"/>
      <c r="F4" s="1"/>
      <c r="G4" s="1"/>
      <c r="H4" s="412"/>
      <c r="I4" s="37" t="s">
        <v>1644</v>
      </c>
      <c r="J4"/>
      <c r="K4"/>
      <c r="L4"/>
      <c r="M4"/>
      <c r="N4"/>
      <c r="O4"/>
      <c r="P4"/>
      <c r="Q4"/>
      <c r="R4"/>
      <c r="S4"/>
      <c r="T4"/>
      <c r="U4"/>
      <c r="V4"/>
      <c r="W4"/>
      <c r="X4" s="376"/>
      <c r="AH4" s="376"/>
    </row>
    <row r="5" spans="2:71" ht="18.75">
      <c r="B5" s="96" t="s">
        <v>1645</v>
      </c>
      <c r="C5" s="94"/>
      <c r="D5" s="94"/>
      <c r="E5" s="118"/>
      <c r="F5" s="95"/>
      <c r="I5"/>
      <c r="J5"/>
      <c r="K5"/>
      <c r="L5"/>
      <c r="M5"/>
      <c r="N5"/>
      <c r="O5"/>
      <c r="P5"/>
      <c r="Q5"/>
      <c r="R5"/>
      <c r="S5"/>
      <c r="T5"/>
      <c r="U5"/>
      <c r="V5"/>
      <c r="W5"/>
      <c r="X5" s="376"/>
      <c r="AH5" s="376"/>
    </row>
    <row r="6" spans="2:71" s="168" customFormat="1" ht="15">
      <c r="B6" s="92" t="s">
        <v>1646</v>
      </c>
      <c r="C6" s="92" t="s">
        <v>0</v>
      </c>
      <c r="D6" s="92" t="s">
        <v>1</v>
      </c>
      <c r="E6" s="119" t="s">
        <v>1647</v>
      </c>
      <c r="F6" s="93" t="s">
        <v>1648</v>
      </c>
      <c r="G6" s="7"/>
      <c r="H6"/>
      <c r="I6"/>
      <c r="J6"/>
      <c r="K6"/>
      <c r="L6"/>
      <c r="M6"/>
      <c r="N6"/>
      <c r="O6"/>
      <c r="P6"/>
      <c r="Q6"/>
      <c r="R6"/>
      <c r="S6"/>
      <c r="T6"/>
      <c r="U6"/>
      <c r="V6"/>
      <c r="W6"/>
      <c r="X6" s="376"/>
      <c r="AH6" s="376"/>
      <c r="BF6" s="3"/>
      <c r="BG6" s="3"/>
      <c r="BH6" s="3"/>
      <c r="BI6" s="3"/>
      <c r="BJ6" s="3"/>
      <c r="BK6" s="3"/>
      <c r="BL6" s="3"/>
      <c r="BM6" s="3"/>
      <c r="BN6" s="3"/>
      <c r="BO6" s="3"/>
      <c r="BP6" s="3"/>
      <c r="BQ6" s="3"/>
      <c r="BR6" s="3"/>
      <c r="BS6" s="3"/>
    </row>
    <row r="7" spans="2:71" s="168" customFormat="1" ht="15.75">
      <c r="B7" s="413" t="s">
        <v>1649</v>
      </c>
      <c r="C7" s="414" t="s">
        <v>1650</v>
      </c>
      <c r="D7" s="415"/>
      <c r="E7" s="415"/>
      <c r="F7" s="416"/>
      <c r="G7"/>
      <c r="H7" s="3"/>
      <c r="I7" s="3"/>
      <c r="J7" s="3"/>
      <c r="K7" s="3"/>
      <c r="L7" s="3"/>
      <c r="M7" s="3"/>
      <c r="N7" s="3"/>
      <c r="O7" s="3"/>
      <c r="P7" s="3"/>
      <c r="Q7"/>
      <c r="R7"/>
      <c r="S7"/>
      <c r="T7"/>
      <c r="U7"/>
      <c r="V7"/>
      <c r="W7"/>
      <c r="X7" s="376"/>
      <c r="AH7" s="376"/>
      <c r="BF7" s="3"/>
      <c r="BG7" s="3"/>
      <c r="BH7" s="3"/>
      <c r="BI7" s="3"/>
      <c r="BJ7" s="3"/>
      <c r="BK7" s="3"/>
      <c r="BL7" s="3"/>
      <c r="BM7" s="3"/>
      <c r="BN7" s="3"/>
      <c r="BO7" s="3"/>
      <c r="BP7" s="3"/>
      <c r="BQ7" s="3"/>
      <c r="BR7" s="3"/>
      <c r="BS7" s="3"/>
    </row>
    <row r="8" spans="2:71" s="168" customFormat="1" ht="28.5">
      <c r="B8" s="19" t="s">
        <v>1651</v>
      </c>
      <c r="C8" s="8" t="s">
        <v>1652</v>
      </c>
      <c r="D8" s="15" t="s">
        <v>1653</v>
      </c>
      <c r="E8" s="310"/>
      <c r="F8" s="417" t="s">
        <v>1654</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s="3"/>
      <c r="BR8" s="3"/>
      <c r="BS8" s="3"/>
    </row>
    <row r="9" spans="2:71" ht="28.5">
      <c r="B9" s="19" t="s">
        <v>1655</v>
      </c>
      <c r="C9" s="9" t="s">
        <v>1656</v>
      </c>
      <c r="D9" s="16" t="s">
        <v>1657</v>
      </c>
      <c r="E9" s="310"/>
      <c r="F9" s="417" t="s">
        <v>1658</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row>
    <row r="10" spans="2:71" ht="28.5">
      <c r="B10" s="19" t="s">
        <v>1659</v>
      </c>
      <c r="C10" s="9" t="s">
        <v>1660</v>
      </c>
      <c r="D10" s="16" t="s">
        <v>1661</v>
      </c>
      <c r="E10" s="310"/>
      <c r="F10" s="417" t="s">
        <v>1662</v>
      </c>
      <c r="G10"/>
      <c r="H10"/>
      <c r="I10"/>
      <c r="J10"/>
      <c r="K10"/>
      <c r="L10"/>
      <c r="M10"/>
      <c r="N10"/>
      <c r="O10"/>
      <c r="P10"/>
      <c r="Q10"/>
      <c r="R10"/>
      <c r="S10"/>
      <c r="T10"/>
      <c r="U10"/>
      <c r="V10"/>
      <c r="W10"/>
      <c r="X10" s="376"/>
      <c r="AH10" s="376"/>
    </row>
    <row r="11" spans="2:71" s="168" customFormat="1" ht="15.75">
      <c r="B11" s="398" t="s">
        <v>1649</v>
      </c>
      <c r="C11" s="399" t="s">
        <v>1663</v>
      </c>
      <c r="D11" s="400"/>
      <c r="E11" s="400"/>
      <c r="F11" s="401"/>
      <c r="G11"/>
      <c r="H11" s="3"/>
      <c r="I11" s="3"/>
      <c r="J11" s="3"/>
      <c r="K11" s="3"/>
      <c r="L11" s="3"/>
      <c r="M11" s="3"/>
      <c r="N11" s="3"/>
      <c r="O11" s="3"/>
      <c r="P11" s="3"/>
      <c r="Q11"/>
      <c r="R11"/>
      <c r="S11"/>
      <c r="T11"/>
      <c r="U11"/>
      <c r="V11"/>
      <c r="W11"/>
      <c r="X11" s="376"/>
      <c r="AH11" s="376"/>
      <c r="BF11" s="3"/>
      <c r="BG11" s="3"/>
      <c r="BH11" s="3"/>
      <c r="BI11" s="3"/>
      <c r="BJ11" s="3"/>
      <c r="BK11" s="3"/>
      <c r="BL11" s="3"/>
      <c r="BM11" s="3"/>
      <c r="BN11" s="3"/>
      <c r="BO11" s="3"/>
      <c r="BP11" s="3"/>
      <c r="BQ11" s="3"/>
      <c r="BR11" s="3"/>
      <c r="BS11" s="3"/>
    </row>
    <row r="12" spans="2:71" s="168" customFormat="1" ht="15.75">
      <c r="B12" s="398" t="s">
        <v>1649</v>
      </c>
      <c r="C12" s="399" t="s">
        <v>1664</v>
      </c>
      <c r="D12" s="400"/>
      <c r="E12" s="400"/>
      <c r="F12" s="401"/>
      <c r="G12"/>
      <c r="H12" s="3"/>
      <c r="I12" s="3"/>
      <c r="J12" s="3"/>
      <c r="K12" s="3"/>
      <c r="L12" s="3"/>
      <c r="M12" s="3"/>
      <c r="N12" s="3"/>
      <c r="O12" s="3"/>
      <c r="P12" s="3"/>
      <c r="Q12"/>
      <c r="R12"/>
      <c r="S12"/>
      <c r="T12"/>
      <c r="U12"/>
      <c r="V12"/>
      <c r="W12"/>
      <c r="X12" s="376"/>
      <c r="AH12" s="376"/>
      <c r="BF12" s="3"/>
      <c r="BG12" s="3"/>
      <c r="BH12" s="3"/>
      <c r="BI12" s="3"/>
      <c r="BJ12" s="3"/>
      <c r="BK12" s="3"/>
      <c r="BL12" s="3"/>
      <c r="BM12" s="3"/>
      <c r="BN12" s="3"/>
      <c r="BO12" s="3"/>
      <c r="BP12" s="3"/>
      <c r="BQ12" s="3"/>
      <c r="BR12" s="3"/>
      <c r="BS12" s="3"/>
    </row>
    <row r="13" spans="2:71" s="168" customFormat="1" ht="15.75">
      <c r="B13" s="413" t="s">
        <v>1649</v>
      </c>
      <c r="C13" s="414" t="s">
        <v>1665</v>
      </c>
      <c r="D13" s="415"/>
      <c r="E13" s="415"/>
      <c r="F13" s="416"/>
      <c r="G13"/>
      <c r="H13" s="3"/>
      <c r="I13" s="3"/>
      <c r="J13" s="3"/>
      <c r="K13" s="3"/>
      <c r="L13" s="3"/>
      <c r="M13" s="3"/>
      <c r="N13" s="3"/>
      <c r="O13" s="3"/>
      <c r="P13" s="3"/>
      <c r="Q13"/>
      <c r="R13"/>
      <c r="S13"/>
      <c r="T13"/>
      <c r="U13"/>
      <c r="V13"/>
      <c r="W13"/>
      <c r="X13" s="376"/>
      <c r="AH13" s="376"/>
      <c r="BF13" s="3"/>
      <c r="BG13" s="3"/>
      <c r="BH13" s="3"/>
      <c r="BI13" s="3"/>
      <c r="BJ13" s="3"/>
      <c r="BK13" s="3"/>
      <c r="BL13" s="3"/>
      <c r="BM13" s="3"/>
      <c r="BN13" s="3"/>
      <c r="BO13" s="3"/>
      <c r="BP13" s="3"/>
      <c r="BQ13" s="3"/>
      <c r="BR13" s="3"/>
      <c r="BS13" s="3"/>
    </row>
    <row r="14" spans="2:71" s="168" customFormat="1" ht="15.75">
      <c r="B14" s="418" t="s">
        <v>1649</v>
      </c>
      <c r="C14" s="419" t="s">
        <v>1666</v>
      </c>
      <c r="D14" s="420"/>
      <c r="E14" s="420"/>
      <c r="F14" s="421"/>
      <c r="G14"/>
      <c r="H14"/>
      <c r="I14"/>
      <c r="J14"/>
      <c r="K14"/>
      <c r="L14"/>
      <c r="M14"/>
      <c r="N14"/>
      <c r="O14"/>
      <c r="P14"/>
      <c r="Q14"/>
      <c r="R14"/>
      <c r="S14"/>
      <c r="T14"/>
      <c r="U14"/>
      <c r="V14"/>
      <c r="W14"/>
      <c r="X14" s="376"/>
      <c r="AH14" s="376"/>
      <c r="BF14" s="3"/>
      <c r="BG14" s="3"/>
      <c r="BH14" s="3"/>
      <c r="BI14" s="3"/>
      <c r="BJ14" s="3"/>
      <c r="BK14" s="3"/>
      <c r="BL14" s="3"/>
      <c r="BM14" s="3"/>
      <c r="BN14" s="3"/>
      <c r="BO14" s="3"/>
      <c r="BP14" s="3"/>
      <c r="BQ14" s="3"/>
      <c r="BR14" s="3"/>
      <c r="BS14" s="3"/>
    </row>
    <row r="15" spans="2:71" s="168" customFormat="1" ht="15.75">
      <c r="B15" s="422"/>
      <c r="C15" s="423"/>
      <c r="D15" s="424"/>
      <c r="E15" s="424"/>
      <c r="F15" s="425"/>
      <c r="G15"/>
      <c r="H15" s="3"/>
      <c r="I15" s="3"/>
      <c r="J15" s="3"/>
      <c r="K15" s="3"/>
      <c r="L15" s="3"/>
      <c r="M15" s="3"/>
      <c r="N15" s="3"/>
      <c r="O15" s="3"/>
      <c r="P15" s="3"/>
      <c r="Q15"/>
      <c r="R15"/>
      <c r="S15"/>
      <c r="T15"/>
      <c r="U15"/>
      <c r="V15"/>
      <c r="W15"/>
      <c r="X15" s="376"/>
      <c r="AH15" s="376"/>
      <c r="BF15" s="3"/>
      <c r="BG15" s="3"/>
      <c r="BH15" s="3"/>
      <c r="BI15" s="3"/>
      <c r="BJ15" s="3"/>
      <c r="BK15" s="3"/>
      <c r="BL15" s="3"/>
      <c r="BM15" s="3"/>
      <c r="BN15" s="3"/>
      <c r="BO15" s="3"/>
      <c r="BP15" s="3"/>
      <c r="BQ15" s="3"/>
      <c r="BR15" s="3"/>
      <c r="BS15" s="3"/>
    </row>
    <row r="16" spans="2:71" s="168" customFormat="1" ht="15.75">
      <c r="B16" s="426" t="s">
        <v>1649</v>
      </c>
      <c r="C16" s="427" t="s">
        <v>1667</v>
      </c>
      <c r="D16" s="428"/>
      <c r="E16" s="428"/>
      <c r="F16" s="429"/>
      <c r="G16"/>
      <c r="H16" s="3"/>
      <c r="I16" s="3"/>
      <c r="J16" s="3"/>
      <c r="K16" s="3"/>
      <c r="L16" s="3"/>
      <c r="M16" s="3"/>
      <c r="N16" s="3"/>
      <c r="O16" s="3"/>
      <c r="P16" s="3"/>
      <c r="Q16"/>
      <c r="R16"/>
      <c r="S16"/>
      <c r="T16"/>
      <c r="U16"/>
      <c r="V16"/>
      <c r="W16"/>
      <c r="X16" s="376"/>
      <c r="AH16" s="376"/>
      <c r="BF16" s="3"/>
      <c r="BG16" s="3"/>
      <c r="BH16" s="3"/>
      <c r="BI16" s="3"/>
      <c r="BJ16" s="3"/>
      <c r="BK16" s="3"/>
      <c r="BL16" s="3"/>
      <c r="BM16" s="3"/>
      <c r="BN16" s="3"/>
      <c r="BO16" s="3"/>
      <c r="BP16" s="3"/>
      <c r="BQ16" s="3"/>
      <c r="BR16" s="3"/>
      <c r="BS16" s="3"/>
    </row>
    <row r="17" spans="2:71" s="168" customFormat="1">
      <c r="B17" s="430" t="s">
        <v>1668</v>
      </c>
      <c r="C17" s="431" t="s">
        <v>1656</v>
      </c>
      <c r="D17" s="432" t="s">
        <v>1657</v>
      </c>
      <c r="E17" s="433" t="s">
        <v>1669</v>
      </c>
      <c r="F17" s="434" t="s">
        <v>1670</v>
      </c>
      <c r="G17"/>
      <c r="H17" s="3"/>
      <c r="I17" s="3"/>
      <c r="J17" s="3"/>
      <c r="K17" s="3"/>
      <c r="L17" s="3"/>
      <c r="M17" s="3"/>
      <c r="N17" s="3"/>
      <c r="O17" s="3"/>
      <c r="P17" s="3"/>
      <c r="Q17"/>
      <c r="R17"/>
      <c r="S17"/>
      <c r="T17"/>
      <c r="U17"/>
      <c r="V17"/>
      <c r="W17"/>
      <c r="X17" s="376"/>
      <c r="AH17" s="376"/>
      <c r="BF17" s="3"/>
      <c r="BG17" s="3"/>
      <c r="BH17" s="3"/>
      <c r="BI17" s="3"/>
      <c r="BJ17" s="3"/>
      <c r="BK17" s="3"/>
      <c r="BL17" s="3"/>
      <c r="BM17" s="3"/>
      <c r="BN17" s="3"/>
      <c r="BO17" s="3"/>
      <c r="BP17" s="3"/>
      <c r="BQ17" s="3"/>
      <c r="BR17" s="3"/>
      <c r="BS17" s="3"/>
    </row>
    <row r="18" spans="2:71" s="168" customFormat="1">
      <c r="B18" s="430" t="s">
        <v>1671</v>
      </c>
      <c r="C18" s="435" t="s">
        <v>1652</v>
      </c>
      <c r="D18" s="436" t="s">
        <v>1653</v>
      </c>
      <c r="E18" s="433" t="s">
        <v>1672</v>
      </c>
      <c r="F18" s="437" t="s">
        <v>1673</v>
      </c>
      <c r="G18"/>
      <c r="H18" s="3"/>
      <c r="I18" s="3"/>
      <c r="J18" s="3"/>
      <c r="K18" s="3"/>
      <c r="L18" s="3"/>
      <c r="M18" s="3"/>
      <c r="N18" s="3"/>
      <c r="O18" s="3"/>
      <c r="P18" s="3"/>
      <c r="Q18"/>
      <c r="R18"/>
      <c r="S18"/>
      <c r="T18"/>
      <c r="U18"/>
      <c r="V18"/>
      <c r="W18"/>
      <c r="X18" s="376"/>
      <c r="AH18" s="376"/>
      <c r="BF18" s="3"/>
      <c r="BG18" s="3"/>
      <c r="BH18" s="3"/>
      <c r="BI18" s="3"/>
      <c r="BJ18" s="3"/>
      <c r="BK18" s="3"/>
      <c r="BL18" s="3"/>
      <c r="BM18" s="3"/>
      <c r="BN18" s="3"/>
      <c r="BO18" s="3"/>
      <c r="BP18" s="3"/>
      <c r="BQ18" s="3"/>
      <c r="BR18" s="3"/>
      <c r="BS18" s="3"/>
    </row>
    <row r="19" spans="2:71" s="168" customFormat="1" ht="15.75">
      <c r="B19" s="413" t="s">
        <v>1649</v>
      </c>
      <c r="C19" s="414" t="s">
        <v>1665</v>
      </c>
      <c r="D19" s="415"/>
      <c r="E19" s="415"/>
      <c r="F19" s="416"/>
      <c r="G19"/>
      <c r="H19" s="3"/>
      <c r="I19" s="3"/>
      <c r="J19" s="3"/>
      <c r="K19" s="3"/>
      <c r="L19" s="3"/>
      <c r="M19" s="3"/>
      <c r="N19" s="3"/>
      <c r="O19" s="3"/>
      <c r="P19" s="3"/>
      <c r="Q19"/>
      <c r="R19"/>
      <c r="S19"/>
      <c r="T19"/>
      <c r="U19"/>
      <c r="V19"/>
      <c r="W19"/>
      <c r="X19" s="376"/>
      <c r="AH19" s="376"/>
      <c r="BF19" s="3"/>
      <c r="BG19" s="3"/>
      <c r="BH19" s="3"/>
      <c r="BI19" s="3"/>
      <c r="BJ19" s="3"/>
      <c r="BK19" s="3"/>
      <c r="BL19" s="3"/>
      <c r="BM19" s="3"/>
      <c r="BN19" s="3"/>
      <c r="BO19" s="3"/>
      <c r="BP19" s="3"/>
      <c r="BQ19" s="3"/>
      <c r="BR19" s="3"/>
      <c r="BS19" s="3"/>
    </row>
    <row r="20" spans="2:71" s="168" customFormat="1" ht="15.75">
      <c r="B20" s="402" t="s">
        <v>1674</v>
      </c>
      <c r="C20" s="403"/>
      <c r="D20" s="404"/>
      <c r="E20" s="405"/>
      <c r="F20" s="406"/>
      <c r="G20"/>
      <c r="H20" s="3"/>
      <c r="I20" s="3"/>
      <c r="J20" s="3"/>
      <c r="K20" s="3"/>
      <c r="L20" s="3"/>
      <c r="M20" s="3"/>
      <c r="N20" s="3"/>
      <c r="O20" s="3"/>
      <c r="P20" s="3"/>
      <c r="Q20" s="3"/>
      <c r="R20" s="3"/>
      <c r="S20" s="3"/>
      <c r="T20" s="3"/>
      <c r="U20" s="3"/>
      <c r="V20" s="3"/>
      <c r="W20" s="3"/>
      <c r="BF20" s="3"/>
      <c r="BG20" s="3"/>
      <c r="BH20" s="3"/>
      <c r="BI20" s="3"/>
      <c r="BJ20" s="3"/>
      <c r="BK20" s="3"/>
      <c r="BL20" s="3"/>
      <c r="BM20" s="3"/>
      <c r="BN20" s="3"/>
      <c r="BO20" s="3"/>
      <c r="BP20" s="3"/>
      <c r="BQ20" s="3"/>
      <c r="BR20" s="3"/>
      <c r="BS20" s="3"/>
    </row>
    <row r="21" spans="2:71" s="168" customFormat="1">
      <c r="B21"/>
      <c r="C21" s="3"/>
      <c r="D21" s="3"/>
      <c r="E21" s="116"/>
      <c r="F21" s="3"/>
      <c r="G21" s="3"/>
      <c r="H21" s="3"/>
      <c r="I21" s="3"/>
      <c r="J21" s="3"/>
      <c r="K21" s="3"/>
      <c r="L21" s="3"/>
      <c r="M21" s="3"/>
      <c r="N21" s="3"/>
      <c r="O21" s="3"/>
      <c r="P21" s="3"/>
      <c r="Q21" s="3"/>
      <c r="R21" s="3"/>
      <c r="S21" s="3"/>
      <c r="T21" s="3"/>
      <c r="U21" s="3"/>
      <c r="V21" s="3"/>
      <c r="W21" s="3"/>
      <c r="BF21" s="3"/>
      <c r="BG21" s="3"/>
      <c r="BH21" s="3"/>
      <c r="BI21" s="3"/>
      <c r="BJ21" s="3"/>
      <c r="BK21" s="3"/>
      <c r="BL21" s="3"/>
      <c r="BM21" s="3"/>
      <c r="BN21" s="3"/>
      <c r="BO21" s="3"/>
      <c r="BP21" s="3"/>
      <c r="BQ21" s="3"/>
      <c r="BR21" s="3"/>
      <c r="BS21" s="3"/>
    </row>
  </sheetData>
  <sheetProtection password="EE8F" sheet="1" objects="1" scenarios="1"/>
  <phoneticPr fontId="53"/>
  <pageMargins left="0.75" right="0.75" top="1" bottom="1" header="0.5" footer="0.5"/>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5" tint="0.59999389629810485"/>
  </sheetPr>
  <dimension ref="B1:BE653"/>
  <sheetViews>
    <sheetView showGridLines="0" zoomScale="75" zoomScaleNormal="75" workbookViewId="0">
      <selection activeCell="J10" sqref="J10"/>
    </sheetView>
  </sheetViews>
  <sheetFormatPr defaultRowHeight="14.25" outlineLevelRow="1"/>
  <cols>
    <col min="1" max="1" width="3.375" style="3" customWidth="1"/>
    <col min="2" max="2" width="7.875" style="3" customWidth="1"/>
    <col min="3" max="3" width="29" style="3" customWidth="1"/>
    <col min="4" max="4" width="11" style="3" customWidth="1"/>
    <col min="5" max="5" width="12.625" style="116" customWidth="1"/>
    <col min="6" max="6" width="41.25" style="3" customWidth="1"/>
    <col min="7" max="7" width="5.25" style="3" customWidth="1"/>
    <col min="8" max="8" width="16.5" style="3" customWidth="1"/>
    <col min="9" max="9" width="13" style="3" customWidth="1"/>
    <col min="10" max="10" width="15.75" style="3" customWidth="1"/>
    <col min="11" max="11" width="12.625" style="3" customWidth="1"/>
    <col min="12" max="12" width="15.75" style="3" customWidth="1"/>
    <col min="13" max="13" width="14.5" style="3" customWidth="1"/>
    <col min="14" max="14" width="16.125" style="3" customWidth="1"/>
    <col min="15" max="15" width="12.625" style="3" customWidth="1"/>
    <col min="16" max="16" width="15.5" style="3" customWidth="1"/>
    <col min="17" max="17" width="12.625" style="3" customWidth="1"/>
    <col min="18" max="18" width="14.375" style="3" customWidth="1"/>
    <col min="19" max="19" width="12.625" style="3" customWidth="1"/>
    <col min="20" max="20" width="14" style="3" customWidth="1"/>
    <col min="21" max="21" width="12.625" style="3" customWidth="1"/>
    <col min="22" max="22" width="14" style="3" customWidth="1"/>
    <col min="23" max="23" width="13.75" style="3" customWidth="1"/>
    <col min="24" max="24" width="7.875" style="168" hidden="1" customWidth="1"/>
    <col min="25" max="31" width="4" style="168" hidden="1" customWidth="1"/>
    <col min="32" max="32" width="5" style="168" hidden="1" customWidth="1"/>
    <col min="33" max="38" width="4" style="168" hidden="1" customWidth="1"/>
    <col min="39" max="39" width="5" style="168" hidden="1" customWidth="1"/>
    <col min="40" max="40" width="4" style="168" hidden="1" customWidth="1"/>
    <col min="41" max="41" width="7.125" style="168" hidden="1" customWidth="1"/>
    <col min="42" max="42" width="2.875" style="168" hidden="1" customWidth="1"/>
    <col min="43" max="43" width="3" style="168" hidden="1" customWidth="1"/>
    <col min="44" max="44" width="3.625" style="168" hidden="1" customWidth="1"/>
    <col min="45" max="45" width="3.375" style="168" hidden="1" customWidth="1"/>
    <col min="46" max="46" width="3.5" style="168" hidden="1" customWidth="1"/>
    <col min="47" max="47" width="3" style="168" hidden="1" customWidth="1"/>
    <col min="48" max="48" width="3.5" style="168" hidden="1" customWidth="1"/>
    <col min="49" max="49" width="3" style="168" hidden="1" customWidth="1"/>
    <col min="50" max="50" width="3.125" style="168" hidden="1" customWidth="1"/>
    <col min="51" max="51" width="2.875" style="168" hidden="1" customWidth="1"/>
    <col min="52" max="52" width="3.5" style="168" hidden="1" customWidth="1"/>
    <col min="53" max="53" width="3" style="168" hidden="1" customWidth="1"/>
    <col min="54" max="54" width="3.375" style="168" hidden="1" customWidth="1"/>
    <col min="55" max="55" width="3.125" style="168" hidden="1" customWidth="1"/>
    <col min="56" max="56" width="3.875" style="168" hidden="1" customWidth="1"/>
    <col min="57" max="57" width="11.375" style="168" hidden="1" customWidth="1"/>
    <col min="58" max="16384" width="9" style="3"/>
  </cols>
  <sheetData>
    <row r="1" spans="2:56" ht="18">
      <c r="B1" s="12" t="s">
        <v>1581</v>
      </c>
      <c r="C1" s="12"/>
      <c r="F1" s="152"/>
      <c r="G1" s="407" t="s">
        <v>1595</v>
      </c>
      <c r="H1" s="135" t="s">
        <v>144</v>
      </c>
      <c r="I1" s="21"/>
      <c r="J1" s="4"/>
      <c r="K1"/>
      <c r="L1" s="18"/>
    </row>
    <row r="2" spans="2:56" ht="18">
      <c r="B2" s="3" t="s">
        <v>835</v>
      </c>
      <c r="H2" s="152" t="s">
        <v>725</v>
      </c>
      <c r="I2"/>
      <c r="J2"/>
      <c r="K2"/>
      <c r="L2"/>
      <c r="M2"/>
      <c r="N2"/>
      <c r="O2"/>
      <c r="P2"/>
    </row>
    <row r="3" spans="2:56">
      <c r="B3" s="3" t="s">
        <v>1393</v>
      </c>
      <c r="C3" s="11"/>
      <c r="D3" s="1"/>
      <c r="E3" s="117"/>
      <c r="F3" s="1"/>
      <c r="G3" s="1"/>
      <c r="H3" s="1"/>
      <c r="I3"/>
      <c r="J3"/>
      <c r="K3"/>
      <c r="L3"/>
      <c r="M3"/>
      <c r="N3"/>
      <c r="O3"/>
      <c r="P3"/>
      <c r="Q3"/>
      <c r="R3"/>
      <c r="S3"/>
      <c r="T3"/>
      <c r="U3"/>
      <c r="V3"/>
      <c r="W3"/>
      <c r="X3" s="376"/>
      <c r="AH3" s="376"/>
    </row>
    <row r="4" spans="2:56" ht="15">
      <c r="B4" s="10"/>
      <c r="C4" s="11"/>
      <c r="D4" s="1"/>
      <c r="E4" s="117"/>
      <c r="F4" s="1"/>
      <c r="G4" s="1"/>
      <c r="H4" s="20"/>
      <c r="I4"/>
      <c r="J4"/>
      <c r="K4"/>
      <c r="L4"/>
      <c r="M4"/>
      <c r="N4"/>
      <c r="O4"/>
      <c r="P4"/>
      <c r="Q4"/>
      <c r="R4"/>
      <c r="S4"/>
      <c r="T4"/>
      <c r="U4"/>
      <c r="V4"/>
      <c r="W4"/>
      <c r="X4" s="376"/>
      <c r="AH4" s="376"/>
    </row>
    <row r="5" spans="2:56" ht="18.75">
      <c r="B5" s="96" t="s">
        <v>146</v>
      </c>
      <c r="C5" s="94"/>
      <c r="D5" s="94"/>
      <c r="E5" s="118"/>
      <c r="F5" s="95"/>
      <c r="I5"/>
      <c r="J5"/>
      <c r="K5"/>
      <c r="L5"/>
      <c r="M5"/>
      <c r="N5"/>
      <c r="O5"/>
      <c r="P5"/>
      <c r="Q5"/>
      <c r="R5"/>
      <c r="S5"/>
      <c r="T5"/>
      <c r="U5"/>
      <c r="V5"/>
      <c r="W5"/>
      <c r="X5" s="376"/>
      <c r="AH5" s="376"/>
    </row>
    <row r="6" spans="2:56" ht="15">
      <c r="B6" s="92" t="s">
        <v>13</v>
      </c>
      <c r="C6" s="92" t="s">
        <v>0</v>
      </c>
      <c r="D6" s="92" t="s">
        <v>1</v>
      </c>
      <c r="E6" s="119" t="s">
        <v>14</v>
      </c>
      <c r="F6" s="93" t="s">
        <v>145</v>
      </c>
      <c r="G6" s="7"/>
      <c r="H6"/>
      <c r="I6"/>
      <c r="J6"/>
      <c r="K6"/>
      <c r="L6"/>
      <c r="M6"/>
      <c r="N6"/>
      <c r="O6"/>
      <c r="P6"/>
      <c r="Q6"/>
      <c r="R6"/>
      <c r="S6"/>
      <c r="T6"/>
      <c r="U6"/>
      <c r="V6"/>
      <c r="W6"/>
      <c r="X6" s="376"/>
      <c r="AH6" s="376"/>
    </row>
    <row r="7" spans="2:56">
      <c r="B7" s="86" t="s">
        <v>15</v>
      </c>
      <c r="C7" s="87" t="s">
        <v>70</v>
      </c>
      <c r="D7" s="87"/>
      <c r="E7" s="120"/>
      <c r="F7" s="103"/>
      <c r="G7"/>
      <c r="H7"/>
      <c r="I7"/>
      <c r="J7"/>
      <c r="K7"/>
      <c r="L7"/>
      <c r="M7"/>
      <c r="N7"/>
      <c r="O7"/>
      <c r="P7"/>
      <c r="Q7"/>
      <c r="R7"/>
      <c r="S7"/>
      <c r="T7"/>
      <c r="U7"/>
      <c r="V7"/>
      <c r="W7"/>
      <c r="X7" s="376"/>
      <c r="AH7" s="376"/>
    </row>
    <row r="8" spans="2:56">
      <c r="B8" s="219" t="s">
        <v>73</v>
      </c>
      <c r="C8" s="5" t="s">
        <v>1149</v>
      </c>
      <c r="D8" s="17" t="s">
        <v>160</v>
      </c>
      <c r="E8" s="122" t="str">
        <f>Main_Parameters!$C$118</f>
        <v>0004</v>
      </c>
      <c r="F8" s="179"/>
      <c r="G8"/>
      <c r="H8"/>
      <c r="I8"/>
      <c r="J8"/>
      <c r="K8"/>
      <c r="L8"/>
      <c r="M8"/>
      <c r="N8"/>
      <c r="O8"/>
      <c r="P8"/>
      <c r="Q8"/>
      <c r="R8"/>
      <c r="S8"/>
      <c r="T8"/>
      <c r="U8"/>
      <c r="V8"/>
      <c r="W8"/>
      <c r="X8" s="376"/>
      <c r="AH8" s="376"/>
    </row>
    <row r="9" spans="2:56">
      <c r="B9" s="19" t="s">
        <v>73</v>
      </c>
      <c r="C9" s="8" t="s">
        <v>74</v>
      </c>
      <c r="D9" s="15" t="s">
        <v>71</v>
      </c>
      <c r="E9" s="89" t="s">
        <v>1225</v>
      </c>
      <c r="F9" s="39" t="s">
        <v>715</v>
      </c>
      <c r="G9"/>
      <c r="H9"/>
      <c r="I9"/>
      <c r="J9"/>
      <c r="K9"/>
      <c r="L9"/>
      <c r="M9"/>
      <c r="N9"/>
      <c r="O9"/>
      <c r="P9"/>
      <c r="Q9"/>
      <c r="R9"/>
      <c r="S9"/>
      <c r="T9"/>
      <c r="U9"/>
      <c r="V9"/>
      <c r="W9"/>
      <c r="X9" s="376"/>
      <c r="AH9" s="376"/>
    </row>
    <row r="10" spans="2:56">
      <c r="B10" s="19" t="s">
        <v>73</v>
      </c>
      <c r="C10" s="8" t="s">
        <v>74</v>
      </c>
      <c r="D10" s="15" t="s">
        <v>71</v>
      </c>
      <c r="E10" s="109" t="str">
        <f>IF(Main_Parameters!$M$4="Disable","0080","0000")</f>
        <v>0000</v>
      </c>
      <c r="F10" s="39" t="s">
        <v>714</v>
      </c>
      <c r="G10"/>
      <c r="H10"/>
      <c r="I10"/>
      <c r="J10"/>
      <c r="K10"/>
      <c r="L10"/>
      <c r="M10"/>
      <c r="N10"/>
      <c r="O10"/>
      <c r="P10"/>
      <c r="Q10"/>
      <c r="R10"/>
      <c r="S10"/>
      <c r="T10"/>
      <c r="U10"/>
      <c r="V10"/>
      <c r="W10"/>
      <c r="X10" s="376"/>
      <c r="AH10" s="376"/>
    </row>
    <row r="11" spans="2:56">
      <c r="B11" s="19" t="s">
        <v>73</v>
      </c>
      <c r="C11" s="5" t="s">
        <v>1171</v>
      </c>
      <c r="D11" s="17" t="s">
        <v>1148</v>
      </c>
      <c r="E11" s="109" t="str">
        <f>Main_Parameters!$C$121</f>
        <v>0000</v>
      </c>
      <c r="F11" s="39"/>
      <c r="G11"/>
      <c r="H11"/>
      <c r="I11" s="2"/>
    </row>
    <row r="12" spans="2:56">
      <c r="B12" s="219" t="s">
        <v>745</v>
      </c>
      <c r="C12" s="373" t="s">
        <v>1511</v>
      </c>
      <c r="D12" s="15" t="s">
        <v>1223</v>
      </c>
      <c r="E12" s="89" t="s">
        <v>1522</v>
      </c>
      <c r="F12" s="179"/>
      <c r="G12"/>
      <c r="H12"/>
      <c r="I12"/>
      <c r="J12"/>
      <c r="K12"/>
      <c r="L12"/>
      <c r="M12"/>
      <c r="N12"/>
      <c r="O12"/>
      <c r="P12"/>
      <c r="Q12"/>
      <c r="R12"/>
      <c r="S12"/>
      <c r="T12"/>
      <c r="U12"/>
      <c r="V12"/>
      <c r="W12"/>
    </row>
    <row r="13" spans="2:56">
      <c r="B13" s="86" t="s">
        <v>15</v>
      </c>
      <c r="C13" s="88" t="s">
        <v>1027</v>
      </c>
      <c r="D13" s="86"/>
      <c r="E13" s="123"/>
      <c r="F13" s="103"/>
      <c r="G13"/>
      <c r="H13"/>
      <c r="I13"/>
      <c r="J13"/>
      <c r="K13"/>
      <c r="L13"/>
      <c r="M13"/>
      <c r="N13"/>
      <c r="O13"/>
      <c r="P13"/>
      <c r="Q13"/>
      <c r="R13"/>
      <c r="S13"/>
      <c r="T13"/>
      <c r="U13"/>
      <c r="V13"/>
      <c r="W13"/>
      <c r="X13" s="376"/>
      <c r="AH13" s="376"/>
    </row>
    <row r="14" spans="2:56">
      <c r="B14" s="19" t="s">
        <v>75</v>
      </c>
      <c r="C14" s="254" t="s">
        <v>886</v>
      </c>
      <c r="D14" s="255" t="s">
        <v>1028</v>
      </c>
      <c r="E14" s="89" t="s">
        <v>147</v>
      </c>
      <c r="F14" s="179"/>
      <c r="G14"/>
      <c r="H14"/>
      <c r="I14"/>
      <c r="J14"/>
      <c r="K14"/>
      <c r="L14"/>
      <c r="M14"/>
      <c r="N14"/>
      <c r="O14"/>
      <c r="P14"/>
      <c r="Q14"/>
      <c r="R14"/>
      <c r="S14"/>
      <c r="T14"/>
      <c r="U14"/>
      <c r="V14"/>
      <c r="W14"/>
      <c r="X14" s="376"/>
      <c r="Y14" s="168">
        <v>31</v>
      </c>
      <c r="Z14" s="168">
        <v>30</v>
      </c>
      <c r="AA14" s="168">
        <v>29</v>
      </c>
      <c r="AB14" s="168">
        <v>28</v>
      </c>
      <c r="AC14" s="168">
        <v>27</v>
      </c>
      <c r="AD14" s="168">
        <v>26</v>
      </c>
      <c r="AE14" s="168">
        <v>25</v>
      </c>
      <c r="AF14" s="168">
        <v>24</v>
      </c>
      <c r="AG14" s="168">
        <v>23</v>
      </c>
      <c r="AH14" s="376">
        <v>22</v>
      </c>
      <c r="AI14" s="168">
        <v>21</v>
      </c>
      <c r="AJ14" s="168">
        <v>20</v>
      </c>
      <c r="AK14" s="168">
        <v>19</v>
      </c>
      <c r="AL14" s="168">
        <v>18</v>
      </c>
      <c r="AM14" s="168">
        <v>17</v>
      </c>
      <c r="AN14" s="168">
        <v>16</v>
      </c>
      <c r="AO14" s="168">
        <v>15</v>
      </c>
      <c r="AP14" s="168">
        <v>14</v>
      </c>
      <c r="AQ14" s="168">
        <v>13</v>
      </c>
      <c r="AR14" s="168">
        <v>12</v>
      </c>
      <c r="AS14" s="168">
        <v>11</v>
      </c>
      <c r="AT14" s="168">
        <v>10</v>
      </c>
      <c r="AU14" s="168">
        <v>9</v>
      </c>
      <c r="AV14" s="168">
        <v>8</v>
      </c>
      <c r="AW14" s="168">
        <v>7</v>
      </c>
      <c r="AX14" s="168">
        <v>6</v>
      </c>
      <c r="AY14" s="168">
        <v>5</v>
      </c>
      <c r="AZ14" s="168">
        <v>4</v>
      </c>
      <c r="BA14" s="168">
        <v>3</v>
      </c>
      <c r="BB14" s="168">
        <v>2</v>
      </c>
      <c r="BC14" s="168">
        <v>1</v>
      </c>
      <c r="BD14" s="168">
        <v>0</v>
      </c>
    </row>
    <row r="15" spans="2:56">
      <c r="B15" s="19" t="s">
        <v>75</v>
      </c>
      <c r="C15" s="254" t="s">
        <v>888</v>
      </c>
      <c r="D15" s="255" t="s">
        <v>1029</v>
      </c>
      <c r="E15" s="122" t="str">
        <f>DEC2HEX(Y15*2^31+Z15*2^30+AA15*2^29+AB15*2^28+AC15*2^27+AD15*2^26+AE15*2^25+AF15*2^24+AG15*2^23+AH15*2^22+AI15*2^21+AJ15*2^20+AK15*2^19+AL15*2^18+AM15*2^17+AN15*2^16+AO15*2^15+AP15*2^14+AQ15*2^13+AR15*2^12+AS15*2^11+AT15*2^10+AU15*2^9+AV15*2^8+AW15*2^7+AX15*2^6+AY15*2^5+AZ15*2^4+BA15*2^3+BB15*2^2+BC15*2^1+BD15*2^0,8)</f>
        <v>00000001</v>
      </c>
      <c r="F15" s="179"/>
      <c r="G15" s="256"/>
      <c r="H15" s="265"/>
      <c r="I15" s="268"/>
      <c r="J15" s="268"/>
      <c r="K15" s="266"/>
      <c r="L15" s="261" t="s">
        <v>948</v>
      </c>
      <c r="M15" s="281" t="s">
        <v>945</v>
      </c>
      <c r="N15" s="258" t="s">
        <v>947</v>
      </c>
      <c r="O15" s="281" t="s">
        <v>945</v>
      </c>
      <c r="P15" s="259"/>
      <c r="Q15" s="259"/>
      <c r="R15" s="259"/>
      <c r="S15" s="259"/>
      <c r="T15" s="259"/>
      <c r="U15" s="260"/>
      <c r="V15" s="261" t="s">
        <v>946</v>
      </c>
      <c r="W15" s="280" t="s">
        <v>36</v>
      </c>
      <c r="X15" s="395"/>
      <c r="Y15" s="396">
        <v>0</v>
      </c>
      <c r="Z15" s="396">
        <v>0</v>
      </c>
      <c r="AA15" s="396">
        <v>0</v>
      </c>
      <c r="AB15" s="396">
        <v>0</v>
      </c>
      <c r="AC15" s="396">
        <v>0</v>
      </c>
      <c r="AD15" s="396">
        <v>0</v>
      </c>
      <c r="AE15" s="396">
        <v>0</v>
      </c>
      <c r="AF15" s="396">
        <v>0</v>
      </c>
      <c r="AG15" s="396">
        <v>0</v>
      </c>
      <c r="AH15" s="395">
        <v>0</v>
      </c>
      <c r="AI15" s="396">
        <v>0</v>
      </c>
      <c r="AJ15" s="396">
        <v>0</v>
      </c>
      <c r="AK15" s="396">
        <v>0</v>
      </c>
      <c r="AL15" s="396">
        <v>0</v>
      </c>
      <c r="AM15" s="396">
        <v>0</v>
      </c>
      <c r="AN15" s="396">
        <v>0</v>
      </c>
      <c r="AO15" s="396">
        <v>0</v>
      </c>
      <c r="AP15" s="396">
        <v>0</v>
      </c>
      <c r="AQ15" s="396">
        <v>0</v>
      </c>
      <c r="AR15" s="396">
        <v>0</v>
      </c>
      <c r="AS15" s="396">
        <v>0</v>
      </c>
      <c r="AT15" s="396">
        <f>IF(M15="HSCK/8",0,IF(M15="HSCK/4",1,2))</f>
        <v>0</v>
      </c>
      <c r="AU15" s="396">
        <v>0</v>
      </c>
      <c r="AV15" s="396">
        <f>IF(O15="HSCK/8",0,IF(O15="HSCK/4",1,2))</f>
        <v>0</v>
      </c>
      <c r="AW15" s="396">
        <v>0</v>
      </c>
      <c r="AX15" s="396">
        <v>0</v>
      </c>
      <c r="AY15" s="396">
        <v>0</v>
      </c>
      <c r="AZ15" s="396">
        <v>0</v>
      </c>
      <c r="BA15" s="396">
        <v>0</v>
      </c>
      <c r="BB15" s="396">
        <v>0</v>
      </c>
      <c r="BC15" s="396">
        <v>0</v>
      </c>
      <c r="BD15" s="396">
        <f>IF(W15="Enable",1,0)</f>
        <v>1</v>
      </c>
    </row>
    <row r="16" spans="2:56">
      <c r="B16" s="19" t="s">
        <v>75</v>
      </c>
      <c r="C16" s="5" t="s">
        <v>1021</v>
      </c>
      <c r="D16" s="15" t="s">
        <v>1067</v>
      </c>
      <c r="E16" s="89" t="s">
        <v>147</v>
      </c>
      <c r="F16" s="39"/>
      <c r="G16"/>
      <c r="H16"/>
      <c r="I16"/>
      <c r="J16"/>
      <c r="K16"/>
      <c r="L16"/>
      <c r="M16"/>
      <c r="N16"/>
      <c r="O16"/>
      <c r="P16"/>
      <c r="Q16"/>
      <c r="R16"/>
      <c r="S16"/>
      <c r="T16"/>
      <c r="U16"/>
      <c r="V16"/>
      <c r="W16"/>
    </row>
    <row r="17" spans="2:57">
      <c r="B17" s="19" t="s">
        <v>75</v>
      </c>
      <c r="C17" s="254" t="s">
        <v>885</v>
      </c>
      <c r="D17" s="255" t="s">
        <v>1068</v>
      </c>
      <c r="E17" s="122" t="str">
        <f>Main_Parameters!$C$148</f>
        <v>000090BD</v>
      </c>
      <c r="F17" s="179" t="s">
        <v>1255</v>
      </c>
      <c r="G17"/>
      <c r="H17"/>
      <c r="I17"/>
      <c r="J17"/>
      <c r="K17"/>
      <c r="L17"/>
      <c r="M17"/>
      <c r="N17"/>
      <c r="O17"/>
      <c r="P17"/>
      <c r="Q17"/>
      <c r="R17"/>
      <c r="S17"/>
      <c r="T17"/>
      <c r="U17"/>
      <c r="V17"/>
      <c r="W17"/>
      <c r="X17" s="376"/>
      <c r="AH17" s="376"/>
    </row>
    <row r="18" spans="2:57">
      <c r="B18" s="19" t="s">
        <v>828</v>
      </c>
      <c r="C18" s="254"/>
      <c r="D18" s="310">
        <v>1000</v>
      </c>
      <c r="E18" s="310"/>
      <c r="F18" s="179"/>
      <c r="G18"/>
      <c r="H18"/>
      <c r="I18"/>
      <c r="J18"/>
      <c r="K18"/>
      <c r="L18"/>
      <c r="M18"/>
      <c r="N18"/>
      <c r="O18"/>
      <c r="P18"/>
      <c r="Q18"/>
      <c r="R18"/>
      <c r="S18"/>
      <c r="T18"/>
      <c r="U18"/>
      <c r="V18"/>
      <c r="W18"/>
      <c r="X18" s="376"/>
      <c r="AH18" s="376"/>
    </row>
    <row r="19" spans="2:57">
      <c r="B19" s="19" t="s">
        <v>75</v>
      </c>
      <c r="C19" s="5" t="s">
        <v>1021</v>
      </c>
      <c r="D19" s="15" t="s">
        <v>1067</v>
      </c>
      <c r="E19" s="89" t="s">
        <v>1022</v>
      </c>
      <c r="F19" s="39"/>
      <c r="G19"/>
      <c r="H19"/>
      <c r="I19"/>
      <c r="J19"/>
      <c r="K19"/>
      <c r="L19"/>
      <c r="M19"/>
      <c r="N19"/>
      <c r="O19"/>
      <c r="P19"/>
      <c r="Q19"/>
      <c r="R19"/>
      <c r="S19"/>
      <c r="T19"/>
      <c r="U19"/>
      <c r="V19"/>
      <c r="W19"/>
    </row>
    <row r="20" spans="2:57">
      <c r="B20" s="19" t="s">
        <v>75</v>
      </c>
      <c r="C20" s="254" t="s">
        <v>892</v>
      </c>
      <c r="D20" s="255" t="s">
        <v>1030</v>
      </c>
      <c r="E20" s="122" t="str">
        <f>Main_Parameters!$C$151</f>
        <v>00000014</v>
      </c>
      <c r="F20" s="179"/>
      <c r="G20"/>
      <c r="H20"/>
      <c r="I20"/>
      <c r="J20"/>
      <c r="K20"/>
      <c r="L20"/>
      <c r="M20"/>
      <c r="N20"/>
      <c r="O20"/>
      <c r="P20"/>
      <c r="Q20"/>
      <c r="R20"/>
      <c r="S20"/>
      <c r="T20"/>
      <c r="U20"/>
      <c r="V20"/>
      <c r="W20"/>
      <c r="X20" s="376"/>
      <c r="AH20" s="376"/>
    </row>
    <row r="21" spans="2:57">
      <c r="B21" s="19" t="s">
        <v>75</v>
      </c>
      <c r="C21" s="254" t="s">
        <v>894</v>
      </c>
      <c r="D21" s="255" t="s">
        <v>1031</v>
      </c>
      <c r="E21" s="122" t="str">
        <f>Main_Parameters!$C$152</f>
        <v>00001770</v>
      </c>
      <c r="F21" s="179"/>
      <c r="G21"/>
      <c r="H21"/>
      <c r="I21"/>
      <c r="J21"/>
      <c r="K21"/>
      <c r="L21"/>
      <c r="M21"/>
      <c r="N21"/>
      <c r="O21"/>
      <c r="P21"/>
      <c r="Q21"/>
      <c r="R21"/>
      <c r="S21"/>
      <c r="T21"/>
      <c r="U21"/>
      <c r="V21"/>
      <c r="W21"/>
      <c r="X21" s="376"/>
      <c r="AH21" s="376"/>
    </row>
    <row r="22" spans="2:57" ht="15">
      <c r="B22" s="19" t="s">
        <v>75</v>
      </c>
      <c r="C22" s="254" t="s">
        <v>895</v>
      </c>
      <c r="D22" s="255" t="s">
        <v>1032</v>
      </c>
      <c r="E22" s="122" t="str">
        <f>DEC2HEX(HEX2DEC(K22),8)</f>
        <v>00000000</v>
      </c>
      <c r="F22" s="179"/>
      <c r="G22"/>
      <c r="H22" s="495" t="s">
        <v>953</v>
      </c>
      <c r="I22" s="496"/>
      <c r="J22" s="497"/>
      <c r="K22" s="283">
        <v>0</v>
      </c>
      <c r="L22" s="267" t="str">
        <f>IF(HEX2DEC(K22)&lt;0,"NG",IF(HEX2DEC(K22)&gt;4294967295,"NG","OK"))</f>
        <v>OK</v>
      </c>
      <c r="M22" s="265"/>
      <c r="N22" s="268"/>
      <c r="O22" s="268"/>
      <c r="P22" s="268"/>
      <c r="Q22" s="268"/>
      <c r="R22" s="268"/>
      <c r="S22" s="268"/>
      <c r="T22" s="268"/>
      <c r="U22" s="268"/>
      <c r="V22" s="268"/>
      <c r="W22" s="266"/>
      <c r="X22" s="376"/>
      <c r="AH22" s="376"/>
    </row>
    <row r="23" spans="2:57">
      <c r="B23" s="19" t="s">
        <v>75</v>
      </c>
      <c r="C23" s="254" t="s">
        <v>897</v>
      </c>
      <c r="D23" s="255" t="s">
        <v>1033</v>
      </c>
      <c r="E23" s="122" t="str">
        <f>DEC2HEX(Y23*2^31+Z23*2^30+AA23*2^29+AB23*2^28+AC23*2^27+AD23*2^26+AE23*2^25+AF23*2^24+AG23*2^23+AH23*2^22+AI23*2^21+AJ23*2^20+AK23*2^19+AL23*2^18+AM23*2^17+AN23*2^16+AO23*2^15+AP23*2^14+AQ23*2^13+AR23*2^12+AS23*2^11+AT23*2^10+AU23*2^9+AV23*2^8+AW23*2^7+AX23*2^6+AY23*2^5+AZ23*2^4+BA23*2^3+BB23*2^2+BC23*2^1+BD23*2^0,8)</f>
        <v>00000101</v>
      </c>
      <c r="F23" s="179"/>
      <c r="G23"/>
      <c r="H23" s="265"/>
      <c r="I23" s="268"/>
      <c r="J23" s="268"/>
      <c r="K23" s="268"/>
      <c r="L23" s="282" t="s">
        <v>1584</v>
      </c>
      <c r="M23" s="282" t="s">
        <v>1585</v>
      </c>
      <c r="N23" s="282" t="s">
        <v>1586</v>
      </c>
      <c r="O23" s="282" t="s">
        <v>1587</v>
      </c>
      <c r="P23" s="282" t="s">
        <v>1588</v>
      </c>
      <c r="Q23" s="282" t="s">
        <v>1589</v>
      </c>
      <c r="R23" s="282" t="s">
        <v>1590</v>
      </c>
      <c r="S23" s="282" t="s">
        <v>955</v>
      </c>
      <c r="T23" s="282" t="s">
        <v>956</v>
      </c>
      <c r="U23" s="282" t="s">
        <v>957</v>
      </c>
      <c r="V23" s="409" t="s">
        <v>1523</v>
      </c>
      <c r="W23" s="280" t="s">
        <v>954</v>
      </c>
      <c r="X23" s="376"/>
      <c r="Y23" s="168">
        <v>0</v>
      </c>
      <c r="Z23" s="168">
        <v>0</v>
      </c>
      <c r="AA23" s="168">
        <v>0</v>
      </c>
      <c r="AB23" s="168">
        <v>0</v>
      </c>
      <c r="AC23" s="168">
        <v>0</v>
      </c>
      <c r="AD23" s="168">
        <v>0</v>
      </c>
      <c r="AE23" s="168">
        <v>0</v>
      </c>
      <c r="AF23" s="168">
        <v>0</v>
      </c>
      <c r="AG23" s="168">
        <v>0</v>
      </c>
      <c r="AH23" s="376">
        <f>IF(L23="INIT Int Enb",1,0)</f>
        <v>0</v>
      </c>
      <c r="AI23" s="376">
        <f>IF(M23="ApErr Int Enb",1,0)</f>
        <v>0</v>
      </c>
      <c r="AJ23" s="376">
        <f>IF(N23="DSIPrto Int Enb",1,0)</f>
        <v>0</v>
      </c>
      <c r="AK23" s="376">
        <f>IF(O23="DSIrErr Int Enb",1,0)</f>
        <v>0</v>
      </c>
      <c r="AL23" s="376">
        <f>IF(P23="DSILPTX Int Enb",1,0)</f>
        <v>0</v>
      </c>
      <c r="AM23" s="376">
        <f>IF(Q23="DSIrTrg Int Enb",1,0)</f>
        <v>0</v>
      </c>
      <c r="AN23" s="376">
        <f>IF(R23="DSIrStat Int Enb",1,0)</f>
        <v>0</v>
      </c>
      <c r="AO23" s="168">
        <v>0</v>
      </c>
      <c r="AP23" s="376">
        <f>IF(S23="PRESP_TO Enb",1,0)</f>
        <v>0</v>
      </c>
      <c r="AQ23" s="376">
        <v>0</v>
      </c>
      <c r="AR23" s="376">
        <v>0</v>
      </c>
      <c r="AS23" s="376">
        <v>0</v>
      </c>
      <c r="AT23" s="376">
        <f>IF(T23="HSTX_TO Enb",1,0)</f>
        <v>0</v>
      </c>
      <c r="AU23" s="376">
        <f>IF(U23="IND_TO Enb",1,0)</f>
        <v>0</v>
      </c>
      <c r="AV23" s="376">
        <f>IF(V23="INDMdSel Reg",1,0)</f>
        <v>1</v>
      </c>
      <c r="AW23" s="168">
        <v>0</v>
      </c>
      <c r="AX23" s="168">
        <v>0</v>
      </c>
      <c r="AY23" s="168">
        <v>0</v>
      </c>
      <c r="AZ23" s="168">
        <v>0</v>
      </c>
      <c r="BA23" s="168">
        <v>0</v>
      </c>
      <c r="BB23" s="168">
        <v>0</v>
      </c>
      <c r="BC23" s="168">
        <v>0</v>
      </c>
      <c r="BD23" s="376">
        <f>IF(W23="VHDELAY Reg",1,0)</f>
        <v>1</v>
      </c>
    </row>
    <row r="24" spans="2:57" ht="15">
      <c r="B24" s="280" t="s">
        <v>1100</v>
      </c>
      <c r="C24" s="254" t="s">
        <v>1230</v>
      </c>
      <c r="D24" s="255" t="s">
        <v>1262</v>
      </c>
      <c r="E24" s="122" t="str">
        <f>DEC2HEX(Y24*2^31+Z24*2^30+AA24*2^29+AB24*2^28+AC24*2^27+AD24*2^26+AE24*2^25+AF24*2^24+AG24*2^23+AH24*2^22+AI24*2^21+AJ24*2^20+AK24*2^19+AL24*2^18+AM24*2^17+AN24*2^16+AO24*2^15+AP24*2^14+AQ24*2^13+AR24*2^12+AS24*2^11+AT24*2^10+AU24*2^9+AV24*2^8+AW24*2^7+AX24*2^6+AY24*2^5+AZ24*2^4+BA24*2^3+BB24*2^2+BC24*2^1+BD24*2^0,8)</f>
        <v>00000004</v>
      </c>
      <c r="F24" s="179"/>
      <c r="G24"/>
      <c r="H24" s="265"/>
      <c r="I24" s="268"/>
      <c r="J24" s="268"/>
      <c r="K24" s="268"/>
      <c r="L24" s="268"/>
      <c r="M24" s="268"/>
      <c r="N24" s="273"/>
      <c r="O24" s="273"/>
      <c r="P24" s="273"/>
      <c r="Q24" s="374" t="s">
        <v>1235</v>
      </c>
      <c r="R24" s="264" t="str">
        <f>IF(S24&gt;8191,"NG",IF(S24&lt;0,"NG","OK"))</f>
        <v>OK</v>
      </c>
      <c r="S24" s="315">
        <v>0</v>
      </c>
      <c r="T24" s="261" t="s">
        <v>1233</v>
      </c>
      <c r="U24" s="282" t="s">
        <v>1234</v>
      </c>
      <c r="V24" s="261" t="s">
        <v>1231</v>
      </c>
      <c r="W24" s="280" t="s">
        <v>1232</v>
      </c>
      <c r="X24" s="376"/>
      <c r="Y24" s="168">
        <v>0</v>
      </c>
      <c r="Z24" s="168">
        <v>0</v>
      </c>
      <c r="AA24" s="168">
        <v>0</v>
      </c>
      <c r="AB24" s="168">
        <v>0</v>
      </c>
      <c r="AC24" s="168">
        <v>0</v>
      </c>
      <c r="AD24" s="168">
        <v>0</v>
      </c>
      <c r="AE24" s="168">
        <v>0</v>
      </c>
      <c r="AF24" s="168">
        <v>0</v>
      </c>
      <c r="AG24" s="168">
        <v>0</v>
      </c>
      <c r="AH24" s="168">
        <v>0</v>
      </c>
      <c r="AI24" s="168">
        <v>0</v>
      </c>
      <c r="AJ24" s="168">
        <v>0</v>
      </c>
      <c r="AK24" s="168">
        <v>0</v>
      </c>
      <c r="AL24" s="168">
        <v>0</v>
      </c>
      <c r="AM24" s="168">
        <v>0</v>
      </c>
      <c r="AN24" s="168">
        <v>0</v>
      </c>
      <c r="AO24" s="168">
        <v>0</v>
      </c>
      <c r="AP24" s="168">
        <v>0</v>
      </c>
      <c r="AQ24" s="168">
        <v>0</v>
      </c>
      <c r="AR24" s="168">
        <v>0</v>
      </c>
      <c r="AS24" s="168">
        <v>0</v>
      </c>
      <c r="AT24" s="168">
        <v>0</v>
      </c>
      <c r="AU24" s="168">
        <v>0</v>
      </c>
      <c r="AV24" s="168">
        <v>0</v>
      </c>
      <c r="AW24" s="168">
        <v>0</v>
      </c>
      <c r="AX24" s="168">
        <v>0</v>
      </c>
      <c r="AY24" s="168">
        <v>0</v>
      </c>
      <c r="AZ24" s="168">
        <v>0</v>
      </c>
      <c r="BA24" s="168">
        <f>S24</f>
        <v>0</v>
      </c>
      <c r="BB24" s="168">
        <v>0</v>
      </c>
      <c r="BC24" s="168">
        <f>IF(U24="VFP",0,IF(U24="Immediate",2,1))</f>
        <v>2</v>
      </c>
      <c r="BD24" s="168">
        <f>IF(W24="Input",0,1)</f>
        <v>0</v>
      </c>
      <c r="BE24" s="376"/>
    </row>
    <row r="25" spans="2:57" ht="15">
      <c r="B25" s="19" t="s">
        <v>75</v>
      </c>
      <c r="C25" s="254" t="s">
        <v>899</v>
      </c>
      <c r="D25" s="255" t="s">
        <v>1034</v>
      </c>
      <c r="E25" s="122" t="str">
        <f t="shared" ref="E25:E32" si="0">DEC2HEX(HEX2DEC(K25),8)</f>
        <v>00010000</v>
      </c>
      <c r="F25" s="179"/>
      <c r="G25"/>
      <c r="H25" s="495" t="s">
        <v>958</v>
      </c>
      <c r="I25" s="496"/>
      <c r="J25" s="497"/>
      <c r="K25" s="283" t="s">
        <v>959</v>
      </c>
      <c r="L25" s="264" t="str">
        <f t="shared" ref="L25:L32" si="1">IF(HEX2DEC(K25)&lt;0,"NG",IF(HEX2DEC(K25)&gt;4294967295,"NG","OK"))</f>
        <v>OK</v>
      </c>
      <c r="M25" s="265"/>
      <c r="N25" s="268"/>
      <c r="O25" s="268"/>
      <c r="P25" s="268"/>
      <c r="Q25" s="268"/>
      <c r="R25" s="268"/>
      <c r="S25" s="268"/>
      <c r="T25" s="268"/>
      <c r="U25" s="268"/>
      <c r="V25" s="268"/>
      <c r="W25" s="266"/>
    </row>
    <row r="26" spans="2:57" ht="15">
      <c r="B26" s="19" t="s">
        <v>75</v>
      </c>
      <c r="C26" s="254" t="s">
        <v>901</v>
      </c>
      <c r="D26" s="255" t="s">
        <v>1035</v>
      </c>
      <c r="E26" s="122" t="str">
        <f t="shared" si="0"/>
        <v>00005000</v>
      </c>
      <c r="F26" s="179"/>
      <c r="G26"/>
      <c r="H26" s="495" t="s">
        <v>1019</v>
      </c>
      <c r="I26" s="496"/>
      <c r="J26" s="497"/>
      <c r="K26" s="283" t="s">
        <v>960</v>
      </c>
      <c r="L26" s="264" t="str">
        <f t="shared" si="1"/>
        <v>OK</v>
      </c>
      <c r="M26" s="265"/>
      <c r="N26" s="268"/>
      <c r="O26" s="268"/>
      <c r="P26" s="268"/>
      <c r="Q26" s="268"/>
      <c r="R26" s="268"/>
      <c r="S26" s="268"/>
      <c r="T26" s="268"/>
      <c r="U26" s="268"/>
      <c r="V26" s="268"/>
      <c r="W26" s="266"/>
      <c r="X26" s="376"/>
      <c r="AH26" s="376"/>
    </row>
    <row r="27" spans="2:57" ht="15">
      <c r="B27" s="19" t="s">
        <v>75</v>
      </c>
      <c r="C27" s="254" t="s">
        <v>903</v>
      </c>
      <c r="D27" s="255" t="s">
        <v>1036</v>
      </c>
      <c r="E27" s="122" t="str">
        <f t="shared" si="0"/>
        <v>00010000</v>
      </c>
      <c r="F27" s="179"/>
      <c r="G27"/>
      <c r="H27" s="495" t="s">
        <v>961</v>
      </c>
      <c r="I27" s="496"/>
      <c r="J27" s="497"/>
      <c r="K27" s="283" t="s">
        <v>959</v>
      </c>
      <c r="L27" s="264" t="str">
        <f t="shared" si="1"/>
        <v>OK</v>
      </c>
      <c r="M27" s="265"/>
      <c r="N27" s="268"/>
      <c r="O27" s="268"/>
      <c r="P27" s="268"/>
      <c r="Q27" s="268"/>
      <c r="R27" s="268"/>
      <c r="S27" s="268"/>
      <c r="T27" s="268"/>
      <c r="U27" s="268"/>
      <c r="V27" s="268"/>
      <c r="W27" s="266"/>
      <c r="X27" s="376"/>
      <c r="AH27" s="376"/>
    </row>
    <row r="28" spans="2:57" ht="15">
      <c r="B28" s="19" t="s">
        <v>75</v>
      </c>
      <c r="C28" s="254" t="s">
        <v>905</v>
      </c>
      <c r="D28" s="255" t="s">
        <v>1037</v>
      </c>
      <c r="E28" s="122" t="str">
        <f t="shared" si="0"/>
        <v>00010000</v>
      </c>
      <c r="F28" s="179"/>
      <c r="G28"/>
      <c r="H28" s="495" t="s">
        <v>962</v>
      </c>
      <c r="I28" s="496"/>
      <c r="J28" s="497"/>
      <c r="K28" s="283" t="s">
        <v>959</v>
      </c>
      <c r="L28" s="264" t="str">
        <f t="shared" si="1"/>
        <v>OK</v>
      </c>
      <c r="M28" s="265"/>
      <c r="N28" s="268"/>
      <c r="O28" s="268"/>
      <c r="P28" s="268"/>
      <c r="Q28" s="268"/>
      <c r="R28" s="268"/>
      <c r="S28" s="268"/>
      <c r="T28" s="268"/>
      <c r="U28" s="268"/>
      <c r="V28" s="268"/>
      <c r="W28" s="266"/>
      <c r="X28" s="376"/>
      <c r="AH28" s="376"/>
    </row>
    <row r="29" spans="2:57" ht="15">
      <c r="B29" s="19" t="s">
        <v>75</v>
      </c>
      <c r="C29" s="254" t="s">
        <v>907</v>
      </c>
      <c r="D29" s="255" t="s">
        <v>1038</v>
      </c>
      <c r="E29" s="122" t="str">
        <f t="shared" si="0"/>
        <v>00010000</v>
      </c>
      <c r="F29" s="179"/>
      <c r="G29"/>
      <c r="H29" s="495" t="s">
        <v>963</v>
      </c>
      <c r="I29" s="496"/>
      <c r="J29" s="497"/>
      <c r="K29" s="283" t="s">
        <v>959</v>
      </c>
      <c r="L29" s="264" t="str">
        <f t="shared" si="1"/>
        <v>OK</v>
      </c>
      <c r="M29" s="265"/>
      <c r="N29" s="268"/>
      <c r="O29" s="268"/>
      <c r="P29" s="268"/>
      <c r="Q29" s="268"/>
      <c r="R29" s="268"/>
      <c r="S29" s="268"/>
      <c r="T29" s="268"/>
      <c r="U29" s="268"/>
      <c r="V29" s="268"/>
      <c r="W29" s="266"/>
      <c r="X29" s="376"/>
      <c r="AH29" s="376"/>
    </row>
    <row r="30" spans="2:57" ht="15">
      <c r="B30" s="19" t="s">
        <v>75</v>
      </c>
      <c r="C30" s="254" t="s">
        <v>909</v>
      </c>
      <c r="D30" s="255" t="s">
        <v>1039</v>
      </c>
      <c r="E30" s="122" t="str">
        <f t="shared" si="0"/>
        <v>00010000</v>
      </c>
      <c r="F30" s="179"/>
      <c r="G30"/>
      <c r="H30" s="495" t="s">
        <v>964</v>
      </c>
      <c r="I30" s="496"/>
      <c r="J30" s="497"/>
      <c r="K30" s="283" t="s">
        <v>959</v>
      </c>
      <c r="L30" s="264" t="str">
        <f t="shared" si="1"/>
        <v>OK</v>
      </c>
      <c r="M30" s="265"/>
      <c r="N30" s="268"/>
      <c r="O30" s="268"/>
      <c r="P30" s="268"/>
      <c r="Q30" s="268"/>
      <c r="R30" s="268"/>
      <c r="S30" s="268"/>
      <c r="T30" s="268"/>
      <c r="U30" s="268"/>
      <c r="V30" s="268"/>
      <c r="W30" s="266"/>
      <c r="X30" s="376"/>
      <c r="AH30" s="376"/>
    </row>
    <row r="31" spans="2:57" ht="15">
      <c r="B31" s="19" t="s">
        <v>75</v>
      </c>
      <c r="C31" s="254" t="s">
        <v>910</v>
      </c>
      <c r="D31" s="255" t="s">
        <v>1040</v>
      </c>
      <c r="E31" s="122" t="str">
        <f t="shared" si="0"/>
        <v>00001000</v>
      </c>
      <c r="F31" s="179"/>
      <c r="G31"/>
      <c r="H31" s="495" t="s">
        <v>965</v>
      </c>
      <c r="I31" s="496"/>
      <c r="J31" s="497"/>
      <c r="K31" s="283" t="s">
        <v>968</v>
      </c>
      <c r="L31" s="264" t="str">
        <f t="shared" si="1"/>
        <v>OK</v>
      </c>
      <c r="M31" s="265"/>
      <c r="N31" s="268"/>
      <c r="O31" s="268"/>
      <c r="P31" s="268"/>
      <c r="Q31" s="268"/>
      <c r="R31" s="268"/>
      <c r="S31" s="268"/>
      <c r="T31" s="268"/>
      <c r="U31" s="268"/>
      <c r="V31" s="268"/>
      <c r="W31" s="266"/>
      <c r="X31" s="376"/>
      <c r="AH31" s="376"/>
    </row>
    <row r="32" spans="2:57" ht="15">
      <c r="B32" s="19" t="s">
        <v>75</v>
      </c>
      <c r="C32" s="254" t="s">
        <v>911</v>
      </c>
      <c r="D32" s="255" t="s">
        <v>1041</v>
      </c>
      <c r="E32" s="122" t="str">
        <f t="shared" si="0"/>
        <v>00010000</v>
      </c>
      <c r="F32" s="179"/>
      <c r="G32"/>
      <c r="H32" s="495" t="s">
        <v>966</v>
      </c>
      <c r="I32" s="496"/>
      <c r="J32" s="497"/>
      <c r="K32" s="283" t="s">
        <v>959</v>
      </c>
      <c r="L32" s="264" t="str">
        <f t="shared" si="1"/>
        <v>OK</v>
      </c>
      <c r="M32" s="265"/>
      <c r="N32" s="268"/>
      <c r="O32" s="268"/>
      <c r="P32" s="268"/>
      <c r="Q32" s="268"/>
      <c r="R32" s="268"/>
      <c r="S32" s="268"/>
      <c r="T32" s="268"/>
      <c r="U32" s="268"/>
      <c r="V32" s="268"/>
      <c r="W32" s="266"/>
      <c r="X32" s="376"/>
      <c r="AH32" s="376"/>
    </row>
    <row r="33" spans="2:57">
      <c r="B33" s="19" t="s">
        <v>75</v>
      </c>
      <c r="C33" s="254" t="s">
        <v>912</v>
      </c>
      <c r="D33" s="255" t="s">
        <v>1042</v>
      </c>
      <c r="E33" s="122" t="str">
        <f>DEC2HEX(Y33*2^31+Z33*2^30+AA33*2^29+AB33*2^28+AC33*2^27+AD33*2^26+AE33*2^25+AF33*2^24+AG33*2^23+AH33*2^22+AI33*2^21+AJ33*2^20+AK33*2^19+AL33*2^18+AM33*2^17+AN33*2^16+AO33*2^15+AP33*2^14+AQ33*2^13+AR33*2^12+AS33*2^11+AT33*2^10+AU33*2^9+AV33*2^8+AW33*2^7+AX33*2^6+AY33*2^5+AZ33*2^4+BA33*2^3+BB33*2^2+BC33*2^1+BD33*2^0,8)</f>
        <v>00000160</v>
      </c>
      <c r="F33" s="179"/>
      <c r="G33"/>
      <c r="H33" s="269"/>
      <c r="I33" s="270"/>
      <c r="J33" s="270"/>
      <c r="K33" s="271"/>
      <c r="L33" s="272" t="s">
        <v>974</v>
      </c>
      <c r="M33" s="284" t="s">
        <v>975</v>
      </c>
      <c r="N33" s="272" t="s">
        <v>973</v>
      </c>
      <c r="O33" s="284" t="s">
        <v>36</v>
      </c>
      <c r="P33" s="257" t="s">
        <v>972</v>
      </c>
      <c r="Q33" s="281" t="s">
        <v>38</v>
      </c>
      <c r="R33" s="257" t="s">
        <v>971</v>
      </c>
      <c r="S33" s="281" t="s">
        <v>38</v>
      </c>
      <c r="T33" s="261" t="s">
        <v>970</v>
      </c>
      <c r="U33" s="262" t="str">
        <f>IF(Main_Parameters!$C$80="Enable","Continuous","Discontinuous")</f>
        <v>Continuous</v>
      </c>
      <c r="V33" s="261" t="s">
        <v>969</v>
      </c>
      <c r="W33" s="262" t="str">
        <f>IF(Main_Parameters!$C$79="Yes","Yes","No")</f>
        <v>No</v>
      </c>
      <c r="X33" s="395"/>
      <c r="Y33" s="396">
        <v>0</v>
      </c>
      <c r="Z33" s="396">
        <v>0</v>
      </c>
      <c r="AA33" s="396">
        <v>0</v>
      </c>
      <c r="AB33" s="396">
        <v>0</v>
      </c>
      <c r="AC33" s="396">
        <v>0</v>
      </c>
      <c r="AD33" s="396">
        <v>0</v>
      </c>
      <c r="AE33" s="396">
        <v>0</v>
      </c>
      <c r="AF33" s="396">
        <v>0</v>
      </c>
      <c r="AG33" s="396">
        <v>0</v>
      </c>
      <c r="AH33" s="395">
        <v>0</v>
      </c>
      <c r="AI33" s="396">
        <v>0</v>
      </c>
      <c r="AJ33" s="396">
        <v>0</v>
      </c>
      <c r="AK33" s="396">
        <v>0</v>
      </c>
      <c r="AL33" s="396">
        <v>0</v>
      </c>
      <c r="AM33" s="396">
        <v>0</v>
      </c>
      <c r="AN33" s="396">
        <v>0</v>
      </c>
      <c r="AO33" s="396">
        <v>0</v>
      </c>
      <c r="AP33" s="396">
        <v>0</v>
      </c>
      <c r="AQ33" s="396">
        <v>0</v>
      </c>
      <c r="AR33" s="396">
        <v>0</v>
      </c>
      <c r="AS33" s="396">
        <v>0</v>
      </c>
      <c r="AT33" s="396">
        <f>IF(M33="Forced to STOP",1,0)</f>
        <v>0</v>
      </c>
      <c r="AU33" s="396">
        <f>IF(O33="Disable",1,0)</f>
        <v>0</v>
      </c>
      <c r="AV33" s="396">
        <f>IF(Q33="Disable",1,0)</f>
        <v>1</v>
      </c>
      <c r="AW33" s="396">
        <v>0</v>
      </c>
      <c r="AX33" s="396">
        <f>IF(S33="Disable",1,0)</f>
        <v>1</v>
      </c>
      <c r="AY33" s="396">
        <f>IF(U33="Continuous",1,0)</f>
        <v>1</v>
      </c>
      <c r="AZ33" s="396">
        <v>0</v>
      </c>
      <c r="BA33" s="396">
        <v>0</v>
      </c>
      <c r="BB33" s="396">
        <v>0</v>
      </c>
      <c r="BC33" s="396">
        <v>0</v>
      </c>
      <c r="BD33" s="396">
        <f>IF(W33="Yes",1,0)</f>
        <v>0</v>
      </c>
    </row>
    <row r="34" spans="2:57">
      <c r="B34" s="19" t="s">
        <v>75</v>
      </c>
      <c r="C34" s="254" t="s">
        <v>913</v>
      </c>
      <c r="D34" s="255" t="s">
        <v>1043</v>
      </c>
      <c r="E34" s="122" t="str">
        <f>DEC2HEX(Y34*2^31+Z34*2^30+AA34*2^29+AB34*2^28+AC34*2^27+AD34*2^26+AE34*2^25+AF34*2^24+AG34*2^23+AH34*2^22+AI34*2^21+AJ34*2^20+AK34*2^19+AL34*2^18+AM34*2^17+AN34*2^16+AO34*2^15+AP34*2^14+AQ34*2^13+AR34*2^12+AS34*2^11+AT34*2^10+AU34*2^9+AV34*2^8+AW34*2^7+AX34*2^6+AY34*2^5+AZ34*2^4+BA34*2^3+BB34*2^2+BC34*2^1+BD34*2^0,8)</f>
        <v>00000001</v>
      </c>
      <c r="F34" s="179"/>
      <c r="G34"/>
      <c r="H34" s="265"/>
      <c r="I34" s="268"/>
      <c r="J34" s="268"/>
      <c r="K34" s="268"/>
      <c r="L34" s="268"/>
      <c r="M34" s="268"/>
      <c r="N34" s="268"/>
      <c r="O34" s="266"/>
      <c r="P34" s="258" t="s">
        <v>979</v>
      </c>
      <c r="Q34" s="280" t="s">
        <v>38</v>
      </c>
      <c r="R34" s="258" t="s">
        <v>978</v>
      </c>
      <c r="S34" s="280" t="s">
        <v>38</v>
      </c>
      <c r="T34" s="258" t="s">
        <v>977</v>
      </c>
      <c r="U34" s="280" t="s">
        <v>38</v>
      </c>
      <c r="V34" s="258" t="s">
        <v>976</v>
      </c>
      <c r="W34" s="280" t="s">
        <v>36</v>
      </c>
      <c r="X34" s="395"/>
      <c r="Y34" s="396">
        <v>0</v>
      </c>
      <c r="Z34" s="396">
        <v>0</v>
      </c>
      <c r="AA34" s="396">
        <v>0</v>
      </c>
      <c r="AB34" s="396">
        <v>0</v>
      </c>
      <c r="AC34" s="396">
        <v>0</v>
      </c>
      <c r="AD34" s="396">
        <v>0</v>
      </c>
      <c r="AE34" s="396">
        <v>0</v>
      </c>
      <c r="AF34" s="396">
        <v>0</v>
      </c>
      <c r="AG34" s="396">
        <v>0</v>
      </c>
      <c r="AH34" s="395">
        <v>0</v>
      </c>
      <c r="AI34" s="396">
        <v>0</v>
      </c>
      <c r="AJ34" s="396">
        <v>0</v>
      </c>
      <c r="AK34" s="396">
        <v>0</v>
      </c>
      <c r="AL34" s="396">
        <v>0</v>
      </c>
      <c r="AM34" s="396">
        <v>0</v>
      </c>
      <c r="AN34" s="396">
        <v>0</v>
      </c>
      <c r="AO34" s="396">
        <v>0</v>
      </c>
      <c r="AP34" s="396">
        <v>0</v>
      </c>
      <c r="AQ34" s="396">
        <v>0</v>
      </c>
      <c r="AR34" s="396">
        <v>0</v>
      </c>
      <c r="AS34" s="396">
        <v>0</v>
      </c>
      <c r="AT34" s="396">
        <v>0</v>
      </c>
      <c r="AU34" s="396">
        <v>0</v>
      </c>
      <c r="AV34" s="396">
        <v>0</v>
      </c>
      <c r="AW34" s="396">
        <v>0</v>
      </c>
      <c r="AX34" s="396">
        <v>0</v>
      </c>
      <c r="AY34" s="396">
        <v>0</v>
      </c>
      <c r="AZ34" s="396">
        <v>0</v>
      </c>
      <c r="BA34" s="396">
        <f>IF(Q34="Enable",1,0)</f>
        <v>0</v>
      </c>
      <c r="BB34" s="396">
        <f>IF(S34="Enable",1,0)</f>
        <v>0</v>
      </c>
      <c r="BC34" s="396">
        <f>IF(U34="Enable",1,0)</f>
        <v>0</v>
      </c>
      <c r="BD34" s="396">
        <f>IF(W34="Enable",1,0)</f>
        <v>1</v>
      </c>
    </row>
    <row r="35" spans="2:57" ht="15">
      <c r="B35" s="19" t="s">
        <v>75</v>
      </c>
      <c r="C35" s="254" t="s">
        <v>915</v>
      </c>
      <c r="D35" s="255" t="s">
        <v>1044</v>
      </c>
      <c r="E35" s="122" t="str">
        <f>DEC2HEX(HEX2DEC(K35),8)</f>
        <v>000000C8</v>
      </c>
      <c r="F35" s="179"/>
      <c r="G35"/>
      <c r="H35" s="495" t="s">
        <v>980</v>
      </c>
      <c r="I35" s="496"/>
      <c r="J35" s="497"/>
      <c r="K35" s="283" t="s">
        <v>981</v>
      </c>
      <c r="L35" s="264" t="str">
        <f>IF(HEX2DEC(K35)&lt;0,"NG",IF(HEX2DEC(K35)&gt;4294967295,"NG","OK"))</f>
        <v>OK</v>
      </c>
      <c r="M35" s="265"/>
      <c r="N35" s="268"/>
      <c r="O35" s="268"/>
      <c r="P35" s="268"/>
      <c r="Q35" s="268"/>
      <c r="R35" s="268"/>
      <c r="S35" s="268"/>
      <c r="T35" s="268"/>
      <c r="U35" s="268"/>
      <c r="V35" s="268"/>
      <c r="W35" s="266"/>
      <c r="X35" s="376"/>
      <c r="AH35" s="376"/>
    </row>
    <row r="36" spans="2:57">
      <c r="B36" s="280" t="s">
        <v>1100</v>
      </c>
      <c r="C36" s="254" t="s">
        <v>1257</v>
      </c>
      <c r="D36" s="255" t="s">
        <v>1263</v>
      </c>
      <c r="E36" s="122" t="str">
        <f>DEC2HEX(Y36*2^31+Z36*2^30+AA36*2^29+AB36*2^28+AC36*2^27+AD36*2^26+AE36*2^25+AF36*2^24+AG36*2^23+AH36*2^22+AI36*2^21+AJ36*2^20+AK36*2^19+AL36*2^18+AM36*2^17+AN36*2^16+AO36*2^15+AP36*2^14+AQ36*2^13+AR36*2^12+AS36*2^11+AT36*2^10+AU36*2^9+AV36*2^8+AW36*2^7+AX36*2^6+AY36*2^5+AZ36*2^4+BA36*2^3+BB36*2^2+BC36*2^1+BD36*2^0,8)</f>
        <v>00000015</v>
      </c>
      <c r="F36" s="179"/>
      <c r="G36"/>
      <c r="H36" s="265"/>
      <c r="I36" s="268"/>
      <c r="J36" s="268"/>
      <c r="K36" s="268"/>
      <c r="L36" s="268"/>
      <c r="M36" s="268"/>
      <c r="N36" s="259"/>
      <c r="O36" s="259"/>
      <c r="P36" s="273"/>
      <c r="Q36" s="260"/>
      <c r="R36" s="305" t="s">
        <v>1260</v>
      </c>
      <c r="S36" s="280" t="s">
        <v>1261</v>
      </c>
      <c r="T36" s="304" t="s">
        <v>1259</v>
      </c>
      <c r="U36" s="280" t="s">
        <v>1261</v>
      </c>
      <c r="V36" s="304" t="s">
        <v>1258</v>
      </c>
      <c r="W36" s="280" t="s">
        <v>1261</v>
      </c>
      <c r="X36" s="376"/>
      <c r="Y36" s="168">
        <v>0</v>
      </c>
      <c r="Z36" s="168">
        <v>0</v>
      </c>
      <c r="AA36" s="168">
        <v>0</v>
      </c>
      <c r="AB36" s="168">
        <v>0</v>
      </c>
      <c r="AC36" s="168">
        <v>0</v>
      </c>
      <c r="AD36" s="168">
        <v>0</v>
      </c>
      <c r="AE36" s="168">
        <v>0</v>
      </c>
      <c r="AF36" s="168">
        <v>0</v>
      </c>
      <c r="AG36" s="168">
        <v>0</v>
      </c>
      <c r="AH36" s="168">
        <v>0</v>
      </c>
      <c r="AI36" s="168">
        <v>0</v>
      </c>
      <c r="AJ36" s="168">
        <v>0</v>
      </c>
      <c r="AK36" s="168">
        <v>0</v>
      </c>
      <c r="AL36" s="168">
        <v>0</v>
      </c>
      <c r="AM36" s="168">
        <v>0</v>
      </c>
      <c r="AN36" s="168">
        <v>0</v>
      </c>
      <c r="AO36" s="168">
        <v>0</v>
      </c>
      <c r="AP36" s="168">
        <v>0</v>
      </c>
      <c r="AQ36" s="168">
        <v>0</v>
      </c>
      <c r="AR36" s="168">
        <v>0</v>
      </c>
      <c r="AS36" s="168">
        <v>0</v>
      </c>
      <c r="AT36" s="168">
        <v>0</v>
      </c>
      <c r="AU36" s="168">
        <v>0</v>
      </c>
      <c r="AV36" s="168">
        <v>0</v>
      </c>
      <c r="AW36" s="168">
        <v>0</v>
      </c>
      <c r="AX36" s="168">
        <v>0</v>
      </c>
      <c r="AY36" s="168">
        <v>0</v>
      </c>
      <c r="AZ36" s="168">
        <f>IF(S36="Mask",1,0)</f>
        <v>1</v>
      </c>
      <c r="BA36" s="168">
        <v>0</v>
      </c>
      <c r="BB36" s="168">
        <f>IF(U36="Mask",1,0)</f>
        <v>1</v>
      </c>
      <c r="BC36" s="168">
        <v>0</v>
      </c>
      <c r="BD36" s="168">
        <f>IF(W36="Mask",1,0)</f>
        <v>1</v>
      </c>
      <c r="BE36" s="376"/>
    </row>
    <row r="37" spans="2:57" ht="15">
      <c r="B37" s="19" t="s">
        <v>75</v>
      </c>
      <c r="C37" s="254" t="s">
        <v>917</v>
      </c>
      <c r="D37" s="255" t="s">
        <v>1045</v>
      </c>
      <c r="E37" s="122" t="str">
        <f>DEC2HEX(HEX2DEC(K37),8)</f>
        <v>0000002A</v>
      </c>
      <c r="F37" s="179"/>
      <c r="G37"/>
      <c r="H37" s="495" t="s">
        <v>982</v>
      </c>
      <c r="I37" s="496"/>
      <c r="J37" s="497"/>
      <c r="K37" s="283" t="s">
        <v>1271</v>
      </c>
      <c r="L37" s="264" t="str">
        <f>IF(HEX2DEC(K37)&lt;0,"NG",IF(HEX2DEC(K37)&gt;65535,"NG","OK"))</f>
        <v>OK</v>
      </c>
      <c r="M37" s="265"/>
      <c r="N37" s="268"/>
      <c r="O37" s="268"/>
      <c r="P37" s="268"/>
      <c r="Q37" s="268"/>
      <c r="R37" s="268"/>
      <c r="S37" s="268"/>
      <c r="T37" s="268"/>
      <c r="U37" s="268"/>
      <c r="V37" s="268"/>
      <c r="W37" s="266"/>
      <c r="X37" s="376"/>
      <c r="AH37" s="376"/>
    </row>
    <row r="38" spans="2:57">
      <c r="B38" s="19" t="s">
        <v>75</v>
      </c>
      <c r="C38" s="254" t="s">
        <v>919</v>
      </c>
      <c r="D38" s="255" t="s">
        <v>1023</v>
      </c>
      <c r="E38" s="122" t="str">
        <f>Main_Parameters!$C$155</f>
        <v>00000477</v>
      </c>
      <c r="F38" s="179"/>
      <c r="G38"/>
      <c r="H38"/>
      <c r="I38"/>
      <c r="J38"/>
      <c r="K38"/>
      <c r="L38"/>
      <c r="M38"/>
      <c r="N38"/>
      <c r="O38"/>
      <c r="P38"/>
      <c r="Q38"/>
      <c r="R38"/>
      <c r="S38"/>
      <c r="T38"/>
      <c r="U38"/>
      <c r="V38"/>
      <c r="W38"/>
      <c r="X38" s="376"/>
      <c r="AH38" s="376"/>
    </row>
    <row r="39" spans="2:57">
      <c r="B39" s="280" t="s">
        <v>1100</v>
      </c>
      <c r="C39" s="254" t="s">
        <v>921</v>
      </c>
      <c r="D39" s="255" t="s">
        <v>1046</v>
      </c>
      <c r="E39" s="122" t="str">
        <f>DEC2HEX(Y39*2^31+Z39*2^30+AA39*2^29+AB39*2^28+AC39*2^27+AD39*2^26+AE39*2^25+AF39*2^24+AG39*2^23+AH39*2^22+AI39*2^21+AJ39*2^20+AK39*2^19+AL39*2^18+AM39*2^17+AN39*2^16+AO39*2^15+AP39*2^14+AQ39*2^13+AR39*2^12+AS39*2^11+AT39*2^10+AU39*2^9+AV39*2^8+AW39*2^7+AX39*2^6+AY39*2^5+AZ39*2^4+BA39*2^3+BB39*2^2+BC39*2^1+BD39*2^0,8)</f>
        <v>00000001</v>
      </c>
      <c r="F39" s="179"/>
      <c r="G39"/>
      <c r="H39" s="269"/>
      <c r="I39" s="270"/>
      <c r="J39" s="270"/>
      <c r="K39" s="270"/>
      <c r="L39" s="270"/>
      <c r="M39" s="270"/>
      <c r="N39" s="270"/>
      <c r="O39" s="270"/>
      <c r="P39" s="273"/>
      <c r="Q39" s="273"/>
      <c r="R39" s="274"/>
      <c r="S39" s="275"/>
      <c r="T39" s="275" t="s">
        <v>985</v>
      </c>
      <c r="U39" s="284">
        <v>0</v>
      </c>
      <c r="V39" s="261" t="s">
        <v>984</v>
      </c>
      <c r="W39" s="280" t="s">
        <v>983</v>
      </c>
      <c r="X39" s="395"/>
      <c r="Y39" s="396">
        <v>0</v>
      </c>
      <c r="Z39" s="396">
        <v>0</v>
      </c>
      <c r="AA39" s="396">
        <v>0</v>
      </c>
      <c r="AB39" s="396">
        <v>0</v>
      </c>
      <c r="AC39" s="396">
        <v>0</v>
      </c>
      <c r="AD39" s="396">
        <v>0</v>
      </c>
      <c r="AE39" s="396">
        <v>0</v>
      </c>
      <c r="AF39" s="396">
        <v>0</v>
      </c>
      <c r="AG39" s="396">
        <v>0</v>
      </c>
      <c r="AH39" s="396">
        <v>0</v>
      </c>
      <c r="AI39" s="396">
        <v>0</v>
      </c>
      <c r="AJ39" s="396">
        <v>0</v>
      </c>
      <c r="AK39" s="396">
        <v>0</v>
      </c>
      <c r="AL39" s="396">
        <v>0</v>
      </c>
      <c r="AM39" s="396">
        <v>0</v>
      </c>
      <c r="AN39" s="396">
        <v>0</v>
      </c>
      <c r="AO39" s="396">
        <v>0</v>
      </c>
      <c r="AP39" s="396">
        <v>0</v>
      </c>
      <c r="AQ39" s="396">
        <v>0</v>
      </c>
      <c r="AR39" s="396">
        <v>0</v>
      </c>
      <c r="AS39" s="396">
        <v>0</v>
      </c>
      <c r="AT39" s="396">
        <v>0</v>
      </c>
      <c r="AU39" s="396">
        <v>0</v>
      </c>
      <c r="AV39" s="396">
        <v>0</v>
      </c>
      <c r="AW39" s="396">
        <v>0</v>
      </c>
      <c r="AX39" s="396">
        <v>0</v>
      </c>
      <c r="AY39" s="396">
        <v>0</v>
      </c>
      <c r="AZ39" s="396">
        <v>0</v>
      </c>
      <c r="BA39" s="396">
        <v>0</v>
      </c>
      <c r="BB39" s="396">
        <v>0</v>
      </c>
      <c r="BC39" s="396">
        <f>U39</f>
        <v>0</v>
      </c>
      <c r="BD39" s="396">
        <f>IF(W39="By Reg",1,0)</f>
        <v>1</v>
      </c>
    </row>
    <row r="40" spans="2:57">
      <c r="B40" s="19" t="s">
        <v>75</v>
      </c>
      <c r="C40" s="254" t="s">
        <v>923</v>
      </c>
      <c r="D40" s="255" t="s">
        <v>1047</v>
      </c>
      <c r="E40" s="122" t="str">
        <f>Main_Parameters!$C$156</f>
        <v>00000081</v>
      </c>
      <c r="F40" s="179"/>
      <c r="G40"/>
      <c r="H40"/>
      <c r="I40"/>
      <c r="J40"/>
      <c r="K40"/>
      <c r="L40"/>
      <c r="M40"/>
      <c r="N40"/>
      <c r="O40"/>
      <c r="P40"/>
      <c r="Q40"/>
      <c r="R40"/>
      <c r="S40"/>
      <c r="T40"/>
      <c r="U40"/>
      <c r="V40"/>
      <c r="W40"/>
      <c r="X40" s="376"/>
      <c r="Y40" s="376"/>
      <c r="Z40" s="376"/>
      <c r="AA40" s="376"/>
      <c r="AB40" s="376"/>
      <c r="AC40" s="376"/>
      <c r="AD40" s="376"/>
      <c r="AE40" s="376"/>
      <c r="AF40" s="376"/>
      <c r="AG40" s="376"/>
      <c r="AH40" s="376"/>
      <c r="AI40" s="376"/>
      <c r="AJ40" s="376"/>
      <c r="AK40" s="376"/>
      <c r="AL40" s="376"/>
      <c r="AM40" s="376"/>
      <c r="AN40" s="376"/>
      <c r="AO40" s="376"/>
      <c r="AP40" s="376"/>
      <c r="AQ40" s="376"/>
      <c r="AR40" s="376"/>
      <c r="AS40" s="376"/>
      <c r="AT40" s="376"/>
      <c r="AU40" s="376"/>
      <c r="AV40" s="376"/>
      <c r="AW40" s="376"/>
      <c r="AX40" s="376"/>
      <c r="AY40" s="376"/>
      <c r="AZ40" s="376"/>
      <c r="BA40" s="376"/>
      <c r="BB40" s="376"/>
      <c r="BC40" s="376"/>
      <c r="BD40" s="376"/>
    </row>
    <row r="41" spans="2:57">
      <c r="B41" s="19" t="s">
        <v>75</v>
      </c>
      <c r="C41" s="254" t="s">
        <v>925</v>
      </c>
      <c r="D41" s="255" t="s">
        <v>1048</v>
      </c>
      <c r="E41" s="122" t="str">
        <f>Main_Parameters!$C$157</f>
        <v>00000001</v>
      </c>
      <c r="F41" s="179"/>
      <c r="G41"/>
      <c r="H41"/>
      <c r="I41"/>
      <c r="J41"/>
      <c r="K41"/>
      <c r="L41"/>
      <c r="M41"/>
      <c r="N41"/>
      <c r="O41"/>
      <c r="P41"/>
      <c r="Q41"/>
      <c r="R41"/>
      <c r="S41"/>
      <c r="T41"/>
      <c r="U41"/>
      <c r="V41"/>
      <c r="W41"/>
      <c r="X41" s="376"/>
      <c r="AH41" s="376"/>
    </row>
    <row r="42" spans="2:57">
      <c r="B42" s="19" t="s">
        <v>75</v>
      </c>
      <c r="C42" s="254" t="s">
        <v>746</v>
      </c>
      <c r="D42" s="255" t="s">
        <v>1049</v>
      </c>
      <c r="E42" s="122" t="str">
        <f>Main_Parameters!$C$158</f>
        <v>00000104</v>
      </c>
      <c r="F42" s="179"/>
      <c r="G42"/>
      <c r="H42"/>
      <c r="I42"/>
      <c r="J42"/>
      <c r="K42"/>
      <c r="L42"/>
      <c r="M42"/>
      <c r="N42"/>
      <c r="O42"/>
      <c r="P42"/>
      <c r="Q42"/>
      <c r="R42"/>
      <c r="S42"/>
      <c r="T42"/>
      <c r="U42"/>
      <c r="V42"/>
      <c r="W42"/>
      <c r="X42" s="376"/>
      <c r="AH42" s="376"/>
    </row>
    <row r="43" spans="2:57">
      <c r="B43" s="280" t="s">
        <v>1237</v>
      </c>
      <c r="C43" s="254" t="s">
        <v>929</v>
      </c>
      <c r="D43" s="255" t="s">
        <v>1050</v>
      </c>
      <c r="E43" s="122" t="str">
        <f>DEC2HEX(Y43*2^31+Z43*2^30+AA43*2^29+AB43*2^28+AC43*2^27+AD43*2^26+AE43*2^25+AF43*2^24+AG43*2^23+AH43*2^22+AI43*2^21+AJ43*2^20+AK43*2^19+AL43*2^18+AM43*2^17+AN43*2^16+AO43*2^15+AP43*2^14+AQ43*2^13+AR43*2^12+AS43*2^11+AT43*2^10+AU43*2^9+AV43*2^8+AW43*2^7+AX43*2^6+AY43*2^5+AZ43*2^4+BA43*2^3+BB43*2^2+BC43*2^1+BD43*2^0,8)</f>
        <v>00000000</v>
      </c>
      <c r="F43" s="179"/>
      <c r="G43"/>
      <c r="H43" s="269"/>
      <c r="I43" s="270"/>
      <c r="J43" s="270"/>
      <c r="K43" s="270"/>
      <c r="L43" s="270"/>
      <c r="M43" s="271"/>
      <c r="N43" s="275" t="s">
        <v>990</v>
      </c>
      <c r="O43" s="284" t="s">
        <v>991</v>
      </c>
      <c r="P43" s="258" t="s">
        <v>989</v>
      </c>
      <c r="Q43" s="281" t="s">
        <v>991</v>
      </c>
      <c r="R43" s="257" t="s">
        <v>988</v>
      </c>
      <c r="S43" s="281" t="s">
        <v>991</v>
      </c>
      <c r="T43" s="261" t="s">
        <v>987</v>
      </c>
      <c r="U43" s="281" t="s">
        <v>991</v>
      </c>
      <c r="V43" s="261" t="s">
        <v>986</v>
      </c>
      <c r="W43" s="280" t="s">
        <v>991</v>
      </c>
      <c r="X43" s="395"/>
      <c r="Y43" s="396">
        <v>0</v>
      </c>
      <c r="Z43" s="396">
        <v>0</v>
      </c>
      <c r="AA43" s="396">
        <v>0</v>
      </c>
      <c r="AB43" s="396">
        <v>0</v>
      </c>
      <c r="AC43" s="396">
        <v>0</v>
      </c>
      <c r="AD43" s="396">
        <v>0</v>
      </c>
      <c r="AE43" s="396">
        <v>0</v>
      </c>
      <c r="AF43" s="396">
        <v>0</v>
      </c>
      <c r="AG43" s="396">
        <v>0</v>
      </c>
      <c r="AH43" s="396">
        <v>0</v>
      </c>
      <c r="AI43" s="396">
        <v>0</v>
      </c>
      <c r="AJ43" s="396">
        <v>0</v>
      </c>
      <c r="AK43" s="396">
        <v>0</v>
      </c>
      <c r="AL43" s="396">
        <v>0</v>
      </c>
      <c r="AM43" s="396">
        <v>0</v>
      </c>
      <c r="AN43" s="396">
        <v>0</v>
      </c>
      <c r="AO43" s="396">
        <v>0</v>
      </c>
      <c r="AP43" s="396">
        <v>0</v>
      </c>
      <c r="AQ43" s="396">
        <v>0</v>
      </c>
      <c r="AR43" s="396">
        <v>0</v>
      </c>
      <c r="AS43" s="396">
        <v>0</v>
      </c>
      <c r="AT43" s="396">
        <v>0</v>
      </c>
      <c r="AU43" s="396">
        <v>0</v>
      </c>
      <c r="AV43" s="396">
        <v>0</v>
      </c>
      <c r="AW43" s="396">
        <v>0</v>
      </c>
      <c r="AX43" s="396">
        <v>0</v>
      </c>
      <c r="AY43" s="396">
        <v>0</v>
      </c>
      <c r="AZ43" s="396">
        <f>IF(O43="Mask",1,0)</f>
        <v>0</v>
      </c>
      <c r="BA43" s="396">
        <f>IF(Q43="Mask",1,0)</f>
        <v>0</v>
      </c>
      <c r="BB43" s="396">
        <f>IF(S43="Mask",1,0)</f>
        <v>0</v>
      </c>
      <c r="BC43" s="396">
        <f>IF(U43="Mask",1,0)</f>
        <v>0</v>
      </c>
      <c r="BD43" s="396">
        <f>IF(W43="Mask",1,0)</f>
        <v>0</v>
      </c>
    </row>
    <row r="44" spans="2:57">
      <c r="B44" s="280" t="s">
        <v>1100</v>
      </c>
      <c r="C44" s="254" t="s">
        <v>931</v>
      </c>
      <c r="D44" s="255" t="s">
        <v>1051</v>
      </c>
      <c r="E44" s="122" t="str">
        <f>DEC2HEX(Y44*2^31+Z44*2^30+AA44*2^29+AB44*2^28+AC44*2^27+AD44*2^26+AE44*2^25+AF44*2^24+AG44*2^23+AH44*2^22+AI44*2^21+AJ44*2^20+AK44*2^19+AL44*2^18+AM44*2^17+AN44*2^16+AO44*2^15+AP44*2^14+AQ44*2^13+AR44*2^12+AS44*2^11+AT44*2^10+AU44*2^9+AV44*2^8+AW44*2^7+AX44*2^6+AY44*2^5+AZ44*2^4+BA44*2^3+BB44*2^2+BC44*2^1+BD44*2^0,8)</f>
        <v>00000000</v>
      </c>
      <c r="F44" s="179"/>
      <c r="G44"/>
      <c r="H44" s="265"/>
      <c r="I44" s="268"/>
      <c r="J44" s="268"/>
      <c r="K44" s="268"/>
      <c r="L44" s="268"/>
      <c r="M44" s="268"/>
      <c r="N44" s="273"/>
      <c r="O44" s="261"/>
      <c r="P44" s="266" t="s">
        <v>995</v>
      </c>
      <c r="Q44" s="281" t="s">
        <v>991</v>
      </c>
      <c r="R44" s="266" t="s">
        <v>994</v>
      </c>
      <c r="S44" s="281" t="s">
        <v>991</v>
      </c>
      <c r="T44" s="266" t="s">
        <v>993</v>
      </c>
      <c r="U44" s="281" t="s">
        <v>991</v>
      </c>
      <c r="V44" s="266" t="s">
        <v>992</v>
      </c>
      <c r="W44" s="280" t="s">
        <v>991</v>
      </c>
      <c r="X44" s="395"/>
      <c r="Y44" s="396">
        <v>0</v>
      </c>
      <c r="Z44" s="396">
        <v>0</v>
      </c>
      <c r="AA44" s="396">
        <v>0</v>
      </c>
      <c r="AB44" s="396">
        <v>0</v>
      </c>
      <c r="AC44" s="396">
        <v>0</v>
      </c>
      <c r="AD44" s="396">
        <v>0</v>
      </c>
      <c r="AE44" s="396">
        <v>0</v>
      </c>
      <c r="AF44" s="396">
        <v>0</v>
      </c>
      <c r="AG44" s="396">
        <v>0</v>
      </c>
      <c r="AH44" s="396">
        <v>0</v>
      </c>
      <c r="AI44" s="396">
        <v>0</v>
      </c>
      <c r="AJ44" s="396">
        <v>0</v>
      </c>
      <c r="AK44" s="396">
        <v>0</v>
      </c>
      <c r="AL44" s="396">
        <v>0</v>
      </c>
      <c r="AM44" s="396">
        <v>0</v>
      </c>
      <c r="AN44" s="396">
        <v>0</v>
      </c>
      <c r="AO44" s="396">
        <v>0</v>
      </c>
      <c r="AP44" s="396">
        <v>0</v>
      </c>
      <c r="AQ44" s="396">
        <v>0</v>
      </c>
      <c r="AR44" s="396">
        <v>0</v>
      </c>
      <c r="AS44" s="396">
        <v>0</v>
      </c>
      <c r="AT44" s="396">
        <v>0</v>
      </c>
      <c r="AU44" s="396">
        <v>0</v>
      </c>
      <c r="AV44" s="396">
        <v>0</v>
      </c>
      <c r="AW44" s="396">
        <v>0</v>
      </c>
      <c r="AX44" s="396">
        <v>0</v>
      </c>
      <c r="AY44" s="396">
        <v>0</v>
      </c>
      <c r="AZ44" s="396">
        <v>0</v>
      </c>
      <c r="BA44" s="396">
        <f>IF(Q44="Mask",1,0)</f>
        <v>0</v>
      </c>
      <c r="BB44" s="396">
        <f>IF(S44="Mask",1,0)</f>
        <v>0</v>
      </c>
      <c r="BC44" s="396">
        <f>IF(U44="Mask",1,0)</f>
        <v>0</v>
      </c>
      <c r="BD44" s="396">
        <f>IF(W44="Mask",1,0)</f>
        <v>0</v>
      </c>
    </row>
    <row r="45" spans="2:57" ht="15">
      <c r="B45" s="280" t="s">
        <v>1237</v>
      </c>
      <c r="C45" s="254" t="s">
        <v>933</v>
      </c>
      <c r="D45" s="255" t="s">
        <v>1052</v>
      </c>
      <c r="E45" s="122" t="str">
        <f>DEC2HEX(HEX2DEC(K45),8)</f>
        <v>00000015</v>
      </c>
      <c r="F45" s="179"/>
      <c r="G45"/>
      <c r="H45" s="495" t="s">
        <v>996</v>
      </c>
      <c r="I45" s="496"/>
      <c r="J45" s="497"/>
      <c r="K45" s="283" t="s">
        <v>1273</v>
      </c>
      <c r="L45" s="264" t="str">
        <f>IF(HEX2DEC(K45)&lt;0,"NG",IF(HEX2DEC(K45)&gt;31,"NG","OK"))</f>
        <v>OK</v>
      </c>
      <c r="M45" s="265"/>
      <c r="N45" s="268"/>
      <c r="O45" s="268"/>
      <c r="P45" s="268"/>
      <c r="Q45" s="268"/>
      <c r="R45" s="268"/>
      <c r="S45" s="268"/>
      <c r="T45" s="268"/>
      <c r="U45" s="268"/>
      <c r="V45" s="268"/>
      <c r="W45" s="266"/>
      <c r="X45" s="376"/>
      <c r="AH45" s="376"/>
    </row>
    <row r="46" spans="2:57">
      <c r="B46" s="280" t="s">
        <v>1100</v>
      </c>
      <c r="C46" s="254" t="s">
        <v>1265</v>
      </c>
      <c r="D46" s="255" t="s">
        <v>1268</v>
      </c>
      <c r="E46" s="122" t="str">
        <f>DEC2HEX(Y46*2^31+Z46*2^30+AA46*2^29+AB46*2^28+AC46*2^27+AD46*2^26+AE46*2^25+AF46*2^24+AG46*2^23+AH46*2^22+AI46*2^21+AJ46*2^20+AK46*2^19+AL46*2^18+AM46*2^17+AN46*2^16+AO46*2^15+AP46*2^14+AQ46*2^13+AR46*2^12+AS46*2^11+AT46*2^10+AU46*2^9+AV46*2^8+AW46*2^7+AX46*2^6+AY46*2^5+AZ46*2^4+BA46*2^3+BB46*2^2+BC46*2^1+BD46*2^0,8)</f>
        <v>00000000</v>
      </c>
      <c r="F46" s="179"/>
      <c r="G46"/>
      <c r="H46" s="265"/>
      <c r="I46" s="268"/>
      <c r="J46" s="268"/>
      <c r="K46" s="268"/>
      <c r="L46" s="268"/>
      <c r="M46" s="268"/>
      <c r="N46" s="273"/>
      <c r="O46" s="261"/>
      <c r="P46" s="266" t="s">
        <v>1267</v>
      </c>
      <c r="Q46" s="281" t="s">
        <v>991</v>
      </c>
      <c r="R46" s="265"/>
      <c r="S46" s="266"/>
      <c r="T46" s="266" t="s">
        <v>1266</v>
      </c>
      <c r="U46" s="281" t="s">
        <v>991</v>
      </c>
      <c r="V46" s="265"/>
      <c r="W46" s="266"/>
      <c r="X46" s="395"/>
      <c r="Y46" s="396">
        <v>0</v>
      </c>
      <c r="Z46" s="396">
        <v>0</v>
      </c>
      <c r="AA46" s="396">
        <v>0</v>
      </c>
      <c r="AB46" s="396">
        <v>0</v>
      </c>
      <c r="AC46" s="396">
        <v>0</v>
      </c>
      <c r="AD46" s="396">
        <v>0</v>
      </c>
      <c r="AE46" s="396">
        <v>0</v>
      </c>
      <c r="AF46" s="396">
        <v>0</v>
      </c>
      <c r="AG46" s="396">
        <v>0</v>
      </c>
      <c r="AH46" s="396">
        <v>0</v>
      </c>
      <c r="AI46" s="396">
        <v>0</v>
      </c>
      <c r="AJ46" s="396">
        <v>0</v>
      </c>
      <c r="AK46" s="396">
        <v>0</v>
      </c>
      <c r="AL46" s="396">
        <v>0</v>
      </c>
      <c r="AM46" s="396">
        <v>0</v>
      </c>
      <c r="AN46" s="396">
        <v>0</v>
      </c>
      <c r="AO46" s="396">
        <v>0</v>
      </c>
      <c r="AP46" s="396">
        <v>0</v>
      </c>
      <c r="AQ46" s="396">
        <v>0</v>
      </c>
      <c r="AR46" s="396">
        <v>0</v>
      </c>
      <c r="AS46" s="396">
        <v>0</v>
      </c>
      <c r="AT46" s="396">
        <v>0</v>
      </c>
      <c r="AU46" s="396">
        <v>0</v>
      </c>
      <c r="AV46" s="396">
        <v>0</v>
      </c>
      <c r="AW46" s="396">
        <v>0</v>
      </c>
      <c r="AX46" s="396">
        <v>0</v>
      </c>
      <c r="AY46" s="396">
        <v>0</v>
      </c>
      <c r="AZ46" s="396">
        <v>0</v>
      </c>
      <c r="BA46" s="396">
        <f>IF(Q46="Mask",1,0)</f>
        <v>0</v>
      </c>
      <c r="BB46" s="396">
        <v>0</v>
      </c>
      <c r="BC46" s="396">
        <f>IF(U46="Mask",1,0)</f>
        <v>0</v>
      </c>
      <c r="BD46" s="396">
        <v>0</v>
      </c>
    </row>
    <row r="47" spans="2:57" ht="15" customHeight="1">
      <c r="B47" s="280" t="s">
        <v>1237</v>
      </c>
      <c r="C47" s="254" t="s">
        <v>935</v>
      </c>
      <c r="D47" s="255" t="s">
        <v>1053</v>
      </c>
      <c r="E47" s="122" t="str">
        <f>DEC2HEX(Y47*2^31+Z47*2^30+AA47*2^29+AB47*2^28+AC47*2^27+AD47*2^26+AE47*2^25+AF47*2^24+AG47*2^23+AH47*2^22+AI47*2^21+AJ47*2^20+AK47*2^19+AL47*2^18+AM47*2^17+AN47*2^16+AO47*2^15+AP47*2^14+AQ47*2^13+AR47*2^12+AS47*2^11+AT47*2^10+AU47*2^9+AV47*2^8+AW47*2^7+AX47*2^6+AY47*2^5+AZ47*2^4+BA47*2^3+BB47*2^2+BC47*2^1+BD47*2^0,8)</f>
        <v>00000000</v>
      </c>
      <c r="F47" s="179"/>
      <c r="G47"/>
      <c r="H47" s="258" t="s">
        <v>1004</v>
      </c>
      <c r="I47" s="280" t="s">
        <v>991</v>
      </c>
      <c r="J47" s="258" t="s">
        <v>1003</v>
      </c>
      <c r="K47" s="280" t="s">
        <v>991</v>
      </c>
      <c r="L47" s="258" t="s">
        <v>1002</v>
      </c>
      <c r="M47" s="280" t="s">
        <v>991</v>
      </c>
      <c r="N47" s="258" t="s">
        <v>1001</v>
      </c>
      <c r="O47" s="280" t="s">
        <v>991</v>
      </c>
      <c r="P47" s="258" t="s">
        <v>1000</v>
      </c>
      <c r="Q47" s="280" t="s">
        <v>991</v>
      </c>
      <c r="R47" s="258" t="s">
        <v>999</v>
      </c>
      <c r="S47" s="280" t="s">
        <v>991</v>
      </c>
      <c r="T47" s="258" t="s">
        <v>998</v>
      </c>
      <c r="U47" s="285" t="s">
        <v>991</v>
      </c>
      <c r="V47" s="276" t="s">
        <v>997</v>
      </c>
      <c r="W47" s="285" t="s">
        <v>991</v>
      </c>
      <c r="X47" s="376"/>
      <c r="Y47" s="396">
        <v>0</v>
      </c>
      <c r="Z47" s="396">
        <v>0</v>
      </c>
      <c r="AA47" s="396">
        <v>0</v>
      </c>
      <c r="AB47" s="396">
        <v>0</v>
      </c>
      <c r="AC47" s="396">
        <v>0</v>
      </c>
      <c r="AD47" s="396">
        <v>0</v>
      </c>
      <c r="AE47" s="396">
        <v>0</v>
      </c>
      <c r="AF47" s="396">
        <v>0</v>
      </c>
      <c r="AG47" s="396">
        <v>0</v>
      </c>
      <c r="AH47" s="396">
        <v>0</v>
      </c>
      <c r="AI47" s="396">
        <v>0</v>
      </c>
      <c r="AJ47" s="396">
        <v>0</v>
      </c>
      <c r="AK47" s="396">
        <v>0</v>
      </c>
      <c r="AL47" s="396">
        <v>0</v>
      </c>
      <c r="AM47" s="396">
        <v>0</v>
      </c>
      <c r="AN47" s="396">
        <v>0</v>
      </c>
      <c r="AO47" s="396">
        <v>0</v>
      </c>
      <c r="AP47" s="396">
        <v>0</v>
      </c>
      <c r="AQ47" s="396">
        <v>0</v>
      </c>
      <c r="AR47" s="396">
        <v>0</v>
      </c>
      <c r="AS47" s="396">
        <v>0</v>
      </c>
      <c r="AT47" s="396">
        <v>0</v>
      </c>
      <c r="AU47" s="396">
        <f>IF(I47="Mask",1,0)</f>
        <v>0</v>
      </c>
      <c r="AV47" s="396">
        <f>IF(K47="Mask",1,0)</f>
        <v>0</v>
      </c>
      <c r="AW47" s="396">
        <v>0</v>
      </c>
      <c r="AX47" s="396">
        <f>IF(M47="Mask",1,0)</f>
        <v>0</v>
      </c>
      <c r="AY47" s="396">
        <v>0</v>
      </c>
      <c r="AZ47" s="396">
        <f>IF(O47="Mask",1,0)</f>
        <v>0</v>
      </c>
      <c r="BA47" s="396">
        <f>IF(Q47="Mask",1,0)</f>
        <v>0</v>
      </c>
      <c r="BB47" s="396">
        <f>IF(S47="Mask",1,0)</f>
        <v>0</v>
      </c>
      <c r="BC47" s="396">
        <f>IF(U47="Mask",1,0)</f>
        <v>0</v>
      </c>
      <c r="BD47" s="396">
        <f>IF(W47="Mask",1,0)</f>
        <v>0</v>
      </c>
    </row>
    <row r="48" spans="2:57">
      <c r="B48" s="280" t="s">
        <v>1237</v>
      </c>
      <c r="C48" s="254" t="s">
        <v>936</v>
      </c>
      <c r="D48" s="255" t="s">
        <v>1054</v>
      </c>
      <c r="E48" s="122" t="str">
        <f>DEC2HEX(Y48*2^31+Z48*2^30+AA48*2^29+AB48*2^28+AC48*2^27+AD48*2^26+AE48*2^25+AF48*2^24+AG48*2^23+AH48*2^22+AI48*2^21+AJ48*2^20+AK48*2^19+AL48*2^18+AM48*2^17+AN48*2^16+AO48*2^15+AP48*2^14+AQ48*2^13+AR48*2^12+AS48*2^11+AT48*2^10+AU48*2^9+AV48*2^8+AW48*2^7+AX48*2^6+AY48*2^5+AZ48*2^4+BA48*2^3+BB48*2^2+BC48*2^1+BD48*2^0,8)</f>
        <v>00000080</v>
      </c>
      <c r="F48" s="179"/>
      <c r="G48"/>
      <c r="H48" s="498" t="s">
        <v>1005</v>
      </c>
      <c r="I48" s="499"/>
      <c r="J48" s="285" t="s">
        <v>991</v>
      </c>
      <c r="K48" s="285" t="s">
        <v>991</v>
      </c>
      <c r="L48" s="280" t="s">
        <v>991</v>
      </c>
      <c r="M48" s="280" t="s">
        <v>991</v>
      </c>
      <c r="N48" s="280" t="s">
        <v>991</v>
      </c>
      <c r="O48" s="280" t="s">
        <v>991</v>
      </c>
      <c r="P48" s="397" t="s">
        <v>1571</v>
      </c>
      <c r="Q48" s="285" t="s">
        <v>991</v>
      </c>
      <c r="R48" s="276"/>
      <c r="S48" s="285" t="s">
        <v>991</v>
      </c>
      <c r="T48" s="284" t="s">
        <v>991</v>
      </c>
      <c r="U48" s="278"/>
      <c r="V48" s="273"/>
      <c r="W48" s="261"/>
      <c r="X48" s="376"/>
      <c r="Y48" s="396">
        <v>0</v>
      </c>
      <c r="Z48" s="396">
        <v>0</v>
      </c>
      <c r="AA48" s="396">
        <v>0</v>
      </c>
      <c r="AB48" s="396">
        <v>0</v>
      </c>
      <c r="AC48" s="396">
        <v>0</v>
      </c>
      <c r="AD48" s="396">
        <v>0</v>
      </c>
      <c r="AE48" s="396">
        <v>0</v>
      </c>
      <c r="AF48" s="396">
        <v>0</v>
      </c>
      <c r="AG48" s="396">
        <v>0</v>
      </c>
      <c r="AH48" s="396">
        <v>0</v>
      </c>
      <c r="AI48" s="396">
        <v>0</v>
      </c>
      <c r="AJ48" s="396">
        <v>0</v>
      </c>
      <c r="AK48" s="396">
        <v>0</v>
      </c>
      <c r="AL48" s="396">
        <v>0</v>
      </c>
      <c r="AM48" s="396">
        <v>0</v>
      </c>
      <c r="AN48" s="396">
        <v>0</v>
      </c>
      <c r="AO48" s="396">
        <v>0</v>
      </c>
      <c r="AP48" s="396">
        <v>0</v>
      </c>
      <c r="AQ48" s="396">
        <f t="shared" ref="AQ48:AX48" si="2">IF(J48="Mask",1,0)</f>
        <v>0</v>
      </c>
      <c r="AR48" s="396">
        <f t="shared" si="2"/>
        <v>0</v>
      </c>
      <c r="AS48" s="396">
        <f t="shared" si="2"/>
        <v>0</v>
      </c>
      <c r="AT48" s="396">
        <f t="shared" si="2"/>
        <v>0</v>
      </c>
      <c r="AU48" s="396">
        <f t="shared" si="2"/>
        <v>0</v>
      </c>
      <c r="AV48" s="396">
        <f t="shared" si="2"/>
        <v>0</v>
      </c>
      <c r="AW48" s="396">
        <f t="shared" si="2"/>
        <v>1</v>
      </c>
      <c r="AX48" s="396">
        <f t="shared" si="2"/>
        <v>0</v>
      </c>
      <c r="AY48" s="396">
        <v>0</v>
      </c>
      <c r="AZ48" s="396">
        <f>IF(S48="Mask",1,0)</f>
        <v>0</v>
      </c>
      <c r="BA48" s="396">
        <f>IF(T48="Mask",1,0)</f>
        <v>0</v>
      </c>
      <c r="BB48" s="396">
        <v>0</v>
      </c>
      <c r="BC48" s="396">
        <v>0</v>
      </c>
      <c r="BD48" s="396">
        <v>0</v>
      </c>
    </row>
    <row r="49" spans="2:56">
      <c r="B49" s="280" t="s">
        <v>1237</v>
      </c>
      <c r="C49" s="254" t="s">
        <v>937</v>
      </c>
      <c r="D49" s="255" t="s">
        <v>1055</v>
      </c>
      <c r="E49" s="122" t="str">
        <f>DEC2HEX(Y49*2^31+Z49*2^30+AA49*2^29+AB49*2^28+AC49*2^27+AD49*2^26+AE49*2^25+AF49*2^24+AG49*2^23+AH49*2^22+AI49*2^21+AJ49*2^20+AK49*2^19+AL49*2^18+AM49*2^17+AN49*2^16+AO49*2^15+AP49*2^14+AQ49*2^13+AR49*2^12+AS49*2^11+AT49*2^10+AU49*2^9+AV49*2^8+AW49*2^7+AX49*2^6+AY49*2^5+AZ49*2^4+BA49*2^3+BB49*2^2+BC49*2^1+BD49*2^0,8)</f>
        <v>00000000</v>
      </c>
      <c r="F49" s="179"/>
      <c r="G49"/>
      <c r="H49" s="277"/>
      <c r="I49" s="273"/>
      <c r="J49" s="273"/>
      <c r="K49" s="261"/>
      <c r="L49" s="261" t="s">
        <v>1008</v>
      </c>
      <c r="M49" s="280" t="s">
        <v>991</v>
      </c>
      <c r="N49" s="258" t="s">
        <v>1007</v>
      </c>
      <c r="O49" s="281" t="s">
        <v>991</v>
      </c>
      <c r="P49" s="277"/>
      <c r="Q49" s="273"/>
      <c r="R49" s="273"/>
      <c r="S49" s="273"/>
      <c r="T49" s="273"/>
      <c r="U49" s="261"/>
      <c r="V49" s="258" t="s">
        <v>1006</v>
      </c>
      <c r="W49" s="280" t="s">
        <v>991</v>
      </c>
      <c r="X49" s="376"/>
      <c r="Y49" s="396">
        <v>0</v>
      </c>
      <c r="Z49" s="396">
        <v>0</v>
      </c>
      <c r="AA49" s="396">
        <v>0</v>
      </c>
      <c r="AB49" s="396">
        <v>0</v>
      </c>
      <c r="AC49" s="396">
        <v>0</v>
      </c>
      <c r="AD49" s="396">
        <v>0</v>
      </c>
      <c r="AE49" s="396">
        <v>0</v>
      </c>
      <c r="AF49" s="396">
        <v>0</v>
      </c>
      <c r="AG49" s="396">
        <v>0</v>
      </c>
      <c r="AH49" s="396">
        <v>0</v>
      </c>
      <c r="AI49" s="396">
        <v>0</v>
      </c>
      <c r="AJ49" s="396">
        <v>0</v>
      </c>
      <c r="AK49" s="396">
        <v>0</v>
      </c>
      <c r="AL49" s="396">
        <v>0</v>
      </c>
      <c r="AM49" s="396">
        <v>0</v>
      </c>
      <c r="AN49" s="396">
        <v>0</v>
      </c>
      <c r="AO49" s="396">
        <v>0</v>
      </c>
      <c r="AP49" s="396">
        <v>0</v>
      </c>
      <c r="AQ49" s="396">
        <v>0</v>
      </c>
      <c r="AR49" s="396">
        <v>0</v>
      </c>
      <c r="AS49" s="396">
        <v>0</v>
      </c>
      <c r="AT49" s="396">
        <v>0</v>
      </c>
      <c r="AU49" s="396">
        <f>IF(M49="Mask",1,0)</f>
        <v>0</v>
      </c>
      <c r="AV49" s="396">
        <f>IF(O49="Mask",1,0)</f>
        <v>0</v>
      </c>
      <c r="AW49" s="396">
        <v>0</v>
      </c>
      <c r="AX49" s="396">
        <v>0</v>
      </c>
      <c r="AY49" s="396">
        <v>0</v>
      </c>
      <c r="AZ49" s="396">
        <v>0</v>
      </c>
      <c r="BA49" s="396">
        <v>0</v>
      </c>
      <c r="BB49" s="396">
        <v>0</v>
      </c>
      <c r="BC49" s="396">
        <v>0</v>
      </c>
      <c r="BD49" s="396">
        <f>IF(W49="Mask",1,0)</f>
        <v>0</v>
      </c>
    </row>
    <row r="50" spans="2:56">
      <c r="B50" s="280" t="s">
        <v>1100</v>
      </c>
      <c r="C50" s="8" t="s">
        <v>1239</v>
      </c>
      <c r="D50" s="15" t="s">
        <v>1252</v>
      </c>
      <c r="E50" s="122" t="str">
        <f>DEC2HEX(Y50*2^31+Z50*2^30+AA50*2^29+AB50*2^28+AC50*2^27+AD50*2^26+AE50*2^25+AF50*2^24+AG50*2^23+AH50*2^22+AI50*2^21+AJ50*2^20+AK50*2^19+AL50*2^18+AM50*2^17+AN50*2^16+AO50*2^15+AP50*2^14+AQ50*2^13+AR50*2^12+AS50*2^11+AT50*2^10+AU50*2^9+AV50*2^8+AW50*2^7+AX50*2^6+AY50*2^5+AZ50*2^4+BA50*2^3+BB50*2^2+BC50*2^1+BD50*2^0,8)</f>
        <v>00000000</v>
      </c>
      <c r="F50" s="39"/>
      <c r="G50"/>
      <c r="H50" s="277"/>
      <c r="I50" s="273"/>
      <c r="J50" s="273"/>
      <c r="K50" s="273"/>
      <c r="L50" s="273"/>
      <c r="M50" s="261"/>
      <c r="N50" s="303" t="s">
        <v>1251</v>
      </c>
      <c r="O50" s="280">
        <v>0</v>
      </c>
      <c r="P50" s="303" t="s">
        <v>1250</v>
      </c>
      <c r="Q50" s="280">
        <v>0</v>
      </c>
      <c r="R50" s="303" t="s">
        <v>1249</v>
      </c>
      <c r="S50" s="280">
        <v>0</v>
      </c>
      <c r="T50" s="303" t="s">
        <v>1248</v>
      </c>
      <c r="U50" s="280">
        <v>0</v>
      </c>
      <c r="V50" s="303" t="s">
        <v>1240</v>
      </c>
      <c r="W50" s="280">
        <v>0</v>
      </c>
      <c r="X50" s="376"/>
      <c r="Y50" s="396">
        <v>0</v>
      </c>
      <c r="Z50" s="396">
        <v>0</v>
      </c>
      <c r="AA50" s="396">
        <v>0</v>
      </c>
      <c r="AB50" s="396">
        <v>0</v>
      </c>
      <c r="AC50" s="396">
        <v>0</v>
      </c>
      <c r="AD50" s="396">
        <v>0</v>
      </c>
      <c r="AE50" s="396">
        <v>0</v>
      </c>
      <c r="AF50" s="396">
        <v>0</v>
      </c>
      <c r="AG50" s="396">
        <v>0</v>
      </c>
      <c r="AH50" s="396">
        <v>0</v>
      </c>
      <c r="AI50" s="396">
        <v>0</v>
      </c>
      <c r="AJ50" s="396">
        <v>0</v>
      </c>
      <c r="AK50" s="396">
        <v>0</v>
      </c>
      <c r="AL50" s="396">
        <v>0</v>
      </c>
      <c r="AM50" s="396">
        <v>0</v>
      </c>
      <c r="AN50" s="396">
        <f>O50</f>
        <v>0</v>
      </c>
      <c r="AO50" s="396">
        <v>0</v>
      </c>
      <c r="AP50" s="396">
        <v>0</v>
      </c>
      <c r="AQ50" s="396">
        <v>0</v>
      </c>
      <c r="AR50" s="396">
        <f>Q50</f>
        <v>0</v>
      </c>
      <c r="AS50" s="396">
        <v>0</v>
      </c>
      <c r="AT50" s="396">
        <v>0</v>
      </c>
      <c r="AU50" s="396">
        <v>0</v>
      </c>
      <c r="AV50" s="396">
        <f>S50</f>
        <v>0</v>
      </c>
      <c r="AW50" s="396">
        <v>0</v>
      </c>
      <c r="AX50" s="396">
        <v>0</v>
      </c>
      <c r="AY50" s="396">
        <v>0</v>
      </c>
      <c r="AZ50" s="396">
        <f>U50</f>
        <v>0</v>
      </c>
      <c r="BA50" s="396">
        <v>0</v>
      </c>
      <c r="BB50" s="396">
        <v>0</v>
      </c>
      <c r="BC50" s="396">
        <v>0</v>
      </c>
      <c r="BD50" s="396">
        <f>W50</f>
        <v>0</v>
      </c>
    </row>
    <row r="51" spans="2:56">
      <c r="B51" s="19" t="s">
        <v>75</v>
      </c>
      <c r="C51" s="8" t="s">
        <v>80</v>
      </c>
      <c r="D51" s="15" t="s">
        <v>1056</v>
      </c>
      <c r="E51" s="122" t="str">
        <f>Main_Parameters!$C$160</f>
        <v>00000006</v>
      </c>
      <c r="F51" s="39"/>
      <c r="G51"/>
      <c r="H51"/>
      <c r="I51"/>
      <c r="J51"/>
      <c r="K51"/>
      <c r="L51"/>
      <c r="M51"/>
      <c r="N51"/>
      <c r="O51"/>
      <c r="P51"/>
      <c r="Q51"/>
      <c r="R51"/>
      <c r="S51"/>
      <c r="T51"/>
      <c r="U51"/>
      <c r="V51"/>
      <c r="W51"/>
      <c r="X51" s="376"/>
      <c r="AH51" s="376"/>
    </row>
    <row r="52" spans="2:56">
      <c r="B52" s="19" t="s">
        <v>75</v>
      </c>
      <c r="C52" s="8" t="s">
        <v>81</v>
      </c>
      <c r="D52" s="15" t="s">
        <v>1057</v>
      </c>
      <c r="E52" s="122" t="str">
        <f>Main_Parameters!$C$161</f>
        <v>00240204</v>
      </c>
      <c r="F52" s="39"/>
      <c r="G52"/>
      <c r="H52"/>
      <c r="I52"/>
      <c r="J52"/>
      <c r="K52"/>
      <c r="L52"/>
      <c r="M52"/>
      <c r="N52"/>
      <c r="O52"/>
      <c r="P52"/>
      <c r="Q52"/>
      <c r="R52"/>
      <c r="S52"/>
      <c r="T52"/>
      <c r="U52"/>
      <c r="V52"/>
      <c r="W52"/>
      <c r="X52" s="376"/>
      <c r="AH52" s="376"/>
    </row>
    <row r="53" spans="2:56">
      <c r="B53" s="19" t="s">
        <v>75</v>
      </c>
      <c r="C53" s="8" t="s">
        <v>82</v>
      </c>
      <c r="D53" s="15" t="s">
        <v>1058</v>
      </c>
      <c r="E53" s="122" t="str">
        <f>Main_Parameters!$C$162</f>
        <v>000D0008</v>
      </c>
      <c r="F53" s="39"/>
      <c r="G53"/>
      <c r="H53"/>
      <c r="I53"/>
      <c r="J53"/>
      <c r="K53"/>
      <c r="L53"/>
      <c r="M53"/>
      <c r="N53"/>
      <c r="O53"/>
      <c r="P53"/>
      <c r="Q53"/>
      <c r="R53"/>
      <c r="S53"/>
      <c r="T53"/>
      <c r="U53"/>
      <c r="V53"/>
      <c r="W53"/>
      <c r="X53" s="376"/>
      <c r="AH53" s="376"/>
    </row>
    <row r="54" spans="2:56">
      <c r="B54" s="19" t="s">
        <v>75</v>
      </c>
      <c r="C54" s="8" t="s">
        <v>83</v>
      </c>
      <c r="D54" s="15" t="s">
        <v>1059</v>
      </c>
      <c r="E54" s="122" t="str">
        <f>Main_Parameters!$C$163</f>
        <v>00140006</v>
      </c>
      <c r="F54" s="39"/>
      <c r="G54"/>
      <c r="H54"/>
      <c r="I54"/>
      <c r="J54"/>
      <c r="K54"/>
      <c r="L54"/>
      <c r="M54"/>
      <c r="N54"/>
      <c r="O54"/>
      <c r="P54"/>
      <c r="Q54"/>
      <c r="R54"/>
      <c r="S54"/>
      <c r="T54"/>
      <c r="U54"/>
      <c r="V54"/>
      <c r="W54"/>
      <c r="X54" s="376"/>
      <c r="AH54" s="376"/>
    </row>
    <row r="55" spans="2:56">
      <c r="B55" s="19" t="s">
        <v>75</v>
      </c>
      <c r="C55" s="8" t="s">
        <v>57</v>
      </c>
      <c r="D55" s="15" t="s">
        <v>1060</v>
      </c>
      <c r="E55" s="122" t="str">
        <f>Main_Parameters!$C$164</f>
        <v>00004268</v>
      </c>
      <c r="F55" s="39"/>
      <c r="G55"/>
      <c r="H55"/>
      <c r="I55"/>
      <c r="J55"/>
      <c r="K55"/>
      <c r="L55"/>
      <c r="M55"/>
      <c r="N55"/>
      <c r="O55"/>
      <c r="P55"/>
      <c r="Q55"/>
      <c r="R55"/>
      <c r="S55"/>
      <c r="T55"/>
      <c r="U55"/>
      <c r="V55"/>
      <c r="W55"/>
      <c r="X55" s="376"/>
      <c r="AH55" s="376"/>
    </row>
    <row r="56" spans="2:56">
      <c r="B56" s="19" t="s">
        <v>75</v>
      </c>
      <c r="C56" s="8" t="s">
        <v>84</v>
      </c>
      <c r="D56" s="15" t="s">
        <v>1061</v>
      </c>
      <c r="E56" s="122" t="str">
        <f>Main_Parameters!$C$165</f>
        <v>0000000F</v>
      </c>
      <c r="F56" s="39"/>
      <c r="G56"/>
      <c r="H56"/>
      <c r="I56"/>
      <c r="J56"/>
      <c r="K56"/>
      <c r="L56"/>
      <c r="M56"/>
      <c r="N56"/>
      <c r="O56"/>
      <c r="P56"/>
      <c r="Q56"/>
      <c r="R56"/>
      <c r="S56"/>
      <c r="T56"/>
      <c r="U56"/>
      <c r="V56"/>
      <c r="W56"/>
      <c r="X56" s="376"/>
      <c r="AH56" s="376"/>
    </row>
    <row r="57" spans="2:56">
      <c r="B57" s="19" t="s">
        <v>75</v>
      </c>
      <c r="C57" s="8" t="s">
        <v>85</v>
      </c>
      <c r="D57" s="15" t="s">
        <v>1062</v>
      </c>
      <c r="E57" s="122" t="str">
        <f>Main_Parameters!$C$166</f>
        <v>000D0008</v>
      </c>
      <c r="F57" s="39"/>
      <c r="G57"/>
      <c r="H57"/>
      <c r="I57"/>
      <c r="J57"/>
      <c r="K57" s="111"/>
      <c r="L57"/>
      <c r="M57"/>
      <c r="N57"/>
      <c r="O57"/>
      <c r="P57"/>
      <c r="Q57"/>
      <c r="R57"/>
      <c r="S57"/>
      <c r="T57"/>
      <c r="U57"/>
      <c r="V57"/>
      <c r="W57"/>
      <c r="X57" s="376"/>
      <c r="AH57" s="376"/>
    </row>
    <row r="58" spans="2:56">
      <c r="B58" s="19" t="s">
        <v>75</v>
      </c>
      <c r="C58" s="8" t="s">
        <v>86</v>
      </c>
      <c r="D58" s="15" t="s">
        <v>1063</v>
      </c>
      <c r="E58" s="89" t="s">
        <v>1270</v>
      </c>
      <c r="F58" s="39"/>
      <c r="G58"/>
      <c r="H58"/>
      <c r="I58"/>
      <c r="J58"/>
      <c r="K58"/>
      <c r="L58"/>
      <c r="M58"/>
      <c r="N58"/>
      <c r="O58"/>
      <c r="P58"/>
      <c r="Q58"/>
      <c r="R58"/>
      <c r="S58"/>
      <c r="T58"/>
      <c r="U58"/>
      <c r="V58"/>
      <c r="W58"/>
      <c r="X58" s="376"/>
      <c r="AH58" s="376"/>
    </row>
    <row r="59" spans="2:56">
      <c r="B59" s="19" t="s">
        <v>75</v>
      </c>
      <c r="C59" s="8" t="s">
        <v>87</v>
      </c>
      <c r="D59" s="15" t="s">
        <v>1064</v>
      </c>
      <c r="E59" s="122" t="str">
        <f>Main_Parameters!$C$168</f>
        <v>0000001F</v>
      </c>
      <c r="F59" s="39"/>
      <c r="G59"/>
      <c r="H59"/>
      <c r="I59"/>
      <c r="J59"/>
      <c r="K59"/>
      <c r="L59"/>
      <c r="M59"/>
      <c r="N59"/>
      <c r="O59"/>
      <c r="P59"/>
      <c r="Q59"/>
      <c r="R59"/>
      <c r="S59"/>
      <c r="T59"/>
      <c r="U59"/>
      <c r="V59"/>
      <c r="W59"/>
      <c r="X59" s="376"/>
      <c r="AH59" s="376"/>
    </row>
    <row r="60" spans="2:56">
      <c r="B60" s="19" t="s">
        <v>75</v>
      </c>
      <c r="C60" s="8" t="s">
        <v>943</v>
      </c>
      <c r="D60" s="15" t="s">
        <v>1065</v>
      </c>
      <c r="E60" s="122" t="str">
        <f>Main_Parameters!$C$169</f>
        <v>00060005</v>
      </c>
      <c r="F60" s="39"/>
      <c r="G60"/>
      <c r="H60"/>
      <c r="I60"/>
      <c r="J60"/>
      <c r="K60"/>
      <c r="L60"/>
      <c r="M60"/>
      <c r="N60"/>
      <c r="O60"/>
      <c r="P60"/>
      <c r="Q60"/>
      <c r="R60"/>
      <c r="S60"/>
      <c r="T60"/>
      <c r="U60"/>
      <c r="V60"/>
      <c r="W60"/>
      <c r="X60" s="376"/>
      <c r="AH60" s="376"/>
    </row>
    <row r="61" spans="2:56">
      <c r="B61" s="280" t="s">
        <v>1237</v>
      </c>
      <c r="C61" s="8" t="s">
        <v>1018</v>
      </c>
      <c r="D61" s="15" t="s">
        <v>1066</v>
      </c>
      <c r="E61" s="122" t="str">
        <f>DEC2HEX(Y61*2^31+Z61*2^30+AA61*2^29+AB61*2^28+AC61*2^27+AD61*2^26+AE61*2^25+AF61*2^24+AG61*2^23+AH61*2^22+AI61*2^21+AJ61*2^20+AK61*2^19+AL61*2^18+AM61*2^17+AN61*2^16+AO61*2^15+AP61*2^14+AQ61*2^13+AR61*2^12+AS61*2^11+AT61*2^10+AU61*2^9+AV61*2^8+AW61*2^7+AX61*2^6+AY61*2^5+AZ61*2^4+BA61*2^3+BB61*2^2+BC61*2^1+BD61*2^0,8)</f>
        <v>00000002</v>
      </c>
      <c r="F61" s="39"/>
      <c r="G61"/>
      <c r="H61" s="277"/>
      <c r="I61" s="273"/>
      <c r="J61" s="273"/>
      <c r="K61" s="273"/>
      <c r="L61" s="273"/>
      <c r="M61" s="261"/>
      <c r="N61" s="261" t="s">
        <v>1017</v>
      </c>
      <c r="O61" s="280" t="s">
        <v>1272</v>
      </c>
      <c r="P61" s="258" t="s">
        <v>1015</v>
      </c>
      <c r="Q61" s="280" t="s">
        <v>1272</v>
      </c>
      <c r="R61" s="258" t="s">
        <v>1014</v>
      </c>
      <c r="S61" s="280" t="s">
        <v>1272</v>
      </c>
      <c r="T61" s="258" t="s">
        <v>1016</v>
      </c>
      <c r="U61" s="280" t="s">
        <v>1272</v>
      </c>
      <c r="V61" s="258" t="s">
        <v>1012</v>
      </c>
      <c r="W61" s="280" t="s">
        <v>1013</v>
      </c>
      <c r="X61" s="376"/>
      <c r="Y61" s="396">
        <v>0</v>
      </c>
      <c r="Z61" s="396">
        <v>0</v>
      </c>
      <c r="AA61" s="396">
        <v>0</v>
      </c>
      <c r="AB61" s="396">
        <v>0</v>
      </c>
      <c r="AC61" s="396">
        <v>0</v>
      </c>
      <c r="AD61" s="396">
        <v>0</v>
      </c>
      <c r="AE61" s="396">
        <v>0</v>
      </c>
      <c r="AF61" s="396">
        <v>0</v>
      </c>
      <c r="AG61" s="396">
        <v>0</v>
      </c>
      <c r="AH61" s="396">
        <v>0</v>
      </c>
      <c r="AI61" s="396">
        <v>0</v>
      </c>
      <c r="AJ61" s="396">
        <v>0</v>
      </c>
      <c r="AK61" s="396">
        <v>0</v>
      </c>
      <c r="AL61" s="396">
        <v>0</v>
      </c>
      <c r="AM61" s="396">
        <v>0</v>
      </c>
      <c r="AN61" s="396">
        <v>0</v>
      </c>
      <c r="AO61" s="396">
        <v>0</v>
      </c>
      <c r="AP61" s="396">
        <v>0</v>
      </c>
      <c r="AQ61" s="396">
        <v>0</v>
      </c>
      <c r="AR61" s="396">
        <v>0</v>
      </c>
      <c r="AS61" s="396">
        <v>0</v>
      </c>
      <c r="AT61" s="396">
        <v>0</v>
      </c>
      <c r="AU61" s="396">
        <v>0</v>
      </c>
      <c r="AV61" s="396">
        <f>IF(O61="No Add",0,IF(O61="25% Add",2,3))</f>
        <v>0</v>
      </c>
      <c r="AW61" s="396">
        <v>0</v>
      </c>
      <c r="AX61" s="396">
        <f>IF(Q61="No Add",0,IF(Q61="25% Add",2,3))</f>
        <v>0</v>
      </c>
      <c r="AY61" s="396">
        <v>0</v>
      </c>
      <c r="AZ61" s="396">
        <f>IF(S61="No Add",0,IF(S61="25% Add",2,3))</f>
        <v>0</v>
      </c>
      <c r="BA61" s="396">
        <v>0</v>
      </c>
      <c r="BB61" s="396">
        <f>IF(U61="No Add",0,IF(U61="25% Add",2,3))</f>
        <v>0</v>
      </c>
      <c r="BC61" s="396">
        <v>0</v>
      </c>
      <c r="BD61" s="396">
        <f>IF(W61="No Add",0,IF(W61="25% Add",2,3))</f>
        <v>2</v>
      </c>
    </row>
    <row r="62" spans="2:56">
      <c r="B62" s="280" t="s">
        <v>1100</v>
      </c>
      <c r="C62" s="8" t="s">
        <v>1242</v>
      </c>
      <c r="D62" s="15" t="s">
        <v>1253</v>
      </c>
      <c r="E62" s="122" t="str">
        <f>DEC2HEX(Y62*2^31+Z62*2^30+AA62*2^29+AB62*2^28+AC62*2^27+AD62*2^26+AE62*2^25+AF62*2^24+AG62*2^23+AH62*2^22+AI62*2^21+AJ62*2^20+AK62*2^19+AL62*2^18+AM62*2^17+AN62*2^16+AO62*2^15+AP62*2^14+AQ62*2^13+AR62*2^12+AS62*2^11+AT62*2^10+AU62*2^9+AV62*2^8+AW62*2^7+AX62*2^6+AY62*2^5+AZ62*2^4+BA62*2^3+BB62*2^2+BC62*2^1+BD62*2^0,8)</f>
        <v>00000000</v>
      </c>
      <c r="F62" s="39"/>
      <c r="G62"/>
      <c r="H62" s="277"/>
      <c r="I62" s="273"/>
      <c r="J62" s="273"/>
      <c r="K62" s="273"/>
      <c r="L62" s="273"/>
      <c r="M62" s="261"/>
      <c r="N62" s="258" t="s">
        <v>1247</v>
      </c>
      <c r="O62" s="280">
        <v>0</v>
      </c>
      <c r="P62" s="258" t="s">
        <v>1246</v>
      </c>
      <c r="Q62" s="280">
        <v>0</v>
      </c>
      <c r="R62" s="258" t="s">
        <v>1245</v>
      </c>
      <c r="S62" s="280">
        <v>0</v>
      </c>
      <c r="T62" s="258" t="s">
        <v>1244</v>
      </c>
      <c r="U62" s="280">
        <v>0</v>
      </c>
      <c r="V62" s="258" t="s">
        <v>1243</v>
      </c>
      <c r="W62" s="280">
        <v>0</v>
      </c>
      <c r="X62" s="376"/>
      <c r="Y62" s="396">
        <v>0</v>
      </c>
      <c r="Z62" s="396">
        <v>0</v>
      </c>
      <c r="AA62" s="396">
        <v>0</v>
      </c>
      <c r="AB62" s="396">
        <v>0</v>
      </c>
      <c r="AC62" s="396">
        <v>0</v>
      </c>
      <c r="AD62" s="396">
        <v>0</v>
      </c>
      <c r="AE62" s="396">
        <v>0</v>
      </c>
      <c r="AF62" s="396">
        <v>0</v>
      </c>
      <c r="AG62" s="396">
        <v>0</v>
      </c>
      <c r="AH62" s="396">
        <v>0</v>
      </c>
      <c r="AI62" s="396">
        <v>0</v>
      </c>
      <c r="AJ62" s="396">
        <v>0</v>
      </c>
      <c r="AK62" s="396">
        <v>0</v>
      </c>
      <c r="AL62" s="396">
        <v>0</v>
      </c>
      <c r="AM62" s="396">
        <v>0</v>
      </c>
      <c r="AN62" s="396">
        <v>0</v>
      </c>
      <c r="AO62" s="396">
        <v>0</v>
      </c>
      <c r="AP62" s="396">
        <v>0</v>
      </c>
      <c r="AQ62" s="396">
        <v>0</v>
      </c>
      <c r="AR62" s="396">
        <v>0</v>
      </c>
      <c r="AS62" s="396">
        <v>0</v>
      </c>
      <c r="AT62" s="396">
        <v>0</v>
      </c>
      <c r="AU62" s="396">
        <v>0</v>
      </c>
      <c r="AV62" s="396">
        <f>O62</f>
        <v>0</v>
      </c>
      <c r="AW62" s="396">
        <v>0</v>
      </c>
      <c r="AX62" s="396">
        <f>Q62</f>
        <v>0</v>
      </c>
      <c r="AY62" s="396">
        <v>0</v>
      </c>
      <c r="AZ62" s="396">
        <f>S62</f>
        <v>0</v>
      </c>
      <c r="BA62" s="396">
        <v>0</v>
      </c>
      <c r="BB62" s="396">
        <f>U62</f>
        <v>0</v>
      </c>
      <c r="BC62" s="396">
        <v>0</v>
      </c>
      <c r="BD62" s="396">
        <f>W62</f>
        <v>0</v>
      </c>
    </row>
    <row r="63" spans="2:56">
      <c r="B63" s="19" t="s">
        <v>75</v>
      </c>
      <c r="C63" s="5" t="s">
        <v>1024</v>
      </c>
      <c r="D63" s="15" t="s">
        <v>1069</v>
      </c>
      <c r="E63" s="89" t="s">
        <v>147</v>
      </c>
      <c r="F63" s="39"/>
      <c r="G63"/>
      <c r="H63"/>
      <c r="I63"/>
      <c r="J63"/>
      <c r="K63"/>
      <c r="L63"/>
      <c r="M63"/>
      <c r="N63"/>
      <c r="O63"/>
      <c r="P63"/>
      <c r="Q63"/>
      <c r="R63"/>
      <c r="S63"/>
      <c r="T63"/>
      <c r="U63"/>
      <c r="V63"/>
      <c r="W63"/>
    </row>
    <row r="64" spans="2:56">
      <c r="B64" s="86" t="s">
        <v>15</v>
      </c>
      <c r="C64" s="88" t="s">
        <v>1026</v>
      </c>
      <c r="D64" s="86"/>
      <c r="E64" s="123"/>
      <c r="F64" s="103"/>
      <c r="G64"/>
      <c r="H64"/>
      <c r="I64"/>
      <c r="J64"/>
      <c r="K64"/>
      <c r="L64"/>
      <c r="M64"/>
      <c r="N64"/>
      <c r="O64"/>
      <c r="P64"/>
      <c r="Q64"/>
      <c r="R64"/>
      <c r="S64"/>
      <c r="T64"/>
      <c r="U64"/>
      <c r="V64"/>
      <c r="W64"/>
      <c r="X64" s="376"/>
      <c r="AH64" s="376"/>
    </row>
    <row r="65" spans="2:57">
      <c r="B65" s="19" t="s">
        <v>75</v>
      </c>
      <c r="C65" s="254" t="s">
        <v>886</v>
      </c>
      <c r="D65" s="255" t="s">
        <v>887</v>
      </c>
      <c r="E65" s="89" t="s">
        <v>944</v>
      </c>
      <c r="F65" s="179"/>
      <c r="G65"/>
      <c r="H65"/>
      <c r="I65"/>
      <c r="J65"/>
      <c r="K65"/>
      <c r="L65"/>
      <c r="M65"/>
      <c r="N65"/>
      <c r="O65"/>
      <c r="P65"/>
      <c r="Q65"/>
      <c r="R65"/>
      <c r="S65"/>
      <c r="T65"/>
      <c r="U65"/>
      <c r="V65"/>
      <c r="W65"/>
      <c r="X65" s="376"/>
      <c r="Y65" s="168">
        <v>31</v>
      </c>
      <c r="Z65" s="168">
        <v>30</v>
      </c>
      <c r="AA65" s="168">
        <v>29</v>
      </c>
      <c r="AB65" s="168">
        <v>28</v>
      </c>
      <c r="AC65" s="168">
        <v>27</v>
      </c>
      <c r="AD65" s="168">
        <v>26</v>
      </c>
      <c r="AE65" s="168">
        <v>25</v>
      </c>
      <c r="AF65" s="168">
        <v>24</v>
      </c>
      <c r="AG65" s="168">
        <v>23</v>
      </c>
      <c r="AH65" s="376">
        <v>22</v>
      </c>
      <c r="AI65" s="168">
        <v>21</v>
      </c>
      <c r="AJ65" s="168">
        <v>20</v>
      </c>
      <c r="AK65" s="168">
        <v>19</v>
      </c>
      <c r="AL65" s="168">
        <v>18</v>
      </c>
      <c r="AM65" s="168">
        <v>17</v>
      </c>
      <c r="AN65" s="168">
        <v>16</v>
      </c>
      <c r="AO65" s="168">
        <v>15</v>
      </c>
      <c r="AP65" s="168">
        <v>14</v>
      </c>
      <c r="AQ65" s="168">
        <v>13</v>
      </c>
      <c r="AR65" s="168">
        <v>12</v>
      </c>
      <c r="AS65" s="168">
        <v>11</v>
      </c>
      <c r="AT65" s="168">
        <v>10</v>
      </c>
      <c r="AU65" s="168">
        <v>9</v>
      </c>
      <c r="AV65" s="168">
        <v>8</v>
      </c>
      <c r="AW65" s="168">
        <v>7</v>
      </c>
      <c r="AX65" s="168">
        <v>6</v>
      </c>
      <c r="AY65" s="168">
        <v>5</v>
      </c>
      <c r="AZ65" s="168">
        <v>4</v>
      </c>
      <c r="BA65" s="168">
        <v>3</v>
      </c>
      <c r="BB65" s="168">
        <v>2</v>
      </c>
      <c r="BC65" s="168">
        <v>1</v>
      </c>
      <c r="BD65" s="168">
        <v>0</v>
      </c>
    </row>
    <row r="66" spans="2:57">
      <c r="B66" s="19" t="s">
        <v>75</v>
      </c>
      <c r="C66" s="254" t="s">
        <v>888</v>
      </c>
      <c r="D66" s="255" t="s">
        <v>889</v>
      </c>
      <c r="E66" s="122" t="str">
        <f>DEC2HEX(Y66*2^31+Z66*2^30+AA66*2^29+AB66*2^28+AC66*2^27+AD66*2^26+AE66*2^25+AF66*2^24+AG66*2^23+AH66*2^22+AI66*2^21+AJ66*2^20+AK66*2^19+AL66*2^18+AM66*2^17+AN66*2^16+AO66*2^15+AP66*2^14+AQ66*2^13+AR66*2^12+AS66*2^11+AT66*2^10+AU66*2^9+AV66*2^8+AW66*2^7+AX66*2^6+AY66*2^5+AZ66*2^4+BA66*2^3+BB66*2^2+BC66*2^1+BD66*2^0,8)</f>
        <v>00000001</v>
      </c>
      <c r="F66" s="179"/>
      <c r="G66" s="256"/>
      <c r="H66" s="265"/>
      <c r="I66" s="268"/>
      <c r="J66" s="268"/>
      <c r="K66" s="266"/>
      <c r="L66" s="258" t="s">
        <v>948</v>
      </c>
      <c r="M66" s="280" t="s">
        <v>945</v>
      </c>
      <c r="N66" s="258" t="s">
        <v>947</v>
      </c>
      <c r="O66" s="280" t="s">
        <v>945</v>
      </c>
      <c r="P66" s="360"/>
      <c r="Q66" s="259"/>
      <c r="R66" s="259"/>
      <c r="S66" s="259"/>
      <c r="T66" s="259"/>
      <c r="U66" s="260"/>
      <c r="V66" s="258" t="s">
        <v>946</v>
      </c>
      <c r="W66" s="280" t="s">
        <v>36</v>
      </c>
      <c r="X66" s="395"/>
      <c r="Y66" s="396">
        <v>0</v>
      </c>
      <c r="Z66" s="396">
        <v>0</v>
      </c>
      <c r="AA66" s="396">
        <v>0</v>
      </c>
      <c r="AB66" s="396">
        <v>0</v>
      </c>
      <c r="AC66" s="396">
        <v>0</v>
      </c>
      <c r="AD66" s="396">
        <v>0</v>
      </c>
      <c r="AE66" s="396">
        <v>0</v>
      </c>
      <c r="AF66" s="396">
        <v>0</v>
      </c>
      <c r="AG66" s="396">
        <v>0</v>
      </c>
      <c r="AH66" s="395">
        <v>0</v>
      </c>
      <c r="AI66" s="396">
        <v>0</v>
      </c>
      <c r="AJ66" s="396">
        <v>0</v>
      </c>
      <c r="AK66" s="396">
        <v>0</v>
      </c>
      <c r="AL66" s="396">
        <v>0</v>
      </c>
      <c r="AM66" s="396">
        <v>0</v>
      </c>
      <c r="AN66" s="396">
        <v>0</v>
      </c>
      <c r="AO66" s="396">
        <v>0</v>
      </c>
      <c r="AP66" s="396">
        <v>0</v>
      </c>
      <c r="AQ66" s="396">
        <v>0</v>
      </c>
      <c r="AR66" s="396">
        <v>0</v>
      </c>
      <c r="AS66" s="396">
        <v>0</v>
      </c>
      <c r="AT66" s="396">
        <f>IF(M66="HSCK/8",0,IF(M66="HSCK/4",1,2))</f>
        <v>0</v>
      </c>
      <c r="AU66" s="396">
        <v>0</v>
      </c>
      <c r="AV66" s="396">
        <f>IF(O66="HSCK/8",0,IF(O66="HSCK/4",1,2))</f>
        <v>0</v>
      </c>
      <c r="AW66" s="396">
        <v>0</v>
      </c>
      <c r="AX66" s="396">
        <v>0</v>
      </c>
      <c r="AY66" s="396">
        <v>0</v>
      </c>
      <c r="AZ66" s="396">
        <v>0</v>
      </c>
      <c r="BA66" s="396">
        <v>0</v>
      </c>
      <c r="BB66" s="396">
        <v>0</v>
      </c>
      <c r="BC66" s="396">
        <v>0</v>
      </c>
      <c r="BD66" s="396">
        <f>IF(W66="Enable",1,0)</f>
        <v>1</v>
      </c>
    </row>
    <row r="67" spans="2:57">
      <c r="B67" s="19" t="s">
        <v>75</v>
      </c>
      <c r="C67" s="5" t="s">
        <v>1021</v>
      </c>
      <c r="D67" s="15" t="s">
        <v>1020</v>
      </c>
      <c r="E67" s="89" t="s">
        <v>147</v>
      </c>
      <c r="F67" s="39"/>
      <c r="G67"/>
      <c r="H67"/>
      <c r="I67"/>
      <c r="J67"/>
      <c r="K67"/>
      <c r="L67"/>
      <c r="M67"/>
      <c r="N67"/>
      <c r="O67"/>
      <c r="P67"/>
      <c r="Q67"/>
      <c r="R67"/>
      <c r="S67"/>
      <c r="T67"/>
      <c r="U67"/>
      <c r="V67"/>
      <c r="W67"/>
    </row>
    <row r="68" spans="2:57">
      <c r="B68" s="19" t="s">
        <v>75</v>
      </c>
      <c r="C68" s="254" t="s">
        <v>885</v>
      </c>
      <c r="D68" s="255" t="s">
        <v>884</v>
      </c>
      <c r="E68" s="122" t="str">
        <f>Main_Parameters!$C$124</f>
        <v>000090BD</v>
      </c>
      <c r="F68" s="179" t="s">
        <v>1254</v>
      </c>
      <c r="G68"/>
      <c r="H68"/>
      <c r="I68"/>
      <c r="J68"/>
      <c r="K68"/>
      <c r="L68"/>
      <c r="M68"/>
      <c r="N68"/>
      <c r="O68"/>
      <c r="P68"/>
      <c r="Q68"/>
      <c r="R68"/>
      <c r="S68"/>
      <c r="T68"/>
      <c r="U68"/>
      <c r="V68"/>
      <c r="W68"/>
      <c r="X68" s="376"/>
      <c r="AH68" s="376"/>
    </row>
    <row r="69" spans="2:57">
      <c r="B69" s="19" t="s">
        <v>828</v>
      </c>
      <c r="C69" s="254"/>
      <c r="D69" s="310">
        <v>1000</v>
      </c>
      <c r="E69" s="310"/>
      <c r="F69" s="179"/>
      <c r="G69"/>
      <c r="H69"/>
      <c r="I69"/>
      <c r="J69"/>
      <c r="K69"/>
      <c r="L69"/>
      <c r="M69"/>
      <c r="N69"/>
      <c r="O69"/>
      <c r="P69"/>
      <c r="Q69"/>
      <c r="R69"/>
      <c r="S69"/>
      <c r="T69"/>
      <c r="U69"/>
      <c r="V69"/>
      <c r="W69"/>
      <c r="X69" s="376"/>
      <c r="AH69" s="376"/>
    </row>
    <row r="70" spans="2:57">
      <c r="B70" s="19" t="s">
        <v>75</v>
      </c>
      <c r="C70" s="5" t="s">
        <v>1021</v>
      </c>
      <c r="D70" s="15" t="s">
        <v>1020</v>
      </c>
      <c r="E70" s="89" t="s">
        <v>1022</v>
      </c>
      <c r="F70" s="39"/>
      <c r="G70"/>
      <c r="H70"/>
      <c r="I70"/>
      <c r="J70"/>
      <c r="K70"/>
      <c r="L70"/>
      <c r="M70"/>
      <c r="N70"/>
      <c r="O70"/>
      <c r="P70"/>
      <c r="Q70"/>
      <c r="R70"/>
      <c r="S70"/>
      <c r="T70"/>
      <c r="U70"/>
      <c r="V70"/>
      <c r="W70"/>
    </row>
    <row r="71" spans="2:57">
      <c r="B71" s="19" t="s">
        <v>75</v>
      </c>
      <c r="C71" s="254" t="s">
        <v>892</v>
      </c>
      <c r="D71" s="255" t="s">
        <v>879</v>
      </c>
      <c r="E71" s="122" t="str">
        <f>Main_Parameters!$C$127</f>
        <v>00000014</v>
      </c>
      <c r="F71" s="179"/>
      <c r="G71"/>
      <c r="H71"/>
      <c r="I71"/>
      <c r="J71"/>
      <c r="K71"/>
      <c r="L71"/>
      <c r="M71"/>
      <c r="N71"/>
      <c r="O71"/>
      <c r="P71"/>
      <c r="Q71"/>
      <c r="R71"/>
      <c r="S71"/>
      <c r="T71"/>
      <c r="U71"/>
      <c r="V71"/>
      <c r="W71"/>
      <c r="X71" s="376"/>
      <c r="AH71" s="376"/>
    </row>
    <row r="72" spans="2:57">
      <c r="B72" s="19" t="s">
        <v>75</v>
      </c>
      <c r="C72" s="254" t="s">
        <v>894</v>
      </c>
      <c r="D72" s="255" t="s">
        <v>870</v>
      </c>
      <c r="E72" s="122" t="str">
        <f>Main_Parameters!$C$128</f>
        <v>00001770</v>
      </c>
      <c r="F72" s="179"/>
      <c r="G72"/>
      <c r="H72"/>
      <c r="I72"/>
      <c r="J72"/>
      <c r="K72"/>
      <c r="L72"/>
      <c r="M72"/>
      <c r="N72"/>
      <c r="O72"/>
      <c r="P72"/>
      <c r="Q72"/>
      <c r="R72"/>
      <c r="S72"/>
      <c r="T72"/>
      <c r="U72"/>
      <c r="V72"/>
      <c r="W72"/>
      <c r="X72" s="376"/>
      <c r="AH72" s="376"/>
    </row>
    <row r="73" spans="2:57" ht="15">
      <c r="B73" s="19" t="s">
        <v>75</v>
      </c>
      <c r="C73" s="254" t="s">
        <v>895</v>
      </c>
      <c r="D73" s="255" t="s">
        <v>896</v>
      </c>
      <c r="E73" s="122" t="str">
        <f>DEC2HEX(HEX2DEC(K73),8)</f>
        <v>00000000</v>
      </c>
      <c r="F73" s="179"/>
      <c r="G73"/>
      <c r="H73" s="495" t="s">
        <v>953</v>
      </c>
      <c r="I73" s="496"/>
      <c r="J73" s="497"/>
      <c r="K73" s="283">
        <v>0</v>
      </c>
      <c r="L73" s="267" t="str">
        <f>IF(HEX2DEC(K73)&lt;0,"NG",IF(HEX2DEC(K73)&gt;4294967295,"NG","OK"))</f>
        <v>OK</v>
      </c>
      <c r="M73" s="265"/>
      <c r="N73" s="268"/>
      <c r="O73" s="268"/>
      <c r="P73" s="268"/>
      <c r="Q73" s="268"/>
      <c r="R73" s="268"/>
      <c r="S73" s="268"/>
      <c r="T73" s="268"/>
      <c r="U73" s="268"/>
      <c r="V73" s="268"/>
      <c r="W73" s="266"/>
      <c r="X73" s="376"/>
      <c r="AH73" s="376"/>
    </row>
    <row r="74" spans="2:57">
      <c r="B74" s="19" t="s">
        <v>75</v>
      </c>
      <c r="C74" s="254" t="s">
        <v>897</v>
      </c>
      <c r="D74" s="255" t="s">
        <v>898</v>
      </c>
      <c r="E74" s="122" t="str">
        <f>DEC2HEX(Y74*2^31+Z74*2^30+AA74*2^29+AB74*2^28+AC74*2^27+AD74*2^26+AE74*2^25+AF74*2^24+AG74*2^23+AH74*2^22+AI74*2^21+AJ74*2^20+AK74*2^19+AL74*2^18+AM74*2^17+AN74*2^16+AO74*2^15+AP74*2^14+AQ74*2^13+AR74*2^12+AS74*2^11+AT74*2^10+AU74*2^9+AV74*2^8+AW74*2^7+AX74*2^6+AY74*2^5+AZ74*2^4+BA74*2^3+BB74*2^2+BC74*2^1+BD74*2^0,8)</f>
        <v>00000101</v>
      </c>
      <c r="F74" s="179"/>
      <c r="G74"/>
      <c r="H74" s="265"/>
      <c r="I74" s="268"/>
      <c r="J74" s="268"/>
      <c r="K74" s="268"/>
      <c r="L74" s="282" t="s">
        <v>1584</v>
      </c>
      <c r="M74" s="282" t="s">
        <v>1585</v>
      </c>
      <c r="N74" s="282" t="s">
        <v>1586</v>
      </c>
      <c r="O74" s="282" t="s">
        <v>1587</v>
      </c>
      <c r="P74" s="282" t="s">
        <v>1588</v>
      </c>
      <c r="Q74" s="282" t="s">
        <v>1589</v>
      </c>
      <c r="R74" s="282" t="s">
        <v>1590</v>
      </c>
      <c r="S74" s="282" t="s">
        <v>955</v>
      </c>
      <c r="T74" s="282" t="s">
        <v>956</v>
      </c>
      <c r="U74" s="282" t="s">
        <v>957</v>
      </c>
      <c r="V74" s="409" t="s">
        <v>1523</v>
      </c>
      <c r="W74" s="280" t="s">
        <v>954</v>
      </c>
      <c r="X74" s="376"/>
      <c r="Y74" s="168">
        <v>0</v>
      </c>
      <c r="Z74" s="168">
        <v>0</v>
      </c>
      <c r="AA74" s="168">
        <v>0</v>
      </c>
      <c r="AB74" s="168">
        <v>0</v>
      </c>
      <c r="AC74" s="168">
        <v>0</v>
      </c>
      <c r="AD74" s="168">
        <v>0</v>
      </c>
      <c r="AE74" s="168">
        <v>0</v>
      </c>
      <c r="AF74" s="168">
        <v>0</v>
      </c>
      <c r="AG74" s="168">
        <v>0</v>
      </c>
      <c r="AH74" s="376">
        <f>IF(L74="INIT Int Enb",1,0)</f>
        <v>0</v>
      </c>
      <c r="AI74" s="376">
        <f>IF(M74="ApErr Int Enb",1,0)</f>
        <v>0</v>
      </c>
      <c r="AJ74" s="376">
        <f>IF(N74="DSIPrto Int Enb",1,0)</f>
        <v>0</v>
      </c>
      <c r="AK74" s="376">
        <f>IF(O74="DSIrErr Int Enb",1,0)</f>
        <v>0</v>
      </c>
      <c r="AL74" s="376">
        <f>IF(P74="DSILPTX Int Enb",1,0)</f>
        <v>0</v>
      </c>
      <c r="AM74" s="376">
        <f>IF(Q74="DSIrTrg Int Enb",1,0)</f>
        <v>0</v>
      </c>
      <c r="AN74" s="376">
        <f>IF(R74="DSIrStat Int Enb",1,0)</f>
        <v>0</v>
      </c>
      <c r="AO74" s="168">
        <v>0</v>
      </c>
      <c r="AP74" s="376">
        <f>IF(S74="PRESP_TO Enb",1,0)</f>
        <v>0</v>
      </c>
      <c r="AQ74" s="376">
        <v>0</v>
      </c>
      <c r="AR74" s="376">
        <v>0</v>
      </c>
      <c r="AS74" s="376">
        <v>0</v>
      </c>
      <c r="AT74" s="376">
        <f>IF(T74="HSTX_TO Enb",1,0)</f>
        <v>0</v>
      </c>
      <c r="AU74" s="376">
        <f>IF(U74="IND_TO Enb",1,0)</f>
        <v>0</v>
      </c>
      <c r="AV74" s="376">
        <f>IF(V74="INDMdSel Reg",1,0)</f>
        <v>1</v>
      </c>
      <c r="AW74" s="168">
        <v>0</v>
      </c>
      <c r="AX74" s="168">
        <v>0</v>
      </c>
      <c r="AY74" s="168">
        <v>0</v>
      </c>
      <c r="AZ74" s="168">
        <v>0</v>
      </c>
      <c r="BA74" s="168">
        <v>0</v>
      </c>
      <c r="BB74" s="168">
        <v>0</v>
      </c>
      <c r="BC74" s="168">
        <v>0</v>
      </c>
      <c r="BD74" s="376">
        <f>IF(W74="VHDELAY Reg",1,0)</f>
        <v>1</v>
      </c>
    </row>
    <row r="75" spans="2:57" ht="15">
      <c r="B75" s="280" t="s">
        <v>1100</v>
      </c>
      <c r="C75" s="254" t="s">
        <v>1230</v>
      </c>
      <c r="D75" s="255" t="s">
        <v>1229</v>
      </c>
      <c r="E75" s="122" t="str">
        <f>DEC2HEX(Y75*2^31+Z75*2^30+AA75*2^29+AB75*2^28+AC75*2^27+AD75*2^26+AE75*2^25+AF75*2^24+AG75*2^23+AH75*2^22+AI75*2^21+AJ75*2^20+AK75*2^19+AL75*2^18+AM75*2^17+AN75*2^16+AO75*2^15+AP75*2^14+AQ75*2^13+AR75*2^12+AS75*2^11+AT75*2^10+AU75*2^9+AV75*2^8+AW75*2^7+AX75*2^6+AY75*2^5+AZ75*2^4+BA75*2^3+BB75*2^2+BC75*2^1+BD75*2^0,8)</f>
        <v>00000000</v>
      </c>
      <c r="F75" s="179"/>
      <c r="G75"/>
      <c r="H75" s="265"/>
      <c r="I75" s="268"/>
      <c r="J75" s="268"/>
      <c r="K75" s="268"/>
      <c r="L75" s="268"/>
      <c r="M75" s="268"/>
      <c r="N75" s="273"/>
      <c r="O75" s="273"/>
      <c r="P75" s="273"/>
      <c r="Q75" s="374" t="s">
        <v>1235</v>
      </c>
      <c r="R75" s="264" t="str">
        <f>IF(S75&gt;8191,"NG",IF(S75&lt;0,"NG","OK"))</f>
        <v>OK</v>
      </c>
      <c r="S75" s="315">
        <v>0</v>
      </c>
      <c r="T75" s="261" t="s">
        <v>1233</v>
      </c>
      <c r="U75" s="282" t="s">
        <v>1236</v>
      </c>
      <c r="V75" s="261" t="s">
        <v>1231</v>
      </c>
      <c r="W75" s="280" t="s">
        <v>1232</v>
      </c>
      <c r="X75" s="376"/>
      <c r="Y75" s="168">
        <v>0</v>
      </c>
      <c r="Z75" s="168">
        <v>0</v>
      </c>
      <c r="AA75" s="168">
        <v>0</v>
      </c>
      <c r="AB75" s="168">
        <v>0</v>
      </c>
      <c r="AC75" s="168">
        <v>0</v>
      </c>
      <c r="AD75" s="168">
        <v>0</v>
      </c>
      <c r="AE75" s="168">
        <v>0</v>
      </c>
      <c r="AF75" s="168">
        <v>0</v>
      </c>
      <c r="AG75" s="168">
        <v>0</v>
      </c>
      <c r="AH75" s="168">
        <v>0</v>
      </c>
      <c r="AI75" s="168">
        <v>0</v>
      </c>
      <c r="AJ75" s="168">
        <v>0</v>
      </c>
      <c r="AK75" s="168">
        <v>0</v>
      </c>
      <c r="AL75" s="168">
        <v>0</v>
      </c>
      <c r="AM75" s="168">
        <v>0</v>
      </c>
      <c r="AN75" s="168">
        <v>0</v>
      </c>
      <c r="AO75" s="168">
        <v>0</v>
      </c>
      <c r="AP75" s="168">
        <v>0</v>
      </c>
      <c r="AQ75" s="168">
        <v>0</v>
      </c>
      <c r="AR75" s="168">
        <v>0</v>
      </c>
      <c r="AS75" s="168">
        <v>0</v>
      </c>
      <c r="AT75" s="168">
        <v>0</v>
      </c>
      <c r="AU75" s="168">
        <v>0</v>
      </c>
      <c r="AV75" s="168">
        <v>0</v>
      </c>
      <c r="AW75" s="168">
        <v>0</v>
      </c>
      <c r="AX75" s="168">
        <v>0</v>
      </c>
      <c r="AY75" s="168">
        <v>0</v>
      </c>
      <c r="AZ75" s="168">
        <v>0</v>
      </c>
      <c r="BA75" s="168">
        <f>S75</f>
        <v>0</v>
      </c>
      <c r="BB75" s="168">
        <v>0</v>
      </c>
      <c r="BC75" s="168">
        <f>IF(U75="VFP",0,IF(U75="Immediate",2,1))</f>
        <v>0</v>
      </c>
      <c r="BD75" s="168">
        <f>IF(W75="Input",0,1)</f>
        <v>0</v>
      </c>
      <c r="BE75" s="376"/>
    </row>
    <row r="76" spans="2:57" ht="15">
      <c r="B76" s="19" t="s">
        <v>75</v>
      </c>
      <c r="C76" s="254" t="s">
        <v>899</v>
      </c>
      <c r="D76" s="255" t="s">
        <v>900</v>
      </c>
      <c r="E76" s="122" t="str">
        <f t="shared" ref="E76:E83" si="3">DEC2HEX(HEX2DEC(K76),8)</f>
        <v>00010000</v>
      </c>
      <c r="F76" s="179"/>
      <c r="G76"/>
      <c r="H76" s="495" t="s">
        <v>958</v>
      </c>
      <c r="I76" s="496"/>
      <c r="J76" s="497"/>
      <c r="K76" s="283" t="s">
        <v>959</v>
      </c>
      <c r="L76" s="264" t="str">
        <f t="shared" ref="L76:L83" si="4">IF(HEX2DEC(K76)&lt;0,"NG",IF(HEX2DEC(K76)&gt;4294967295,"NG","OK"))</f>
        <v>OK</v>
      </c>
      <c r="M76" s="265"/>
      <c r="N76" s="268"/>
      <c r="O76" s="268"/>
      <c r="P76" s="268"/>
      <c r="Q76" s="268"/>
      <c r="R76" s="268"/>
      <c r="S76" s="268"/>
      <c r="T76" s="268"/>
      <c r="U76" s="268"/>
      <c r="V76" s="268"/>
      <c r="W76" s="266"/>
    </row>
    <row r="77" spans="2:57" ht="15">
      <c r="B77" s="19" t="s">
        <v>75</v>
      </c>
      <c r="C77" s="254" t="s">
        <v>901</v>
      </c>
      <c r="D77" s="255" t="s">
        <v>902</v>
      </c>
      <c r="E77" s="122" t="str">
        <f t="shared" si="3"/>
        <v>00005000</v>
      </c>
      <c r="F77" s="179"/>
      <c r="G77"/>
      <c r="H77" s="495" t="s">
        <v>1019</v>
      </c>
      <c r="I77" s="496"/>
      <c r="J77" s="497"/>
      <c r="K77" s="283" t="s">
        <v>960</v>
      </c>
      <c r="L77" s="264" t="str">
        <f t="shared" si="4"/>
        <v>OK</v>
      </c>
      <c r="M77" s="265"/>
      <c r="N77" s="268"/>
      <c r="O77" s="268"/>
      <c r="P77" s="268"/>
      <c r="Q77" s="268"/>
      <c r="R77" s="268"/>
      <c r="S77" s="268"/>
      <c r="T77" s="268"/>
      <c r="U77" s="268"/>
      <c r="V77" s="268"/>
      <c r="W77" s="266"/>
      <c r="X77" s="376"/>
      <c r="AH77" s="376"/>
    </row>
    <row r="78" spans="2:57" ht="15">
      <c r="B78" s="19" t="s">
        <v>75</v>
      </c>
      <c r="C78" s="254" t="s">
        <v>903</v>
      </c>
      <c r="D78" s="255" t="s">
        <v>904</v>
      </c>
      <c r="E78" s="122" t="str">
        <f t="shared" si="3"/>
        <v>00010000</v>
      </c>
      <c r="F78" s="179"/>
      <c r="G78"/>
      <c r="H78" s="495" t="s">
        <v>961</v>
      </c>
      <c r="I78" s="496"/>
      <c r="J78" s="497"/>
      <c r="K78" s="283" t="s">
        <v>967</v>
      </c>
      <c r="L78" s="264" t="str">
        <f t="shared" si="4"/>
        <v>OK</v>
      </c>
      <c r="M78" s="265"/>
      <c r="N78" s="268"/>
      <c r="O78" s="268"/>
      <c r="P78" s="268"/>
      <c r="Q78" s="268"/>
      <c r="R78" s="268"/>
      <c r="S78" s="268"/>
      <c r="T78" s="268"/>
      <c r="U78" s="268"/>
      <c r="V78" s="268"/>
      <c r="W78" s="266"/>
      <c r="X78" s="376"/>
      <c r="AH78" s="376"/>
    </row>
    <row r="79" spans="2:57" ht="15">
      <c r="B79" s="19" t="s">
        <v>75</v>
      </c>
      <c r="C79" s="254" t="s">
        <v>905</v>
      </c>
      <c r="D79" s="255" t="s">
        <v>906</v>
      </c>
      <c r="E79" s="122" t="str">
        <f t="shared" si="3"/>
        <v>00010000</v>
      </c>
      <c r="F79" s="179"/>
      <c r="G79"/>
      <c r="H79" s="495" t="s">
        <v>962</v>
      </c>
      <c r="I79" s="496"/>
      <c r="J79" s="497"/>
      <c r="K79" s="283" t="s">
        <v>967</v>
      </c>
      <c r="L79" s="264" t="str">
        <f t="shared" si="4"/>
        <v>OK</v>
      </c>
      <c r="M79" s="265"/>
      <c r="N79" s="268"/>
      <c r="O79" s="268"/>
      <c r="P79" s="268"/>
      <c r="Q79" s="268"/>
      <c r="R79" s="268"/>
      <c r="S79" s="268"/>
      <c r="T79" s="268"/>
      <c r="U79" s="268"/>
      <c r="V79" s="268"/>
      <c r="W79" s="266"/>
      <c r="X79" s="376"/>
      <c r="AH79" s="376"/>
    </row>
    <row r="80" spans="2:57" ht="15">
      <c r="B80" s="19" t="s">
        <v>75</v>
      </c>
      <c r="C80" s="254" t="s">
        <v>907</v>
      </c>
      <c r="D80" s="255" t="s">
        <v>908</v>
      </c>
      <c r="E80" s="122" t="str">
        <f t="shared" si="3"/>
        <v>00010000</v>
      </c>
      <c r="F80" s="179"/>
      <c r="G80"/>
      <c r="H80" s="495" t="s">
        <v>963</v>
      </c>
      <c r="I80" s="496"/>
      <c r="J80" s="497"/>
      <c r="K80" s="283" t="s">
        <v>967</v>
      </c>
      <c r="L80" s="264" t="str">
        <f t="shared" si="4"/>
        <v>OK</v>
      </c>
      <c r="M80" s="265"/>
      <c r="N80" s="268"/>
      <c r="O80" s="268"/>
      <c r="P80" s="268"/>
      <c r="Q80" s="268"/>
      <c r="R80" s="268"/>
      <c r="S80" s="268"/>
      <c r="T80" s="268"/>
      <c r="U80" s="268"/>
      <c r="V80" s="268"/>
      <c r="W80" s="266"/>
      <c r="X80" s="376"/>
      <c r="AH80" s="376"/>
    </row>
    <row r="81" spans="2:57" ht="15">
      <c r="B81" s="19" t="s">
        <v>75</v>
      </c>
      <c r="C81" s="254" t="s">
        <v>909</v>
      </c>
      <c r="D81" s="255" t="s">
        <v>76</v>
      </c>
      <c r="E81" s="122" t="str">
        <f t="shared" si="3"/>
        <v>00010000</v>
      </c>
      <c r="F81" s="179"/>
      <c r="G81"/>
      <c r="H81" s="495" t="s">
        <v>964</v>
      </c>
      <c r="I81" s="496"/>
      <c r="J81" s="497"/>
      <c r="K81" s="283" t="s">
        <v>967</v>
      </c>
      <c r="L81" s="264" t="str">
        <f t="shared" si="4"/>
        <v>OK</v>
      </c>
      <c r="M81" s="265"/>
      <c r="N81" s="268"/>
      <c r="O81" s="268"/>
      <c r="P81" s="268"/>
      <c r="Q81" s="268"/>
      <c r="R81" s="268"/>
      <c r="S81" s="268"/>
      <c r="T81" s="268"/>
      <c r="U81" s="268"/>
      <c r="V81" s="268"/>
      <c r="W81" s="266"/>
      <c r="X81" s="376"/>
      <c r="AH81" s="376"/>
    </row>
    <row r="82" spans="2:57" ht="15">
      <c r="B82" s="19" t="s">
        <v>75</v>
      </c>
      <c r="C82" s="254" t="s">
        <v>910</v>
      </c>
      <c r="D82" s="255" t="s">
        <v>77</v>
      </c>
      <c r="E82" s="122" t="str">
        <f t="shared" si="3"/>
        <v>00001000</v>
      </c>
      <c r="F82" s="179"/>
      <c r="G82"/>
      <c r="H82" s="495" t="s">
        <v>965</v>
      </c>
      <c r="I82" s="496"/>
      <c r="J82" s="497"/>
      <c r="K82" s="283" t="s">
        <v>968</v>
      </c>
      <c r="L82" s="264" t="str">
        <f t="shared" si="4"/>
        <v>OK</v>
      </c>
      <c r="M82" s="265"/>
      <c r="N82" s="268"/>
      <c r="O82" s="268"/>
      <c r="P82" s="268"/>
      <c r="Q82" s="268"/>
      <c r="R82" s="268"/>
      <c r="S82" s="268"/>
      <c r="T82" s="268"/>
      <c r="U82" s="268"/>
      <c r="V82" s="268"/>
      <c r="W82" s="266"/>
      <c r="X82" s="376"/>
      <c r="AH82" s="376"/>
    </row>
    <row r="83" spans="2:57" ht="15">
      <c r="B83" s="19" t="s">
        <v>75</v>
      </c>
      <c r="C83" s="254" t="s">
        <v>911</v>
      </c>
      <c r="D83" s="255" t="s">
        <v>78</v>
      </c>
      <c r="E83" s="122" t="str">
        <f t="shared" si="3"/>
        <v>00010000</v>
      </c>
      <c r="F83" s="179"/>
      <c r="G83"/>
      <c r="H83" s="495" t="s">
        <v>966</v>
      </c>
      <c r="I83" s="496"/>
      <c r="J83" s="497"/>
      <c r="K83" s="283" t="s">
        <v>967</v>
      </c>
      <c r="L83" s="264" t="str">
        <f t="shared" si="4"/>
        <v>OK</v>
      </c>
      <c r="M83" s="265"/>
      <c r="N83" s="268"/>
      <c r="O83" s="268"/>
      <c r="P83" s="268"/>
      <c r="Q83" s="268"/>
      <c r="R83" s="268"/>
      <c r="S83" s="268"/>
      <c r="T83" s="268"/>
      <c r="U83" s="268"/>
      <c r="V83" s="268"/>
      <c r="W83" s="266"/>
      <c r="X83" s="376"/>
      <c r="AH83" s="376"/>
    </row>
    <row r="84" spans="2:57">
      <c r="B84" s="19" t="s">
        <v>75</v>
      </c>
      <c r="C84" s="254" t="s">
        <v>912</v>
      </c>
      <c r="D84" s="255" t="s">
        <v>79</v>
      </c>
      <c r="E84" s="122" t="str">
        <f>DEC2HEX(Y84*2^31+Z84*2^30+AA84*2^29+AB84*2^28+AC84*2^27+AD84*2^26+AE84*2^25+AF84*2^24+AG84*2^23+AH84*2^22+AI84*2^21+AJ84*2^20+AK84*2^19+AL84*2^18+AM84*2^17+AN84*2^16+AO84*2^15+AP84*2^14+AQ84*2^13+AR84*2^12+AS84*2^11+AT84*2^10+AU84*2^9+AV84*2^8+AW84*2^7+AX84*2^6+AY84*2^5+AZ84*2^4+BA84*2^3+BB84*2^2+BC84*2^1+BD84*2^0,8)</f>
        <v>00000160</v>
      </c>
      <c r="F84" s="179"/>
      <c r="G84"/>
      <c r="H84" s="269"/>
      <c r="I84" s="270"/>
      <c r="J84" s="270"/>
      <c r="K84" s="271"/>
      <c r="L84" s="257" t="s">
        <v>974</v>
      </c>
      <c r="M84" s="280" t="s">
        <v>975</v>
      </c>
      <c r="N84" s="257" t="s">
        <v>973</v>
      </c>
      <c r="O84" s="280" t="s">
        <v>36</v>
      </c>
      <c r="P84" s="257" t="s">
        <v>972</v>
      </c>
      <c r="Q84" s="280" t="s">
        <v>38</v>
      </c>
      <c r="R84" s="257" t="s">
        <v>971</v>
      </c>
      <c r="S84" s="281" t="s">
        <v>38</v>
      </c>
      <c r="T84" s="261" t="s">
        <v>970</v>
      </c>
      <c r="U84" s="262" t="str">
        <f>IF(Main_Parameters!$C$80="Enable","Continuous","Discontinuous")</f>
        <v>Continuous</v>
      </c>
      <c r="V84" s="261" t="s">
        <v>969</v>
      </c>
      <c r="W84" s="262" t="str">
        <f>IF(Main_Parameters!$C$79="Yes","Yes","No")</f>
        <v>No</v>
      </c>
      <c r="X84" s="395"/>
      <c r="Y84" s="396">
        <v>0</v>
      </c>
      <c r="Z84" s="396">
        <v>0</v>
      </c>
      <c r="AA84" s="396">
        <v>0</v>
      </c>
      <c r="AB84" s="396">
        <v>0</v>
      </c>
      <c r="AC84" s="396">
        <v>0</v>
      </c>
      <c r="AD84" s="396">
        <v>0</v>
      </c>
      <c r="AE84" s="396">
        <v>0</v>
      </c>
      <c r="AF84" s="396">
        <v>0</v>
      </c>
      <c r="AG84" s="396">
        <v>0</v>
      </c>
      <c r="AH84" s="395">
        <v>0</v>
      </c>
      <c r="AI84" s="396">
        <v>0</v>
      </c>
      <c r="AJ84" s="396">
        <v>0</v>
      </c>
      <c r="AK84" s="396">
        <v>0</v>
      </c>
      <c r="AL84" s="396">
        <v>0</v>
      </c>
      <c r="AM84" s="396">
        <v>0</v>
      </c>
      <c r="AN84" s="396">
        <v>0</v>
      </c>
      <c r="AO84" s="396">
        <v>0</v>
      </c>
      <c r="AP84" s="396">
        <v>0</v>
      </c>
      <c r="AQ84" s="396">
        <v>0</v>
      </c>
      <c r="AR84" s="396">
        <v>0</v>
      </c>
      <c r="AS84" s="396">
        <v>0</v>
      </c>
      <c r="AT84" s="396">
        <f>IF(M84="Forced to STOP",1,0)</f>
        <v>0</v>
      </c>
      <c r="AU84" s="396">
        <f>IF(O84="Disable",1,0)</f>
        <v>0</v>
      </c>
      <c r="AV84" s="396">
        <f>IF(Q84="Disable",1,0)</f>
        <v>1</v>
      </c>
      <c r="AW84" s="396">
        <v>0</v>
      </c>
      <c r="AX84" s="396">
        <f>IF(S84="Disable",1,0)</f>
        <v>1</v>
      </c>
      <c r="AY84" s="396">
        <f>IF(U84="Continuous",1,0)</f>
        <v>1</v>
      </c>
      <c r="AZ84" s="396">
        <v>0</v>
      </c>
      <c r="BA84" s="396">
        <v>0</v>
      </c>
      <c r="BB84" s="396">
        <v>0</v>
      </c>
      <c r="BC84" s="396">
        <v>0</v>
      </c>
      <c r="BD84" s="396">
        <f>IF(W84="Yes",1,0)</f>
        <v>0</v>
      </c>
    </row>
    <row r="85" spans="2:57">
      <c r="B85" s="19" t="s">
        <v>75</v>
      </c>
      <c r="C85" s="254" t="s">
        <v>913</v>
      </c>
      <c r="D85" s="255" t="s">
        <v>914</v>
      </c>
      <c r="E85" s="122" t="str">
        <f>DEC2HEX(Y85*2^31+Z85*2^30+AA85*2^29+AB85*2^28+AC85*2^27+AD85*2^26+AE85*2^25+AF85*2^24+AG85*2^23+AH85*2^22+AI85*2^21+AJ85*2^20+AK85*2^19+AL85*2^18+AM85*2^17+AN85*2^16+AO85*2^15+AP85*2^14+AQ85*2^13+AR85*2^12+AS85*2^11+AT85*2^10+AU85*2^9+AV85*2^8+AW85*2^7+AX85*2^6+AY85*2^5+AZ85*2^4+BA85*2^3+BB85*2^2+BC85*2^1+BD85*2^0,8)</f>
        <v>00000001</v>
      </c>
      <c r="F85" s="179"/>
      <c r="G85"/>
      <c r="H85" s="265"/>
      <c r="I85" s="268"/>
      <c r="J85" s="268"/>
      <c r="K85" s="268"/>
      <c r="L85" s="268"/>
      <c r="M85" s="268"/>
      <c r="N85" s="268"/>
      <c r="O85" s="266"/>
      <c r="P85" s="258" t="s">
        <v>979</v>
      </c>
      <c r="Q85" s="280" t="s">
        <v>38</v>
      </c>
      <c r="R85" s="258" t="s">
        <v>978</v>
      </c>
      <c r="S85" s="280" t="s">
        <v>38</v>
      </c>
      <c r="T85" s="258" t="s">
        <v>977</v>
      </c>
      <c r="U85" s="280" t="s">
        <v>38</v>
      </c>
      <c r="V85" s="258" t="s">
        <v>976</v>
      </c>
      <c r="W85" s="280" t="s">
        <v>36</v>
      </c>
      <c r="X85" s="395"/>
      <c r="Y85" s="396">
        <v>0</v>
      </c>
      <c r="Z85" s="396">
        <v>0</v>
      </c>
      <c r="AA85" s="396">
        <v>0</v>
      </c>
      <c r="AB85" s="396">
        <v>0</v>
      </c>
      <c r="AC85" s="396">
        <v>0</v>
      </c>
      <c r="AD85" s="396">
        <v>0</v>
      </c>
      <c r="AE85" s="396">
        <v>0</v>
      </c>
      <c r="AF85" s="396">
        <v>0</v>
      </c>
      <c r="AG85" s="396">
        <v>0</v>
      </c>
      <c r="AH85" s="395">
        <v>0</v>
      </c>
      <c r="AI85" s="396">
        <v>0</v>
      </c>
      <c r="AJ85" s="396">
        <v>0</v>
      </c>
      <c r="AK85" s="396">
        <v>0</v>
      </c>
      <c r="AL85" s="396">
        <v>0</v>
      </c>
      <c r="AM85" s="396">
        <v>0</v>
      </c>
      <c r="AN85" s="396">
        <v>0</v>
      </c>
      <c r="AO85" s="396">
        <v>0</v>
      </c>
      <c r="AP85" s="396">
        <v>0</v>
      </c>
      <c r="AQ85" s="396">
        <v>0</v>
      </c>
      <c r="AR85" s="396">
        <v>0</v>
      </c>
      <c r="AS85" s="396">
        <v>0</v>
      </c>
      <c r="AT85" s="396">
        <v>0</v>
      </c>
      <c r="AU85" s="396">
        <v>0</v>
      </c>
      <c r="AV85" s="396">
        <v>0</v>
      </c>
      <c r="AW85" s="396">
        <v>0</v>
      </c>
      <c r="AX85" s="396">
        <v>0</v>
      </c>
      <c r="AY85" s="396">
        <v>0</v>
      </c>
      <c r="AZ85" s="396">
        <v>0</v>
      </c>
      <c r="BA85" s="396">
        <f>IF(Q85="Enable",1,0)</f>
        <v>0</v>
      </c>
      <c r="BB85" s="396">
        <f>IF(S85="Enable",1,0)</f>
        <v>0</v>
      </c>
      <c r="BC85" s="396">
        <f>IF(U85="Enable",1,0)</f>
        <v>0</v>
      </c>
      <c r="BD85" s="396">
        <f>IF(W85="Enable",1,0)</f>
        <v>1</v>
      </c>
    </row>
    <row r="86" spans="2:57" ht="15">
      <c r="B86" s="19" t="s">
        <v>75</v>
      </c>
      <c r="C86" s="254" t="s">
        <v>915</v>
      </c>
      <c r="D86" s="255" t="s">
        <v>916</v>
      </c>
      <c r="E86" s="122" t="str">
        <f>DEC2HEX(HEX2DEC(K86),8)</f>
        <v>000000C8</v>
      </c>
      <c r="F86" s="179"/>
      <c r="G86"/>
      <c r="H86" s="495" t="s">
        <v>980</v>
      </c>
      <c r="I86" s="496"/>
      <c r="J86" s="497"/>
      <c r="K86" s="283" t="s">
        <v>981</v>
      </c>
      <c r="L86" s="264" t="str">
        <f>IF(HEX2DEC(K86)&lt;0,"NG",IF(HEX2DEC(K86)&gt;4294967295,"NG","OK"))</f>
        <v>OK</v>
      </c>
      <c r="M86" s="265"/>
      <c r="N86" s="268"/>
      <c r="O86" s="268"/>
      <c r="P86" s="268"/>
      <c r="Q86" s="268"/>
      <c r="R86" s="268"/>
      <c r="S86" s="268"/>
      <c r="T86" s="268"/>
      <c r="U86" s="268"/>
      <c r="V86" s="268"/>
      <c r="W86" s="266"/>
      <c r="X86" s="376"/>
      <c r="AH86" s="376"/>
    </row>
    <row r="87" spans="2:57">
      <c r="B87" s="280" t="s">
        <v>1100</v>
      </c>
      <c r="C87" s="254" t="s">
        <v>1257</v>
      </c>
      <c r="D87" s="255" t="s">
        <v>1256</v>
      </c>
      <c r="E87" s="122" t="str">
        <f>DEC2HEX(Y87*2^31+Z87*2^30+AA87*2^29+AB87*2^28+AC87*2^27+AD87*2^26+AE87*2^25+AF87*2^24+AG87*2^23+AH87*2^22+AI87*2^21+AJ87*2^20+AK87*2^19+AL87*2^18+AM87*2^17+AN87*2^16+AO87*2^15+AP87*2^14+AQ87*2^13+AR87*2^12+AS87*2^11+AT87*2^10+AU87*2^9+AV87*2^8+AW87*2^7+AX87*2^6+AY87*2^5+AZ87*2^4+BA87*2^3+BB87*2^2+BC87*2^1+BD87*2^0,8)</f>
        <v>00000014</v>
      </c>
      <c r="F87" s="179"/>
      <c r="G87"/>
      <c r="H87" s="265"/>
      <c r="I87" s="268"/>
      <c r="J87" s="268"/>
      <c r="K87" s="268"/>
      <c r="L87" s="268"/>
      <c r="M87" s="268"/>
      <c r="N87" s="259"/>
      <c r="O87" s="259"/>
      <c r="P87" s="273"/>
      <c r="Q87" s="260"/>
      <c r="R87" s="305" t="s">
        <v>1260</v>
      </c>
      <c r="S87" s="280" t="s">
        <v>1261</v>
      </c>
      <c r="T87" s="304" t="s">
        <v>1259</v>
      </c>
      <c r="U87" s="280" t="s">
        <v>1261</v>
      </c>
      <c r="V87" s="304" t="s">
        <v>1258</v>
      </c>
      <c r="W87" s="280" t="s">
        <v>991</v>
      </c>
      <c r="X87" s="376"/>
      <c r="Y87" s="168">
        <v>0</v>
      </c>
      <c r="Z87" s="168">
        <v>0</v>
      </c>
      <c r="AA87" s="168">
        <v>0</v>
      </c>
      <c r="AB87" s="168">
        <v>0</v>
      </c>
      <c r="AC87" s="168">
        <v>0</v>
      </c>
      <c r="AD87" s="168">
        <v>0</v>
      </c>
      <c r="AE87" s="168">
        <v>0</v>
      </c>
      <c r="AF87" s="168">
        <v>0</v>
      </c>
      <c r="AG87" s="168">
        <v>0</v>
      </c>
      <c r="AH87" s="168">
        <v>0</v>
      </c>
      <c r="AI87" s="168">
        <v>0</v>
      </c>
      <c r="AJ87" s="168">
        <v>0</v>
      </c>
      <c r="AK87" s="168">
        <v>0</v>
      </c>
      <c r="AL87" s="168">
        <v>0</v>
      </c>
      <c r="AM87" s="168">
        <v>0</v>
      </c>
      <c r="AN87" s="168">
        <v>0</v>
      </c>
      <c r="AO87" s="168">
        <v>0</v>
      </c>
      <c r="AP87" s="168">
        <v>0</v>
      </c>
      <c r="AQ87" s="168">
        <v>0</v>
      </c>
      <c r="AR87" s="168">
        <v>0</v>
      </c>
      <c r="AS87" s="168">
        <v>0</v>
      </c>
      <c r="AT87" s="168">
        <v>0</v>
      </c>
      <c r="AU87" s="168">
        <v>0</v>
      </c>
      <c r="AV87" s="168">
        <v>0</v>
      </c>
      <c r="AW87" s="168">
        <v>0</v>
      </c>
      <c r="AX87" s="168">
        <v>0</v>
      </c>
      <c r="AY87" s="168">
        <v>0</v>
      </c>
      <c r="AZ87" s="168">
        <f>IF(S87="Mask",1,0)</f>
        <v>1</v>
      </c>
      <c r="BA87" s="168">
        <v>0</v>
      </c>
      <c r="BB87" s="168">
        <f>IF(U87="Mask",1,0)</f>
        <v>1</v>
      </c>
      <c r="BC87" s="168">
        <v>0</v>
      </c>
      <c r="BD87" s="168">
        <f>IF(W87="Mask",1,0)</f>
        <v>0</v>
      </c>
      <c r="BE87" s="376"/>
    </row>
    <row r="88" spans="2:57" ht="15">
      <c r="B88" s="19" t="s">
        <v>75</v>
      </c>
      <c r="C88" s="254" t="s">
        <v>917</v>
      </c>
      <c r="D88" s="255" t="s">
        <v>918</v>
      </c>
      <c r="E88" s="122" t="str">
        <f>DEC2HEX(HEX2DEC(K88),8)</f>
        <v>0000002A</v>
      </c>
      <c r="F88" s="179"/>
      <c r="G88"/>
      <c r="H88" s="495" t="s">
        <v>982</v>
      </c>
      <c r="I88" s="496"/>
      <c r="J88" s="497"/>
      <c r="K88" s="283" t="s">
        <v>1271</v>
      </c>
      <c r="L88" s="264" t="str">
        <f>IF(HEX2DEC(K88)&lt;0,"NG",IF(HEX2DEC(K88)&gt;65535,"NG","OK"))</f>
        <v>OK</v>
      </c>
      <c r="M88" s="265"/>
      <c r="N88" s="268"/>
      <c r="O88" s="268"/>
      <c r="P88" s="268"/>
      <c r="Q88" s="268"/>
      <c r="R88" s="268"/>
      <c r="S88" s="268"/>
      <c r="T88" s="268"/>
      <c r="U88" s="268"/>
      <c r="V88" s="268"/>
      <c r="W88" s="266"/>
      <c r="X88" s="376"/>
      <c r="AH88" s="376"/>
    </row>
    <row r="89" spans="2:57">
      <c r="B89" s="19" t="s">
        <v>75</v>
      </c>
      <c r="C89" s="254" t="s">
        <v>919</v>
      </c>
      <c r="D89" s="255" t="s">
        <v>920</v>
      </c>
      <c r="E89" s="122" t="str">
        <f>Main_Parameters!$C$131</f>
        <v>00000477</v>
      </c>
      <c r="F89" s="179"/>
      <c r="G89"/>
      <c r="H89"/>
      <c r="I89"/>
      <c r="J89"/>
      <c r="K89"/>
      <c r="L89"/>
      <c r="M89"/>
      <c r="N89"/>
      <c r="O89"/>
      <c r="P89"/>
      <c r="Q89"/>
      <c r="R89"/>
      <c r="S89"/>
      <c r="T89"/>
      <c r="U89"/>
      <c r="V89"/>
      <c r="W89"/>
      <c r="X89" s="376"/>
      <c r="AH89" s="376"/>
    </row>
    <row r="90" spans="2:57">
      <c r="B90" s="280" t="s">
        <v>1100</v>
      </c>
      <c r="C90" s="254" t="s">
        <v>921</v>
      </c>
      <c r="D90" s="255" t="s">
        <v>922</v>
      </c>
      <c r="E90" s="122" t="str">
        <f>DEC2HEX(Y90*2^31+Z90*2^30+AA90*2^29+AB90*2^28+AC90*2^27+AD90*2^26+AE90*2^25+AF90*2^24+AG90*2^23+AH90*2^22+AI90*2^21+AJ90*2^20+AK90*2^19+AL90*2^18+AM90*2^17+AN90*2^16+AO90*2^15+AP90*2^14+AQ90*2^13+AR90*2^12+AS90*2^11+AT90*2^10+AU90*2^9+AV90*2^8+AW90*2^7+AX90*2^6+AY90*2^5+AZ90*2^4+BA90*2^3+BB90*2^2+BC90*2^1+BD90*2^0,8)</f>
        <v>00000001</v>
      </c>
      <c r="F90" s="179"/>
      <c r="G90"/>
      <c r="H90" s="269"/>
      <c r="I90" s="270"/>
      <c r="J90" s="270"/>
      <c r="K90" s="270"/>
      <c r="L90" s="270"/>
      <c r="M90" s="270"/>
      <c r="N90" s="270"/>
      <c r="O90" s="270"/>
      <c r="P90" s="273"/>
      <c r="Q90" s="273"/>
      <c r="R90" s="274"/>
      <c r="S90" s="275"/>
      <c r="T90" s="275" t="s">
        <v>985</v>
      </c>
      <c r="U90" s="284">
        <v>0</v>
      </c>
      <c r="V90" s="261" t="s">
        <v>984</v>
      </c>
      <c r="W90" s="280" t="s">
        <v>983</v>
      </c>
      <c r="X90" s="395"/>
      <c r="Y90" s="396">
        <v>0</v>
      </c>
      <c r="Z90" s="396">
        <v>0</v>
      </c>
      <c r="AA90" s="396">
        <v>0</v>
      </c>
      <c r="AB90" s="396">
        <v>0</v>
      </c>
      <c r="AC90" s="396">
        <v>0</v>
      </c>
      <c r="AD90" s="396">
        <v>0</v>
      </c>
      <c r="AE90" s="396">
        <v>0</v>
      </c>
      <c r="AF90" s="396">
        <v>0</v>
      </c>
      <c r="AG90" s="396">
        <v>0</v>
      </c>
      <c r="AH90" s="396">
        <v>0</v>
      </c>
      <c r="AI90" s="396">
        <v>0</v>
      </c>
      <c r="AJ90" s="396">
        <v>0</v>
      </c>
      <c r="AK90" s="396">
        <v>0</v>
      </c>
      <c r="AL90" s="396">
        <v>0</v>
      </c>
      <c r="AM90" s="396">
        <v>0</v>
      </c>
      <c r="AN90" s="396">
        <v>0</v>
      </c>
      <c r="AO90" s="396">
        <v>0</v>
      </c>
      <c r="AP90" s="396">
        <v>0</v>
      </c>
      <c r="AQ90" s="396">
        <v>0</v>
      </c>
      <c r="AR90" s="396">
        <v>0</v>
      </c>
      <c r="AS90" s="396">
        <v>0</v>
      </c>
      <c r="AT90" s="396">
        <v>0</v>
      </c>
      <c r="AU90" s="396">
        <v>0</v>
      </c>
      <c r="AV90" s="396">
        <v>0</v>
      </c>
      <c r="AW90" s="396">
        <v>0</v>
      </c>
      <c r="AX90" s="396">
        <v>0</v>
      </c>
      <c r="AY90" s="396">
        <v>0</v>
      </c>
      <c r="AZ90" s="396">
        <v>0</v>
      </c>
      <c r="BA90" s="396">
        <v>0</v>
      </c>
      <c r="BB90" s="396">
        <v>0</v>
      </c>
      <c r="BC90" s="396">
        <f>U90</f>
        <v>0</v>
      </c>
      <c r="BD90" s="396">
        <f>IF(W90="By Reg",1,0)</f>
        <v>1</v>
      </c>
    </row>
    <row r="91" spans="2:57">
      <c r="B91" s="19" t="s">
        <v>75</v>
      </c>
      <c r="C91" s="254" t="s">
        <v>923</v>
      </c>
      <c r="D91" s="255" t="s">
        <v>924</v>
      </c>
      <c r="E91" s="122" t="str">
        <f>Main_Parameters!$C$132</f>
        <v>00000081</v>
      </c>
      <c r="F91" s="179"/>
      <c r="G91"/>
      <c r="H91"/>
      <c r="I91"/>
      <c r="J91"/>
      <c r="K91"/>
      <c r="L91"/>
      <c r="M91"/>
      <c r="N91"/>
      <c r="O91"/>
      <c r="P91"/>
      <c r="Q91"/>
      <c r="R91"/>
      <c r="S91"/>
      <c r="T91"/>
      <c r="U91"/>
      <c r="V91"/>
      <c r="W91"/>
      <c r="X91" s="376"/>
      <c r="Y91" s="376"/>
      <c r="Z91" s="376"/>
      <c r="AA91" s="376"/>
      <c r="AB91" s="376"/>
      <c r="AC91" s="376"/>
      <c r="AD91" s="376"/>
      <c r="AE91" s="376"/>
      <c r="AF91" s="376"/>
      <c r="AG91" s="376"/>
      <c r="AH91" s="376"/>
      <c r="AI91" s="376"/>
      <c r="AJ91" s="376"/>
      <c r="AK91" s="376"/>
      <c r="AL91" s="376"/>
      <c r="AM91" s="376"/>
      <c r="AN91" s="376"/>
      <c r="AO91" s="376"/>
      <c r="AP91" s="376"/>
      <c r="AQ91" s="376"/>
      <c r="AR91" s="376"/>
      <c r="AS91" s="376"/>
      <c r="AT91" s="376"/>
      <c r="AU91" s="376"/>
      <c r="AV91" s="376"/>
      <c r="AW91" s="376"/>
      <c r="AX91" s="376"/>
      <c r="AY91" s="376"/>
      <c r="AZ91" s="376"/>
      <c r="BA91" s="376"/>
      <c r="BB91" s="376"/>
      <c r="BC91" s="376"/>
      <c r="BD91" s="376"/>
    </row>
    <row r="92" spans="2:57">
      <c r="B92" s="19" t="s">
        <v>75</v>
      </c>
      <c r="C92" s="254" t="s">
        <v>925</v>
      </c>
      <c r="D92" s="255" t="s">
        <v>926</v>
      </c>
      <c r="E92" s="122" t="str">
        <f>Main_Parameters!$C$133</f>
        <v>00000001</v>
      </c>
      <c r="F92" s="179"/>
      <c r="G92"/>
      <c r="H92"/>
      <c r="I92"/>
      <c r="J92"/>
      <c r="K92"/>
      <c r="L92"/>
      <c r="M92"/>
      <c r="N92"/>
      <c r="O92"/>
      <c r="P92"/>
      <c r="Q92"/>
      <c r="R92"/>
      <c r="S92"/>
      <c r="T92"/>
      <c r="U92"/>
      <c r="V92"/>
      <c r="W92"/>
      <c r="X92" s="376"/>
      <c r="AH92" s="376"/>
    </row>
    <row r="93" spans="2:57">
      <c r="B93" s="19" t="s">
        <v>75</v>
      </c>
      <c r="C93" s="254" t="s">
        <v>927</v>
      </c>
      <c r="D93" s="255" t="s">
        <v>928</v>
      </c>
      <c r="E93" s="122" t="str">
        <f>Main_Parameters!$C$134</f>
        <v>00000104</v>
      </c>
      <c r="F93" s="179"/>
      <c r="G93"/>
      <c r="H93"/>
      <c r="I93"/>
      <c r="J93"/>
      <c r="K93"/>
      <c r="L93"/>
      <c r="M93"/>
      <c r="N93"/>
      <c r="O93"/>
      <c r="P93"/>
      <c r="Q93"/>
      <c r="R93"/>
      <c r="S93"/>
      <c r="T93"/>
      <c r="U93"/>
      <c r="V93"/>
      <c r="W93"/>
      <c r="X93" s="376"/>
      <c r="AH93" s="376"/>
    </row>
    <row r="94" spans="2:57">
      <c r="B94" s="280" t="s">
        <v>1237</v>
      </c>
      <c r="C94" s="254" t="s">
        <v>929</v>
      </c>
      <c r="D94" s="255" t="s">
        <v>930</v>
      </c>
      <c r="E94" s="122" t="str">
        <f>DEC2HEX(Y94*2^31+Z94*2^30+AA94*2^29+AB94*2^28+AC94*2^27+AD94*2^26+AE94*2^25+AF94*2^24+AG94*2^23+AH94*2^22+AI94*2^21+AJ94*2^20+AK94*2^19+AL94*2^18+AM94*2^17+AN94*2^16+AO94*2^15+AP94*2^14+AQ94*2^13+AR94*2^12+AS94*2^11+AT94*2^10+AU94*2^9+AV94*2^8+AW94*2^7+AX94*2^6+AY94*2^5+AZ94*2^4+BA94*2^3+BB94*2^2+BC94*2^1+BD94*2^0,8)</f>
        <v>00000000</v>
      </c>
      <c r="F94" s="179"/>
      <c r="G94"/>
      <c r="H94" s="269"/>
      <c r="I94" s="270"/>
      <c r="J94" s="270"/>
      <c r="K94" s="270"/>
      <c r="L94" s="270"/>
      <c r="M94" s="271"/>
      <c r="N94" s="275" t="s">
        <v>990</v>
      </c>
      <c r="O94" s="284" t="s">
        <v>991</v>
      </c>
      <c r="P94" s="258" t="s">
        <v>989</v>
      </c>
      <c r="Q94" s="281" t="s">
        <v>991</v>
      </c>
      <c r="R94" s="257" t="s">
        <v>988</v>
      </c>
      <c r="S94" s="281" t="s">
        <v>991</v>
      </c>
      <c r="T94" s="261" t="s">
        <v>987</v>
      </c>
      <c r="U94" s="281" t="s">
        <v>991</v>
      </c>
      <c r="V94" s="261" t="s">
        <v>986</v>
      </c>
      <c r="W94" s="280" t="s">
        <v>991</v>
      </c>
      <c r="X94" s="395"/>
      <c r="Y94" s="396">
        <v>0</v>
      </c>
      <c r="Z94" s="396">
        <v>0</v>
      </c>
      <c r="AA94" s="396">
        <v>0</v>
      </c>
      <c r="AB94" s="396">
        <v>0</v>
      </c>
      <c r="AC94" s="396">
        <v>0</v>
      </c>
      <c r="AD94" s="396">
        <v>0</v>
      </c>
      <c r="AE94" s="396">
        <v>0</v>
      </c>
      <c r="AF94" s="396">
        <v>0</v>
      </c>
      <c r="AG94" s="396">
        <v>0</v>
      </c>
      <c r="AH94" s="396">
        <v>0</v>
      </c>
      <c r="AI94" s="396">
        <v>0</v>
      </c>
      <c r="AJ94" s="396">
        <v>0</v>
      </c>
      <c r="AK94" s="396">
        <v>0</v>
      </c>
      <c r="AL94" s="396">
        <v>0</v>
      </c>
      <c r="AM94" s="396">
        <v>0</v>
      </c>
      <c r="AN94" s="396">
        <v>0</v>
      </c>
      <c r="AO94" s="396">
        <v>0</v>
      </c>
      <c r="AP94" s="396">
        <v>0</v>
      </c>
      <c r="AQ94" s="396">
        <v>0</v>
      </c>
      <c r="AR94" s="396">
        <v>0</v>
      </c>
      <c r="AS94" s="396">
        <v>0</v>
      </c>
      <c r="AT94" s="396">
        <v>0</v>
      </c>
      <c r="AU94" s="396">
        <v>0</v>
      </c>
      <c r="AV94" s="396">
        <v>0</v>
      </c>
      <c r="AW94" s="396">
        <v>0</v>
      </c>
      <c r="AX94" s="396">
        <v>0</v>
      </c>
      <c r="AY94" s="396">
        <v>0</v>
      </c>
      <c r="AZ94" s="396">
        <f>IF(O94="Mask",1,0)</f>
        <v>0</v>
      </c>
      <c r="BA94" s="396">
        <f>IF(Q94="Mask",1,0)</f>
        <v>0</v>
      </c>
      <c r="BB94" s="396">
        <f>IF(S94="Mask",1,0)</f>
        <v>0</v>
      </c>
      <c r="BC94" s="396">
        <f>IF(U94="Mask",1,0)</f>
        <v>0</v>
      </c>
      <c r="BD94" s="396">
        <f>IF(W94="Mask",1,0)</f>
        <v>0</v>
      </c>
    </row>
    <row r="95" spans="2:57">
      <c r="B95" s="280" t="s">
        <v>1100</v>
      </c>
      <c r="C95" s="254" t="s">
        <v>931</v>
      </c>
      <c r="D95" s="255" t="s">
        <v>932</v>
      </c>
      <c r="E95" s="122" t="str">
        <f>DEC2HEX(Y95*2^31+Z95*2^30+AA95*2^29+AB95*2^28+AC95*2^27+AD95*2^26+AE95*2^25+AF95*2^24+AG95*2^23+AH95*2^22+AI95*2^21+AJ95*2^20+AK95*2^19+AL95*2^18+AM95*2^17+AN95*2^16+AO95*2^15+AP95*2^14+AQ95*2^13+AR95*2^12+AS95*2^11+AT95*2^10+AU95*2^9+AV95*2^8+AW95*2^7+AX95*2^6+AY95*2^5+AZ95*2^4+BA95*2^3+BB95*2^2+BC95*2^1+BD95*2^0,8)</f>
        <v>00000000</v>
      </c>
      <c r="F95" s="179"/>
      <c r="G95"/>
      <c r="H95" s="265"/>
      <c r="I95" s="268"/>
      <c r="J95" s="268"/>
      <c r="K95" s="268"/>
      <c r="L95" s="268"/>
      <c r="M95" s="268"/>
      <c r="N95" s="273"/>
      <c r="O95" s="261"/>
      <c r="P95" s="266" t="s">
        <v>995</v>
      </c>
      <c r="Q95" s="281" t="s">
        <v>991</v>
      </c>
      <c r="R95" s="271" t="s">
        <v>994</v>
      </c>
      <c r="S95" s="284" t="s">
        <v>991</v>
      </c>
      <c r="T95" s="266" t="s">
        <v>993</v>
      </c>
      <c r="U95" s="281" t="s">
        <v>991</v>
      </c>
      <c r="V95" s="271" t="s">
        <v>992</v>
      </c>
      <c r="W95" s="285" t="s">
        <v>991</v>
      </c>
      <c r="X95" s="395"/>
      <c r="Y95" s="396">
        <v>0</v>
      </c>
      <c r="Z95" s="396">
        <v>0</v>
      </c>
      <c r="AA95" s="396">
        <v>0</v>
      </c>
      <c r="AB95" s="396">
        <v>0</v>
      </c>
      <c r="AC95" s="396">
        <v>0</v>
      </c>
      <c r="AD95" s="396">
        <v>0</v>
      </c>
      <c r="AE95" s="396">
        <v>0</v>
      </c>
      <c r="AF95" s="396">
        <v>0</v>
      </c>
      <c r="AG95" s="396">
        <v>0</v>
      </c>
      <c r="AH95" s="396">
        <v>0</v>
      </c>
      <c r="AI95" s="396">
        <v>0</v>
      </c>
      <c r="AJ95" s="396">
        <v>0</v>
      </c>
      <c r="AK95" s="396">
        <v>0</v>
      </c>
      <c r="AL95" s="396">
        <v>0</v>
      </c>
      <c r="AM95" s="396">
        <v>0</v>
      </c>
      <c r="AN95" s="396">
        <v>0</v>
      </c>
      <c r="AO95" s="396">
        <v>0</v>
      </c>
      <c r="AP95" s="396">
        <v>0</v>
      </c>
      <c r="AQ95" s="396">
        <v>0</v>
      </c>
      <c r="AR95" s="396">
        <v>0</v>
      </c>
      <c r="AS95" s="396">
        <v>0</v>
      </c>
      <c r="AT95" s="396">
        <v>0</v>
      </c>
      <c r="AU95" s="396">
        <v>0</v>
      </c>
      <c r="AV95" s="396">
        <v>0</v>
      </c>
      <c r="AW95" s="396">
        <v>0</v>
      </c>
      <c r="AX95" s="396">
        <v>0</v>
      </c>
      <c r="AY95" s="396">
        <v>0</v>
      </c>
      <c r="AZ95" s="396">
        <v>0</v>
      </c>
      <c r="BA95" s="396">
        <f>IF(Q95="Mask",1,0)</f>
        <v>0</v>
      </c>
      <c r="BB95" s="396">
        <f>IF(S95="Mask",1,0)</f>
        <v>0</v>
      </c>
      <c r="BC95" s="396">
        <f>IF(U95="Mask",1,0)</f>
        <v>0</v>
      </c>
      <c r="BD95" s="396">
        <f>IF(W95="Mask",1,0)</f>
        <v>0</v>
      </c>
    </row>
    <row r="96" spans="2:57" ht="15">
      <c r="B96" s="280" t="s">
        <v>1237</v>
      </c>
      <c r="C96" s="254" t="s">
        <v>933</v>
      </c>
      <c r="D96" s="255" t="s">
        <v>934</v>
      </c>
      <c r="E96" s="122" t="str">
        <f>DEC2HEX(HEX2DEC(K96),8)</f>
        <v>00000015</v>
      </c>
      <c r="F96" s="179"/>
      <c r="G96"/>
      <c r="H96" s="495" t="s">
        <v>996</v>
      </c>
      <c r="I96" s="496"/>
      <c r="J96" s="497"/>
      <c r="K96" s="283" t="s">
        <v>1273</v>
      </c>
      <c r="L96" s="264" t="str">
        <f>IF(HEX2DEC(K96)&lt;0,"NG",IF(HEX2DEC(K96)&gt;31,"NG","OK"))</f>
        <v>OK</v>
      </c>
      <c r="M96" s="265"/>
      <c r="N96" s="268"/>
      <c r="O96" s="268"/>
      <c r="P96" s="268"/>
      <c r="Q96" s="268"/>
      <c r="R96" s="268"/>
      <c r="S96" s="268"/>
      <c r="T96" s="268"/>
      <c r="U96" s="268"/>
      <c r="V96" s="268"/>
      <c r="W96" s="266"/>
      <c r="X96" s="376"/>
      <c r="AH96" s="376"/>
    </row>
    <row r="97" spans="2:56">
      <c r="B97" s="280" t="s">
        <v>1100</v>
      </c>
      <c r="C97" s="254" t="s">
        <v>1265</v>
      </c>
      <c r="D97" s="255" t="s">
        <v>1264</v>
      </c>
      <c r="E97" s="122" t="str">
        <f>DEC2HEX(Y97*2^31+Z97*2^30+AA97*2^29+AB97*2^28+AC97*2^27+AD97*2^26+AE97*2^25+AF97*2^24+AG97*2^23+AH97*2^22+AI97*2^21+AJ97*2^20+AK97*2^19+AL97*2^18+AM97*2^17+AN97*2^16+AO97*2^15+AP97*2^14+AQ97*2^13+AR97*2^12+AS97*2^11+AT97*2^10+AU97*2^9+AV97*2^8+AW97*2^7+AX97*2^6+AY97*2^5+AZ97*2^4+BA97*2^3+BB97*2^2+BC97*2^1+BD97*2^0,8)</f>
        <v>00000000</v>
      </c>
      <c r="F97" s="179"/>
      <c r="G97"/>
      <c r="H97" s="265"/>
      <c r="I97" s="268"/>
      <c r="J97" s="268"/>
      <c r="K97" s="268"/>
      <c r="L97" s="268"/>
      <c r="M97" s="268"/>
      <c r="N97" s="273"/>
      <c r="O97" s="261"/>
      <c r="P97" s="266" t="s">
        <v>1267</v>
      </c>
      <c r="Q97" s="281" t="s">
        <v>991</v>
      </c>
      <c r="R97" s="265"/>
      <c r="S97" s="266"/>
      <c r="T97" s="266" t="s">
        <v>1266</v>
      </c>
      <c r="U97" s="281" t="s">
        <v>991</v>
      </c>
      <c r="V97" s="265"/>
      <c r="W97" s="266"/>
      <c r="X97" s="395"/>
      <c r="Y97" s="396">
        <v>0</v>
      </c>
      <c r="Z97" s="396">
        <v>0</v>
      </c>
      <c r="AA97" s="396">
        <v>0</v>
      </c>
      <c r="AB97" s="396">
        <v>0</v>
      </c>
      <c r="AC97" s="396">
        <v>0</v>
      </c>
      <c r="AD97" s="396">
        <v>0</v>
      </c>
      <c r="AE97" s="396">
        <v>0</v>
      </c>
      <c r="AF97" s="396">
        <v>0</v>
      </c>
      <c r="AG97" s="396">
        <v>0</v>
      </c>
      <c r="AH97" s="396">
        <v>0</v>
      </c>
      <c r="AI97" s="396">
        <v>0</v>
      </c>
      <c r="AJ97" s="396">
        <v>0</v>
      </c>
      <c r="AK97" s="396">
        <v>0</v>
      </c>
      <c r="AL97" s="396">
        <v>0</v>
      </c>
      <c r="AM97" s="396">
        <v>0</v>
      </c>
      <c r="AN97" s="396">
        <v>0</v>
      </c>
      <c r="AO97" s="396">
        <v>0</v>
      </c>
      <c r="AP97" s="396">
        <v>0</v>
      </c>
      <c r="AQ97" s="396">
        <v>0</v>
      </c>
      <c r="AR97" s="396">
        <v>0</v>
      </c>
      <c r="AS97" s="396">
        <v>0</v>
      </c>
      <c r="AT97" s="396">
        <v>0</v>
      </c>
      <c r="AU97" s="396">
        <v>0</v>
      </c>
      <c r="AV97" s="396">
        <v>0</v>
      </c>
      <c r="AW97" s="396">
        <v>0</v>
      </c>
      <c r="AX97" s="396">
        <v>0</v>
      </c>
      <c r="AY97" s="396">
        <v>0</v>
      </c>
      <c r="AZ97" s="396">
        <v>0</v>
      </c>
      <c r="BA97" s="396">
        <f>IF(Q97="Mask",1,0)</f>
        <v>0</v>
      </c>
      <c r="BB97" s="396">
        <v>0</v>
      </c>
      <c r="BC97" s="396">
        <f>IF(U97="Mask",1,0)</f>
        <v>0</v>
      </c>
      <c r="BD97" s="396">
        <v>0</v>
      </c>
    </row>
    <row r="98" spans="2:56">
      <c r="B98" s="280" t="s">
        <v>1237</v>
      </c>
      <c r="C98" s="254" t="s">
        <v>935</v>
      </c>
      <c r="D98" s="255" t="s">
        <v>67</v>
      </c>
      <c r="E98" s="122" t="str">
        <f>DEC2HEX(Y98*2^31+Z98*2^30+AA98*2^29+AB98*2^28+AC98*2^27+AD98*2^26+AE98*2^25+AF98*2^24+AG98*2^23+AH98*2^22+AI98*2^21+AJ98*2^20+AK98*2^19+AL98*2^18+AM98*2^17+AN98*2^16+AO98*2^15+AP98*2^14+AQ98*2^13+AR98*2^12+AS98*2^11+AT98*2^10+AU98*2^9+AV98*2^8+AW98*2^7+AX98*2^6+AY98*2^5+AZ98*2^4+BA98*2^3+BB98*2^2+BC98*2^1+BD98*2^0,8)</f>
        <v>00000000</v>
      </c>
      <c r="F98" s="179"/>
      <c r="G98"/>
      <c r="H98" s="258" t="s">
        <v>1004</v>
      </c>
      <c r="I98" s="280" t="s">
        <v>991</v>
      </c>
      <c r="J98" s="258" t="s">
        <v>1003</v>
      </c>
      <c r="K98" s="280" t="s">
        <v>991</v>
      </c>
      <c r="L98" s="258" t="s">
        <v>1002</v>
      </c>
      <c r="M98" s="280" t="s">
        <v>991</v>
      </c>
      <c r="N98" s="258" t="s">
        <v>1001</v>
      </c>
      <c r="O98" s="280" t="s">
        <v>991</v>
      </c>
      <c r="P98" s="258" t="s">
        <v>1000</v>
      </c>
      <c r="Q98" s="280" t="s">
        <v>991</v>
      </c>
      <c r="R98" s="308" t="s">
        <v>999</v>
      </c>
      <c r="S98" s="309" t="s">
        <v>991</v>
      </c>
      <c r="T98" s="258" t="s">
        <v>998</v>
      </c>
      <c r="U98" s="285" t="s">
        <v>991</v>
      </c>
      <c r="V98" s="306" t="s">
        <v>997</v>
      </c>
      <c r="W98" s="307" t="s">
        <v>991</v>
      </c>
      <c r="X98" s="376"/>
      <c r="Y98" s="396">
        <v>0</v>
      </c>
      <c r="Z98" s="396">
        <v>0</v>
      </c>
      <c r="AA98" s="396">
        <v>0</v>
      </c>
      <c r="AB98" s="396">
        <v>0</v>
      </c>
      <c r="AC98" s="396">
        <v>0</v>
      </c>
      <c r="AD98" s="396">
        <v>0</v>
      </c>
      <c r="AE98" s="396">
        <v>0</v>
      </c>
      <c r="AF98" s="396">
        <v>0</v>
      </c>
      <c r="AG98" s="396">
        <v>0</v>
      </c>
      <c r="AH98" s="396">
        <v>0</v>
      </c>
      <c r="AI98" s="396">
        <v>0</v>
      </c>
      <c r="AJ98" s="396">
        <v>0</v>
      </c>
      <c r="AK98" s="396">
        <v>0</v>
      </c>
      <c r="AL98" s="396">
        <v>0</v>
      </c>
      <c r="AM98" s="396">
        <v>0</v>
      </c>
      <c r="AN98" s="396">
        <v>0</v>
      </c>
      <c r="AO98" s="396">
        <v>0</v>
      </c>
      <c r="AP98" s="396">
        <v>0</v>
      </c>
      <c r="AQ98" s="396">
        <v>0</v>
      </c>
      <c r="AR98" s="396">
        <v>0</v>
      </c>
      <c r="AS98" s="396">
        <v>0</v>
      </c>
      <c r="AT98" s="396">
        <v>0</v>
      </c>
      <c r="AU98" s="396">
        <f>IF(I98="Mask",1,0)</f>
        <v>0</v>
      </c>
      <c r="AV98" s="396">
        <f>IF(K98="Mask",1,0)</f>
        <v>0</v>
      </c>
      <c r="AW98" s="396">
        <v>0</v>
      </c>
      <c r="AX98" s="396">
        <f>IF(M98="Mask",1,0)</f>
        <v>0</v>
      </c>
      <c r="AY98" s="396">
        <v>0</v>
      </c>
      <c r="AZ98" s="396">
        <f>IF(O98="Mask",1,0)</f>
        <v>0</v>
      </c>
      <c r="BA98" s="396">
        <f>IF(Q98="Mask",1,0)</f>
        <v>0</v>
      </c>
      <c r="BB98" s="396">
        <f>IF(S98="Mask",1,0)</f>
        <v>0</v>
      </c>
      <c r="BC98" s="396">
        <f>IF(U98="Mask",1,0)</f>
        <v>0</v>
      </c>
      <c r="BD98" s="396">
        <f>IF(W98="Mask",1,0)</f>
        <v>0</v>
      </c>
    </row>
    <row r="99" spans="2:56">
      <c r="B99" s="280" t="s">
        <v>1237</v>
      </c>
      <c r="C99" s="254" t="s">
        <v>936</v>
      </c>
      <c r="D99" s="255" t="s">
        <v>68</v>
      </c>
      <c r="E99" s="122" t="str">
        <f>DEC2HEX(Y99*2^31+Z99*2^30+AA99*2^29+AB99*2^28+AC99*2^27+AD99*2^26+AE99*2^25+AF99*2^24+AG99*2^23+AH99*2^22+AI99*2^21+AJ99*2^20+AK99*2^19+AL99*2^18+AM99*2^17+AN99*2^16+AO99*2^15+AP99*2^14+AQ99*2^13+AR99*2^12+AS99*2^11+AT99*2^10+AU99*2^9+AV99*2^8+AW99*2^7+AX99*2^6+AY99*2^5+AZ99*2^4+BA99*2^3+BB99*2^2+BC99*2^1+BD99*2^0,8)</f>
        <v>00000080</v>
      </c>
      <c r="F99" s="179"/>
      <c r="G99"/>
      <c r="H99" s="498" t="s">
        <v>1005</v>
      </c>
      <c r="I99" s="499"/>
      <c r="J99" s="285" t="s">
        <v>991</v>
      </c>
      <c r="K99" s="285" t="s">
        <v>991</v>
      </c>
      <c r="L99" s="280" t="s">
        <v>991</v>
      </c>
      <c r="M99" s="280" t="s">
        <v>991</v>
      </c>
      <c r="N99" s="280" t="s">
        <v>991</v>
      </c>
      <c r="O99" s="280" t="s">
        <v>991</v>
      </c>
      <c r="P99" s="397" t="s">
        <v>1571</v>
      </c>
      <c r="Q99" s="285" t="s">
        <v>991</v>
      </c>
      <c r="R99" s="276"/>
      <c r="S99" s="285" t="s">
        <v>991</v>
      </c>
      <c r="T99" s="284" t="s">
        <v>991</v>
      </c>
      <c r="U99" s="278"/>
      <c r="V99" s="273"/>
      <c r="W99" s="261"/>
      <c r="X99" s="376"/>
      <c r="Y99" s="396">
        <v>0</v>
      </c>
      <c r="Z99" s="396">
        <v>0</v>
      </c>
      <c r="AA99" s="396">
        <v>0</v>
      </c>
      <c r="AB99" s="396">
        <v>0</v>
      </c>
      <c r="AC99" s="396">
        <v>0</v>
      </c>
      <c r="AD99" s="396">
        <v>0</v>
      </c>
      <c r="AE99" s="396">
        <v>0</v>
      </c>
      <c r="AF99" s="396">
        <v>0</v>
      </c>
      <c r="AG99" s="396">
        <v>0</v>
      </c>
      <c r="AH99" s="396">
        <v>0</v>
      </c>
      <c r="AI99" s="396">
        <v>0</v>
      </c>
      <c r="AJ99" s="396">
        <v>0</v>
      </c>
      <c r="AK99" s="396">
        <v>0</v>
      </c>
      <c r="AL99" s="396">
        <v>0</v>
      </c>
      <c r="AM99" s="396">
        <v>0</v>
      </c>
      <c r="AN99" s="396">
        <v>0</v>
      </c>
      <c r="AO99" s="396">
        <v>0</v>
      </c>
      <c r="AP99" s="396">
        <v>0</v>
      </c>
      <c r="AQ99" s="396">
        <f t="shared" ref="AQ99:AX99" si="5">IF(J99="Mask",1,0)</f>
        <v>0</v>
      </c>
      <c r="AR99" s="396">
        <f t="shared" si="5"/>
        <v>0</v>
      </c>
      <c r="AS99" s="396">
        <f t="shared" si="5"/>
        <v>0</v>
      </c>
      <c r="AT99" s="396">
        <f t="shared" si="5"/>
        <v>0</v>
      </c>
      <c r="AU99" s="396">
        <f t="shared" si="5"/>
        <v>0</v>
      </c>
      <c r="AV99" s="396">
        <f t="shared" si="5"/>
        <v>0</v>
      </c>
      <c r="AW99" s="396">
        <f t="shared" si="5"/>
        <v>1</v>
      </c>
      <c r="AX99" s="396">
        <f t="shared" si="5"/>
        <v>0</v>
      </c>
      <c r="AY99" s="396">
        <v>0</v>
      </c>
      <c r="AZ99" s="396">
        <f>IF(S99="Mask",1,0)</f>
        <v>0</v>
      </c>
      <c r="BA99" s="396">
        <f>IF(T99="Mask",1,0)</f>
        <v>0</v>
      </c>
      <c r="BB99" s="396">
        <v>0</v>
      </c>
      <c r="BC99" s="396">
        <v>0</v>
      </c>
      <c r="BD99" s="396">
        <v>0</v>
      </c>
    </row>
    <row r="100" spans="2:56">
      <c r="B100" s="280" t="s">
        <v>1237</v>
      </c>
      <c r="C100" s="254" t="s">
        <v>937</v>
      </c>
      <c r="D100" s="255" t="s">
        <v>69</v>
      </c>
      <c r="E100" s="122" t="str">
        <f>DEC2HEX(Y100*2^31+Z100*2^30+AA100*2^29+AB100*2^28+AC100*2^27+AD100*2^26+AE100*2^25+AF100*2^24+AG100*2^23+AH100*2^22+AI100*2^21+AJ100*2^20+AK100*2^19+AL100*2^18+AM100*2^17+AN100*2^16+AO100*2^15+AP100*2^14+AQ100*2^13+AR100*2^12+AS100*2^11+AT100*2^10+AU100*2^9+AV100*2^8+AW100*2^7+AX100*2^6+AY100*2^5+AZ100*2^4+BA100*2^3+BB100*2^2+BC100*2^1+BD100*2^0,8)</f>
        <v>00000000</v>
      </c>
      <c r="F100" s="179"/>
      <c r="G100"/>
      <c r="H100" s="277"/>
      <c r="I100" s="273"/>
      <c r="J100" s="273"/>
      <c r="K100" s="261"/>
      <c r="L100" s="261" t="s">
        <v>1008</v>
      </c>
      <c r="M100" s="280" t="s">
        <v>991</v>
      </c>
      <c r="N100" s="258" t="s">
        <v>1007</v>
      </c>
      <c r="O100" s="281" t="s">
        <v>991</v>
      </c>
      <c r="P100" s="277"/>
      <c r="Q100" s="273"/>
      <c r="R100" s="273"/>
      <c r="S100" s="273"/>
      <c r="T100" s="273"/>
      <c r="U100" s="261"/>
      <c r="V100" s="258" t="s">
        <v>1006</v>
      </c>
      <c r="W100" s="280" t="s">
        <v>991</v>
      </c>
      <c r="X100" s="376"/>
      <c r="Y100" s="396">
        <v>0</v>
      </c>
      <c r="Z100" s="396">
        <v>0</v>
      </c>
      <c r="AA100" s="396">
        <v>0</v>
      </c>
      <c r="AB100" s="396">
        <v>0</v>
      </c>
      <c r="AC100" s="396">
        <v>0</v>
      </c>
      <c r="AD100" s="396">
        <v>0</v>
      </c>
      <c r="AE100" s="396">
        <v>0</v>
      </c>
      <c r="AF100" s="396">
        <v>0</v>
      </c>
      <c r="AG100" s="396">
        <v>0</v>
      </c>
      <c r="AH100" s="396">
        <v>0</v>
      </c>
      <c r="AI100" s="396">
        <v>0</v>
      </c>
      <c r="AJ100" s="396">
        <v>0</v>
      </c>
      <c r="AK100" s="396">
        <v>0</v>
      </c>
      <c r="AL100" s="396">
        <v>0</v>
      </c>
      <c r="AM100" s="396">
        <v>0</v>
      </c>
      <c r="AN100" s="396">
        <v>0</v>
      </c>
      <c r="AO100" s="396">
        <v>0</v>
      </c>
      <c r="AP100" s="396">
        <v>0</v>
      </c>
      <c r="AQ100" s="396">
        <v>0</v>
      </c>
      <c r="AR100" s="396">
        <v>0</v>
      </c>
      <c r="AS100" s="396">
        <v>0</v>
      </c>
      <c r="AT100" s="396">
        <v>0</v>
      </c>
      <c r="AU100" s="396">
        <f>IF(M100="Mask",1,0)</f>
        <v>0</v>
      </c>
      <c r="AV100" s="396">
        <f>IF(O100="Mask",1,0)</f>
        <v>0</v>
      </c>
      <c r="AW100" s="396">
        <v>0</v>
      </c>
      <c r="AX100" s="396">
        <v>0</v>
      </c>
      <c r="AY100" s="396">
        <v>0</v>
      </c>
      <c r="AZ100" s="396">
        <v>0</v>
      </c>
      <c r="BA100" s="396">
        <v>0</v>
      </c>
      <c r="BB100" s="396">
        <v>0</v>
      </c>
      <c r="BC100" s="396">
        <v>0</v>
      </c>
      <c r="BD100" s="396">
        <f>IF(W100="Mask",1,0)</f>
        <v>0</v>
      </c>
    </row>
    <row r="101" spans="2:56">
      <c r="B101" s="280" t="s">
        <v>1100</v>
      </c>
      <c r="C101" s="8" t="s">
        <v>1239</v>
      </c>
      <c r="D101" s="15" t="s">
        <v>1238</v>
      </c>
      <c r="E101" s="122" t="str">
        <f>DEC2HEX(Y101*2^31+Z101*2^30+AA101*2^29+AB101*2^28+AC101*2^27+AD101*2^26+AE101*2^25+AF101*2^24+AG101*2^23+AH101*2^22+AI101*2^21+AJ101*2^20+AK101*2^19+AL101*2^18+AM101*2^17+AN101*2^16+AO101*2^15+AP101*2^14+AQ101*2^13+AR101*2^12+AS101*2^11+AT101*2^10+AU101*2^9+AV101*2^8+AW101*2^7+AX101*2^6+AY101*2^5+AZ101*2^4+BA101*2^3+BB101*2^2+BC101*2^1+BD101*2^0,8)</f>
        <v>00000000</v>
      </c>
      <c r="F101" s="39"/>
      <c r="G101"/>
      <c r="H101" s="277"/>
      <c r="I101" s="273"/>
      <c r="J101" s="273"/>
      <c r="K101" s="273"/>
      <c r="L101" s="273"/>
      <c r="M101" s="261"/>
      <c r="N101" s="303" t="s">
        <v>1251</v>
      </c>
      <c r="O101" s="280">
        <v>0</v>
      </c>
      <c r="P101" s="303" t="s">
        <v>1250</v>
      </c>
      <c r="Q101" s="280">
        <v>0</v>
      </c>
      <c r="R101" s="303" t="s">
        <v>1249</v>
      </c>
      <c r="S101" s="280">
        <v>0</v>
      </c>
      <c r="T101" s="303" t="s">
        <v>1248</v>
      </c>
      <c r="U101" s="280">
        <v>0</v>
      </c>
      <c r="V101" s="303" t="s">
        <v>1240</v>
      </c>
      <c r="W101" s="280">
        <v>0</v>
      </c>
      <c r="X101" s="376"/>
      <c r="Y101" s="396">
        <v>0</v>
      </c>
      <c r="Z101" s="396">
        <v>0</v>
      </c>
      <c r="AA101" s="396">
        <v>0</v>
      </c>
      <c r="AB101" s="396">
        <v>0</v>
      </c>
      <c r="AC101" s="396">
        <v>0</v>
      </c>
      <c r="AD101" s="396">
        <v>0</v>
      </c>
      <c r="AE101" s="396">
        <v>0</v>
      </c>
      <c r="AF101" s="396">
        <v>0</v>
      </c>
      <c r="AG101" s="396">
        <v>0</v>
      </c>
      <c r="AH101" s="396">
        <v>0</v>
      </c>
      <c r="AI101" s="396">
        <v>0</v>
      </c>
      <c r="AJ101" s="396">
        <v>0</v>
      </c>
      <c r="AK101" s="396">
        <v>0</v>
      </c>
      <c r="AL101" s="396">
        <v>0</v>
      </c>
      <c r="AM101" s="396">
        <v>0</v>
      </c>
      <c r="AN101" s="396">
        <f>O101</f>
        <v>0</v>
      </c>
      <c r="AO101" s="396">
        <v>0</v>
      </c>
      <c r="AP101" s="396">
        <v>0</v>
      </c>
      <c r="AQ101" s="396">
        <v>0</v>
      </c>
      <c r="AR101" s="396">
        <f>Q101</f>
        <v>0</v>
      </c>
      <c r="AS101" s="396">
        <v>0</v>
      </c>
      <c r="AT101" s="396">
        <v>0</v>
      </c>
      <c r="AU101" s="396">
        <v>0</v>
      </c>
      <c r="AV101" s="396">
        <f>S101</f>
        <v>0</v>
      </c>
      <c r="AW101" s="396">
        <v>0</v>
      </c>
      <c r="AX101" s="396">
        <v>0</v>
      </c>
      <c r="AY101" s="396">
        <v>0</v>
      </c>
      <c r="AZ101" s="396">
        <f>U101</f>
        <v>0</v>
      </c>
      <c r="BA101" s="396">
        <v>0</v>
      </c>
      <c r="BB101" s="396">
        <v>0</v>
      </c>
      <c r="BC101" s="396">
        <v>0</v>
      </c>
      <c r="BD101" s="396">
        <f>W101</f>
        <v>0</v>
      </c>
    </row>
    <row r="102" spans="2:56">
      <c r="B102" s="19" t="s">
        <v>75</v>
      </c>
      <c r="C102" s="8" t="s">
        <v>80</v>
      </c>
      <c r="D102" s="15" t="s">
        <v>871</v>
      </c>
      <c r="E102" s="122" t="str">
        <f>Main_Parameters!$C$136</f>
        <v>00000006</v>
      </c>
      <c r="F102" s="39"/>
      <c r="G102"/>
      <c r="H102"/>
      <c r="I102"/>
      <c r="J102"/>
      <c r="K102"/>
      <c r="L102"/>
      <c r="M102"/>
      <c r="N102"/>
      <c r="O102"/>
      <c r="P102"/>
      <c r="Q102"/>
      <c r="R102"/>
      <c r="S102"/>
      <c r="T102"/>
      <c r="U102"/>
      <c r="V102"/>
      <c r="W102"/>
      <c r="X102" s="376"/>
      <c r="AH102" s="376"/>
    </row>
    <row r="103" spans="2:56">
      <c r="B103" s="19" t="s">
        <v>75</v>
      </c>
      <c r="C103" s="8" t="s">
        <v>81</v>
      </c>
      <c r="D103" s="15" t="s">
        <v>872</v>
      </c>
      <c r="E103" s="122" t="str">
        <f>Main_Parameters!$C$137</f>
        <v>00240204</v>
      </c>
      <c r="F103" s="39"/>
      <c r="G103"/>
      <c r="H103"/>
      <c r="I103"/>
      <c r="J103"/>
      <c r="K103"/>
      <c r="L103"/>
      <c r="M103"/>
      <c r="N103"/>
      <c r="O103"/>
      <c r="P103"/>
      <c r="Q103"/>
      <c r="R103"/>
      <c r="S103"/>
      <c r="T103"/>
      <c r="U103"/>
      <c r="V103"/>
      <c r="W103"/>
      <c r="X103" s="376"/>
      <c r="AH103" s="376"/>
    </row>
    <row r="104" spans="2:56">
      <c r="B104" s="19" t="s">
        <v>75</v>
      </c>
      <c r="C104" s="8" t="s">
        <v>82</v>
      </c>
      <c r="D104" s="15" t="s">
        <v>938</v>
      </c>
      <c r="E104" s="122" t="str">
        <f>Main_Parameters!$C$138</f>
        <v>000D0008</v>
      </c>
      <c r="F104" s="39"/>
      <c r="G104"/>
      <c r="H104"/>
      <c r="I104"/>
      <c r="J104"/>
      <c r="K104"/>
      <c r="L104"/>
      <c r="M104"/>
      <c r="N104"/>
      <c r="O104"/>
      <c r="P104"/>
      <c r="Q104"/>
      <c r="R104"/>
      <c r="S104"/>
      <c r="T104"/>
      <c r="U104"/>
      <c r="V104"/>
      <c r="W104"/>
      <c r="X104" s="376"/>
      <c r="AH104" s="376"/>
    </row>
    <row r="105" spans="2:56">
      <c r="B105" s="19" t="s">
        <v>75</v>
      </c>
      <c r="C105" s="8" t="s">
        <v>83</v>
      </c>
      <c r="D105" s="15" t="s">
        <v>874</v>
      </c>
      <c r="E105" s="122" t="str">
        <f>Main_Parameters!$C$139</f>
        <v>00140006</v>
      </c>
      <c r="F105" s="39"/>
      <c r="G105"/>
      <c r="H105"/>
      <c r="I105"/>
      <c r="J105"/>
      <c r="K105"/>
      <c r="L105"/>
      <c r="M105"/>
      <c r="N105"/>
      <c r="O105"/>
      <c r="P105"/>
      <c r="Q105"/>
      <c r="R105"/>
      <c r="S105"/>
      <c r="T105"/>
      <c r="U105"/>
      <c r="V105"/>
      <c r="W105"/>
      <c r="X105" s="376"/>
      <c r="AH105" s="376"/>
    </row>
    <row r="106" spans="2:56">
      <c r="B106" s="19" t="s">
        <v>75</v>
      </c>
      <c r="C106" s="8" t="s">
        <v>942</v>
      </c>
      <c r="D106" s="15" t="s">
        <v>875</v>
      </c>
      <c r="E106" s="122" t="str">
        <f>Main_Parameters!$C$140</f>
        <v>00004268</v>
      </c>
      <c r="F106" s="39"/>
      <c r="G106"/>
      <c r="H106"/>
      <c r="I106"/>
      <c r="J106"/>
      <c r="K106"/>
      <c r="L106"/>
      <c r="M106"/>
      <c r="N106"/>
      <c r="O106"/>
      <c r="P106"/>
      <c r="Q106"/>
      <c r="R106"/>
      <c r="S106"/>
      <c r="T106"/>
      <c r="U106"/>
      <c r="V106"/>
      <c r="W106"/>
      <c r="X106" s="376"/>
      <c r="AH106" s="376"/>
    </row>
    <row r="107" spans="2:56">
      <c r="B107" s="19" t="s">
        <v>75</v>
      </c>
      <c r="C107" s="8" t="s">
        <v>84</v>
      </c>
      <c r="D107" s="15" t="s">
        <v>876</v>
      </c>
      <c r="E107" s="122" t="str">
        <f>Main_Parameters!$C$141</f>
        <v>0000000F</v>
      </c>
      <c r="F107" s="39"/>
      <c r="G107"/>
      <c r="H107"/>
      <c r="I107"/>
      <c r="J107"/>
      <c r="K107"/>
      <c r="L107"/>
      <c r="M107"/>
      <c r="N107"/>
      <c r="O107"/>
      <c r="P107"/>
      <c r="Q107"/>
      <c r="R107"/>
      <c r="S107"/>
      <c r="T107"/>
      <c r="U107"/>
      <c r="V107"/>
      <c r="W107"/>
      <c r="X107" s="376"/>
      <c r="AH107" s="376"/>
    </row>
    <row r="108" spans="2:56">
      <c r="B108" s="19" t="s">
        <v>75</v>
      </c>
      <c r="C108" s="8" t="s">
        <v>85</v>
      </c>
      <c r="D108" s="15" t="s">
        <v>939</v>
      </c>
      <c r="E108" s="122" t="str">
        <f>Main_Parameters!$C$142</f>
        <v>000D0008</v>
      </c>
      <c r="F108" s="39"/>
      <c r="G108"/>
      <c r="H108"/>
      <c r="I108"/>
      <c r="J108"/>
      <c r="K108" s="111"/>
      <c r="L108"/>
      <c r="M108"/>
      <c r="N108"/>
      <c r="O108"/>
      <c r="P108"/>
      <c r="Q108"/>
      <c r="R108"/>
      <c r="S108"/>
      <c r="T108"/>
      <c r="U108"/>
      <c r="V108"/>
      <c r="W108"/>
      <c r="X108" s="376"/>
      <c r="AH108" s="376"/>
    </row>
    <row r="109" spans="2:56">
      <c r="B109" s="19" t="s">
        <v>75</v>
      </c>
      <c r="C109" s="8" t="s">
        <v>86</v>
      </c>
      <c r="D109" s="15" t="s">
        <v>940</v>
      </c>
      <c r="E109" s="89" t="s">
        <v>1270</v>
      </c>
      <c r="F109" s="39"/>
      <c r="G109"/>
      <c r="H109"/>
      <c r="I109"/>
      <c r="J109"/>
      <c r="K109"/>
      <c r="L109"/>
      <c r="M109"/>
      <c r="N109"/>
      <c r="O109"/>
      <c r="P109"/>
      <c r="Q109"/>
      <c r="R109"/>
      <c r="S109"/>
      <c r="T109"/>
      <c r="U109"/>
      <c r="V109"/>
      <c r="W109"/>
      <c r="X109" s="376"/>
      <c r="AH109" s="376"/>
    </row>
    <row r="110" spans="2:56">
      <c r="B110" s="19" t="s">
        <v>75</v>
      </c>
      <c r="C110" s="8" t="s">
        <v>87</v>
      </c>
      <c r="D110" s="15" t="s">
        <v>941</v>
      </c>
      <c r="E110" s="122" t="str">
        <f>Main_Parameters!$C$144</f>
        <v>0000001F</v>
      </c>
      <c r="F110" s="39"/>
      <c r="G110"/>
      <c r="H110"/>
      <c r="I110"/>
      <c r="J110"/>
      <c r="K110"/>
      <c r="L110"/>
      <c r="M110"/>
      <c r="N110"/>
      <c r="O110"/>
      <c r="P110"/>
      <c r="Q110"/>
      <c r="R110"/>
      <c r="S110"/>
      <c r="T110"/>
      <c r="U110"/>
      <c r="V110"/>
      <c r="W110"/>
      <c r="X110" s="376"/>
      <c r="AH110" s="376"/>
    </row>
    <row r="111" spans="2:56">
      <c r="B111" s="19" t="s">
        <v>75</v>
      </c>
      <c r="C111" s="8" t="s">
        <v>943</v>
      </c>
      <c r="D111" s="15" t="s">
        <v>880</v>
      </c>
      <c r="E111" s="122" t="str">
        <f>Main_Parameters!$C$145</f>
        <v>00060005</v>
      </c>
      <c r="F111" s="39"/>
      <c r="G111"/>
      <c r="H111"/>
      <c r="I111"/>
      <c r="J111"/>
      <c r="K111"/>
      <c r="L111"/>
      <c r="M111"/>
      <c r="N111"/>
      <c r="O111"/>
      <c r="P111"/>
      <c r="Q111"/>
      <c r="R111"/>
      <c r="S111"/>
      <c r="T111"/>
      <c r="U111"/>
      <c r="V111"/>
      <c r="W111"/>
      <c r="X111" s="376"/>
      <c r="AH111" s="376"/>
    </row>
    <row r="112" spans="2:56">
      <c r="B112" s="280" t="s">
        <v>1237</v>
      </c>
      <c r="C112" s="8" t="s">
        <v>1018</v>
      </c>
      <c r="D112" s="15" t="s">
        <v>1011</v>
      </c>
      <c r="E112" s="122" t="str">
        <f>DEC2HEX(Y112*2^31+Z112*2^30+AA112*2^29+AB112*2^28+AC112*2^27+AD112*2^26+AE112*2^25+AF112*2^24+AG112*2^23+AH112*2^22+AI112*2^21+AJ112*2^20+AK112*2^19+AL112*2^18+AM112*2^17+AN112*2^16+AO112*2^15+AP112*2^14+AQ112*2^13+AR112*2^12+AS112*2^11+AT112*2^10+AU112*2^9+AV112*2^8+AW112*2^7+AX112*2^6+AY112*2^5+AZ112*2^4+BA112*2^3+BB112*2^2+BC112*2^1+BD112*2^0,8)</f>
        <v>00000002</v>
      </c>
      <c r="F112" s="39"/>
      <c r="G112"/>
      <c r="H112" s="277"/>
      <c r="I112" s="273"/>
      <c r="J112" s="273"/>
      <c r="K112" s="273"/>
      <c r="L112" s="273"/>
      <c r="M112" s="261"/>
      <c r="N112" s="261" t="s">
        <v>1017</v>
      </c>
      <c r="O112" s="280" t="s">
        <v>1272</v>
      </c>
      <c r="P112" s="258" t="s">
        <v>1015</v>
      </c>
      <c r="Q112" s="280" t="s">
        <v>1272</v>
      </c>
      <c r="R112" s="258" t="s">
        <v>1014</v>
      </c>
      <c r="S112" s="280" t="s">
        <v>1272</v>
      </c>
      <c r="T112" s="258" t="s">
        <v>1016</v>
      </c>
      <c r="U112" s="280" t="s">
        <v>1272</v>
      </c>
      <c r="V112" s="258" t="s">
        <v>1012</v>
      </c>
      <c r="W112" s="280" t="s">
        <v>1013</v>
      </c>
      <c r="X112" s="376"/>
      <c r="Y112" s="396">
        <v>0</v>
      </c>
      <c r="Z112" s="396">
        <v>0</v>
      </c>
      <c r="AA112" s="396">
        <v>0</v>
      </c>
      <c r="AB112" s="396">
        <v>0</v>
      </c>
      <c r="AC112" s="396">
        <v>0</v>
      </c>
      <c r="AD112" s="396">
        <v>0</v>
      </c>
      <c r="AE112" s="396">
        <v>0</v>
      </c>
      <c r="AF112" s="396">
        <v>0</v>
      </c>
      <c r="AG112" s="396">
        <v>0</v>
      </c>
      <c r="AH112" s="396">
        <v>0</v>
      </c>
      <c r="AI112" s="396">
        <v>0</v>
      </c>
      <c r="AJ112" s="396">
        <v>0</v>
      </c>
      <c r="AK112" s="396">
        <v>0</v>
      </c>
      <c r="AL112" s="396">
        <v>0</v>
      </c>
      <c r="AM112" s="396">
        <v>0</v>
      </c>
      <c r="AN112" s="396">
        <v>0</v>
      </c>
      <c r="AO112" s="396">
        <v>0</v>
      </c>
      <c r="AP112" s="396">
        <v>0</v>
      </c>
      <c r="AQ112" s="396">
        <v>0</v>
      </c>
      <c r="AR112" s="396">
        <v>0</v>
      </c>
      <c r="AS112" s="396">
        <v>0</v>
      </c>
      <c r="AT112" s="396">
        <v>0</v>
      </c>
      <c r="AU112" s="396">
        <v>0</v>
      </c>
      <c r="AV112" s="396">
        <f>IF(O112="No Add",0,IF(O112="25% Add",2,3))</f>
        <v>0</v>
      </c>
      <c r="AW112" s="396">
        <v>0</v>
      </c>
      <c r="AX112" s="396">
        <f>IF(Q112="No Add",0,IF(Q112="25% Add",2,3))</f>
        <v>0</v>
      </c>
      <c r="AY112" s="396">
        <v>0</v>
      </c>
      <c r="AZ112" s="396">
        <f>IF(S112="No Add",0,IF(S112="25% Add",2,3))</f>
        <v>0</v>
      </c>
      <c r="BA112" s="396">
        <v>0</v>
      </c>
      <c r="BB112" s="396">
        <f>IF(U112="No Add",0,IF(U112="25% Add",2,3))</f>
        <v>0</v>
      </c>
      <c r="BC112" s="396">
        <v>0</v>
      </c>
      <c r="BD112" s="396">
        <f>IF(W112="No Add",0,IF(W112="25% Add",2,3))</f>
        <v>2</v>
      </c>
    </row>
    <row r="113" spans="2:57">
      <c r="B113" s="280" t="s">
        <v>1100</v>
      </c>
      <c r="C113" s="8" t="s">
        <v>1242</v>
      </c>
      <c r="D113" s="15" t="s">
        <v>1241</v>
      </c>
      <c r="E113" s="122" t="str">
        <f>DEC2HEX(Y113*2^31+Z113*2^30+AA113*2^29+AB113*2^28+AC113*2^27+AD113*2^26+AE113*2^25+AF113*2^24+AG113*2^23+AH113*2^22+AI113*2^21+AJ113*2^20+AK113*2^19+AL113*2^18+AM113*2^17+AN113*2^16+AO113*2^15+AP113*2^14+AQ113*2^13+AR113*2^12+AS113*2^11+AT113*2^10+AU113*2^9+AV113*2^8+AW113*2^7+AX113*2^6+AY113*2^5+AZ113*2^4+BA113*2^3+BB113*2^2+BC113*2^1+BD113*2^0,8)</f>
        <v>000002AA</v>
      </c>
      <c r="F113" s="39"/>
      <c r="G113"/>
      <c r="H113" s="277"/>
      <c r="I113" s="273"/>
      <c r="J113" s="273"/>
      <c r="K113" s="273"/>
      <c r="L113" s="273"/>
      <c r="M113" s="261"/>
      <c r="N113" s="258" t="s">
        <v>1247</v>
      </c>
      <c r="O113" s="280">
        <v>2</v>
      </c>
      <c r="P113" s="258" t="s">
        <v>1246</v>
      </c>
      <c r="Q113" s="280">
        <v>2</v>
      </c>
      <c r="R113" s="258" t="s">
        <v>1245</v>
      </c>
      <c r="S113" s="280">
        <v>2</v>
      </c>
      <c r="T113" s="258" t="s">
        <v>1244</v>
      </c>
      <c r="U113" s="280">
        <v>2</v>
      </c>
      <c r="V113" s="258" t="s">
        <v>1243</v>
      </c>
      <c r="W113" s="280">
        <v>2</v>
      </c>
      <c r="X113" s="376"/>
      <c r="Y113" s="396">
        <v>0</v>
      </c>
      <c r="Z113" s="396">
        <v>0</v>
      </c>
      <c r="AA113" s="396">
        <v>0</v>
      </c>
      <c r="AB113" s="396">
        <v>0</v>
      </c>
      <c r="AC113" s="396">
        <v>0</v>
      </c>
      <c r="AD113" s="396">
        <v>0</v>
      </c>
      <c r="AE113" s="396">
        <v>0</v>
      </c>
      <c r="AF113" s="396">
        <v>0</v>
      </c>
      <c r="AG113" s="396">
        <v>0</v>
      </c>
      <c r="AH113" s="396">
        <v>0</v>
      </c>
      <c r="AI113" s="396">
        <v>0</v>
      </c>
      <c r="AJ113" s="396">
        <v>0</v>
      </c>
      <c r="AK113" s="396">
        <v>0</v>
      </c>
      <c r="AL113" s="396">
        <v>0</v>
      </c>
      <c r="AM113" s="396">
        <v>0</v>
      </c>
      <c r="AN113" s="396">
        <v>0</v>
      </c>
      <c r="AO113" s="396">
        <v>0</v>
      </c>
      <c r="AP113" s="396">
        <v>0</v>
      </c>
      <c r="AQ113" s="396">
        <v>0</v>
      </c>
      <c r="AR113" s="396">
        <v>0</v>
      </c>
      <c r="AS113" s="396">
        <v>0</v>
      </c>
      <c r="AT113" s="396">
        <v>0</v>
      </c>
      <c r="AU113" s="396">
        <v>0</v>
      </c>
      <c r="AV113" s="396">
        <f>O113</f>
        <v>2</v>
      </c>
      <c r="AW113" s="396">
        <v>0</v>
      </c>
      <c r="AX113" s="396">
        <f>Q113</f>
        <v>2</v>
      </c>
      <c r="AY113" s="396">
        <v>0</v>
      </c>
      <c r="AZ113" s="396">
        <f>S113</f>
        <v>2</v>
      </c>
      <c r="BA113" s="396">
        <v>0</v>
      </c>
      <c r="BB113" s="396">
        <f>U113</f>
        <v>2</v>
      </c>
      <c r="BC113" s="396">
        <v>0</v>
      </c>
      <c r="BD113" s="396">
        <f>W113</f>
        <v>2</v>
      </c>
    </row>
    <row r="114" spans="2:57">
      <c r="B114" s="19" t="s">
        <v>75</v>
      </c>
      <c r="C114" s="5" t="s">
        <v>1024</v>
      </c>
      <c r="D114" s="15" t="s">
        <v>1025</v>
      </c>
      <c r="E114" s="89" t="s">
        <v>147</v>
      </c>
      <c r="F114" s="39"/>
      <c r="G114"/>
      <c r="H114"/>
      <c r="I114"/>
      <c r="J114"/>
      <c r="K114"/>
      <c r="L114"/>
      <c r="M114"/>
      <c r="N114"/>
      <c r="O114"/>
      <c r="P114"/>
      <c r="Q114"/>
      <c r="R114"/>
      <c r="S114"/>
      <c r="T114"/>
      <c r="U114"/>
      <c r="V114"/>
      <c r="W114"/>
    </row>
    <row r="115" spans="2:57">
      <c r="B115" s="136" t="s">
        <v>15</v>
      </c>
      <c r="C115" s="137" t="s">
        <v>1319</v>
      </c>
      <c r="D115" s="176"/>
      <c r="E115" s="177"/>
      <c r="F115" s="178"/>
      <c r="G115"/>
      <c r="H115"/>
      <c r="I115"/>
      <c r="J115"/>
      <c r="K115"/>
      <c r="L115"/>
      <c r="M115"/>
      <c r="N115"/>
      <c r="O115"/>
      <c r="P115"/>
      <c r="Q115"/>
      <c r="R115"/>
      <c r="S115"/>
      <c r="T115"/>
      <c r="U115"/>
      <c r="V115"/>
      <c r="W115"/>
    </row>
    <row r="116" spans="2:57" ht="15">
      <c r="B116" s="19" t="s">
        <v>75</v>
      </c>
      <c r="C116" s="254" t="s">
        <v>890</v>
      </c>
      <c r="D116" s="255" t="s">
        <v>891</v>
      </c>
      <c r="E116" s="122" t="str">
        <f>DEC2HEX(Y116*2^31+Z116*2^30+AA116*2^29+AB116*2^28+AC116*2^27+AD116*2^26+AE116*2^25+AF116*2^24+AG116*2^23+AH116*2^22+AI116*2^21+AJ116*2^20+AK116*2^19+AL116*2^18+AM116*2^17+AN116*2^16+AO116*2^15+AP116*2^14+AQ116*2^13+AR116*2^12+AS116*2^11+AT116*2^10+AU116*2^9+AV116*2^8+AW116*2^7+AX116*2^6+AY116*2^5+AZ116*2^4+BA116*2^3+BB116*2^2+BC116*2^1+BD116*2^0,8)</f>
        <v>00000016</v>
      </c>
      <c r="F116" s="179"/>
      <c r="G116"/>
      <c r="H116" s="265"/>
      <c r="I116" s="268"/>
      <c r="J116" s="268"/>
      <c r="K116" s="268"/>
      <c r="L116" s="268"/>
      <c r="M116" s="266"/>
      <c r="N116" s="258" t="s">
        <v>1226</v>
      </c>
      <c r="O116" s="150" t="s">
        <v>1524</v>
      </c>
      <c r="P116" s="258"/>
      <c r="Q116" s="360"/>
      <c r="R116" s="261" t="s">
        <v>1228</v>
      </c>
      <c r="S116" s="302" t="str">
        <f>Main_Parameters!$M$23</f>
        <v>L Active</v>
      </c>
      <c r="T116" s="261" t="s">
        <v>1227</v>
      </c>
      <c r="U116" s="302" t="str">
        <f>Main_Parameters!$M$24</f>
        <v>L Active</v>
      </c>
      <c r="V116" s="277"/>
      <c r="W116" s="261"/>
      <c r="X116" s="376"/>
      <c r="Y116" s="168">
        <v>0</v>
      </c>
      <c r="Z116" s="168">
        <v>0</v>
      </c>
      <c r="AA116" s="168">
        <v>0</v>
      </c>
      <c r="AB116" s="168">
        <v>0</v>
      </c>
      <c r="AC116" s="168">
        <v>0</v>
      </c>
      <c r="AD116" s="168">
        <v>0</v>
      </c>
      <c r="AE116" s="168">
        <v>0</v>
      </c>
      <c r="AF116" s="168">
        <v>0</v>
      </c>
      <c r="AG116" s="168">
        <v>0</v>
      </c>
      <c r="AH116" s="168">
        <v>0</v>
      </c>
      <c r="AI116" s="168">
        <v>0</v>
      </c>
      <c r="AJ116" s="168">
        <v>0</v>
      </c>
      <c r="AK116" s="168">
        <v>0</v>
      </c>
      <c r="AL116" s="168">
        <v>0</v>
      </c>
      <c r="AM116" s="168">
        <v>0</v>
      </c>
      <c r="AN116" s="168">
        <v>0</v>
      </c>
      <c r="AO116" s="168">
        <v>0</v>
      </c>
      <c r="AP116" s="168">
        <v>0</v>
      </c>
      <c r="AQ116" s="168">
        <v>0</v>
      </c>
      <c r="AR116" s="168">
        <v>0</v>
      </c>
      <c r="AS116" s="168">
        <v>0</v>
      </c>
      <c r="AT116" s="168">
        <v>0</v>
      </c>
      <c r="AU116" s="168">
        <v>0</v>
      </c>
      <c r="AV116" s="168">
        <v>0</v>
      </c>
      <c r="AW116" s="168">
        <v>0</v>
      </c>
      <c r="AX116" s="168">
        <v>0</v>
      </c>
      <c r="AY116" s="168">
        <v>0</v>
      </c>
      <c r="AZ116" s="168">
        <f>IF(O116="LP",1,0)</f>
        <v>1</v>
      </c>
      <c r="BA116" s="168">
        <v>0</v>
      </c>
      <c r="BB116" s="168">
        <f>IF(S116="H Active",0,1)</f>
        <v>1</v>
      </c>
      <c r="BC116" s="168">
        <f>IF(U116="H Active",0,1)</f>
        <v>1</v>
      </c>
      <c r="BD116" s="168">
        <v>0</v>
      </c>
      <c r="BE116" s="376"/>
    </row>
    <row r="117" spans="2:57" ht="15">
      <c r="B117" s="19" t="s">
        <v>75</v>
      </c>
      <c r="C117" s="254" t="s">
        <v>890</v>
      </c>
      <c r="D117" s="255" t="s">
        <v>952</v>
      </c>
      <c r="E117" s="122" t="str">
        <f>DEC2HEX(Y117*2^31+Z117*2^30+AA117*2^29+AB117*2^28+AC117*2^27+AD117*2^26+AE117*2^25+AF117*2^24+AG117*2^23+AH117*2^22+AI117*2^21+AJ117*2^20+AK117*2^19+AL117*2^18+AM117*2^17+AN117*2^16+AO117*2^15+AP117*2^14+AQ117*2^13+AR117*2^12+AS117*2^11+AT117*2^10+AU117*2^9+AV117*2^8+AW117*2^7+AX117*2^6+AY117*2^5+AZ117*2^4+BA117*2^3+BB117*2^2+BC117*2^1+BD117*2^0,8)</f>
        <v>00000016</v>
      </c>
      <c r="F117" s="179"/>
      <c r="G117"/>
      <c r="H117" s="265"/>
      <c r="I117" s="268"/>
      <c r="J117" s="268"/>
      <c r="K117" s="268"/>
      <c r="L117" s="268"/>
      <c r="M117" s="266"/>
      <c r="N117" s="261" t="s">
        <v>1226</v>
      </c>
      <c r="O117" s="223" t="s">
        <v>1524</v>
      </c>
      <c r="P117" s="258"/>
      <c r="Q117" s="259"/>
      <c r="R117" s="261" t="s">
        <v>1228</v>
      </c>
      <c r="S117" s="302" t="str">
        <f>Main_Parameters!$M$23</f>
        <v>L Active</v>
      </c>
      <c r="T117" s="261" t="s">
        <v>1227</v>
      </c>
      <c r="U117" s="302" t="str">
        <f>Main_Parameters!$M$24</f>
        <v>L Active</v>
      </c>
      <c r="V117" s="277"/>
      <c r="W117" s="261"/>
      <c r="X117" s="376"/>
      <c r="Y117" s="168">
        <v>0</v>
      </c>
      <c r="Z117" s="168">
        <v>0</v>
      </c>
      <c r="AA117" s="168">
        <v>0</v>
      </c>
      <c r="AB117" s="168">
        <v>0</v>
      </c>
      <c r="AC117" s="168">
        <v>0</v>
      </c>
      <c r="AD117" s="168">
        <v>0</v>
      </c>
      <c r="AE117" s="168">
        <v>0</v>
      </c>
      <c r="AF117" s="168">
        <v>0</v>
      </c>
      <c r="AG117" s="168">
        <v>0</v>
      </c>
      <c r="AH117" s="168">
        <v>0</v>
      </c>
      <c r="AI117" s="168">
        <v>0</v>
      </c>
      <c r="AJ117" s="168">
        <v>0</v>
      </c>
      <c r="AK117" s="168">
        <v>0</v>
      </c>
      <c r="AL117" s="168">
        <v>0</v>
      </c>
      <c r="AM117" s="168">
        <v>0</v>
      </c>
      <c r="AN117" s="168">
        <v>0</v>
      </c>
      <c r="AO117" s="168">
        <v>0</v>
      </c>
      <c r="AP117" s="168">
        <v>0</v>
      </c>
      <c r="AQ117" s="168">
        <v>0</v>
      </c>
      <c r="AR117" s="168">
        <v>0</v>
      </c>
      <c r="AS117" s="168">
        <v>0</v>
      </c>
      <c r="AT117" s="168">
        <v>0</v>
      </c>
      <c r="AU117" s="168">
        <v>0</v>
      </c>
      <c r="AV117" s="168">
        <v>0</v>
      </c>
      <c r="AW117" s="168">
        <v>0</v>
      </c>
      <c r="AX117" s="168">
        <v>0</v>
      </c>
      <c r="AY117" s="168">
        <v>0</v>
      </c>
      <c r="AZ117" s="168">
        <f>IF(O117="LP",1,0)</f>
        <v>1</v>
      </c>
      <c r="BA117" s="168">
        <v>0</v>
      </c>
      <c r="BB117" s="168">
        <f>IF(S117="H Active",0,1)</f>
        <v>1</v>
      </c>
      <c r="BC117" s="168">
        <f>IF(U117="H Active",0,1)</f>
        <v>1</v>
      </c>
      <c r="BD117" s="168">
        <v>0</v>
      </c>
      <c r="BE117" s="376"/>
    </row>
    <row r="118" spans="2:57" outlineLevel="1">
      <c r="B118" s="230" t="s">
        <v>15</v>
      </c>
      <c r="C118" s="231" t="s">
        <v>1285</v>
      </c>
      <c r="D118" s="232"/>
      <c r="E118" s="233"/>
      <c r="F118" s="234"/>
      <c r="G118"/>
      <c r="H118"/>
      <c r="I118"/>
      <c r="J118"/>
      <c r="K118"/>
      <c r="L118"/>
      <c r="M118"/>
      <c r="N118"/>
      <c r="O118"/>
      <c r="P118"/>
      <c r="Q118"/>
      <c r="R118"/>
      <c r="S118"/>
      <c r="T118"/>
      <c r="U118"/>
      <c r="V118"/>
      <c r="W118"/>
    </row>
    <row r="119" spans="2:57" outlineLevel="1">
      <c r="B119" s="230" t="s">
        <v>73</v>
      </c>
      <c r="C119" s="231" t="s">
        <v>1275</v>
      </c>
      <c r="D119" s="232" t="s">
        <v>1274</v>
      </c>
      <c r="E119" s="233" t="s">
        <v>780</v>
      </c>
      <c r="F119" s="234"/>
      <c r="G119"/>
      <c r="H119"/>
      <c r="I119"/>
      <c r="J119"/>
      <c r="K119"/>
      <c r="L119"/>
      <c r="M119"/>
      <c r="N119"/>
      <c r="O119"/>
      <c r="P119"/>
      <c r="Q119"/>
      <c r="R119"/>
      <c r="S119"/>
      <c r="T119"/>
      <c r="U119"/>
      <c r="V119"/>
      <c r="W119"/>
    </row>
    <row r="120" spans="2:57" outlineLevel="1">
      <c r="B120" s="230" t="s">
        <v>15</v>
      </c>
      <c r="C120" s="231" t="s">
        <v>1277</v>
      </c>
      <c r="D120" s="232"/>
      <c r="E120" s="233"/>
      <c r="F120" s="234"/>
      <c r="G120"/>
      <c r="H120"/>
      <c r="I120"/>
      <c r="J120"/>
      <c r="K120"/>
      <c r="L120"/>
      <c r="M120"/>
      <c r="N120"/>
      <c r="O120"/>
      <c r="P120"/>
      <c r="Q120"/>
      <c r="R120"/>
      <c r="S120"/>
      <c r="T120"/>
      <c r="U120"/>
      <c r="V120"/>
      <c r="W120"/>
    </row>
    <row r="121" spans="2:57" outlineLevel="1">
      <c r="B121" s="230" t="s">
        <v>73</v>
      </c>
      <c r="C121" s="231" t="s">
        <v>1278</v>
      </c>
      <c r="D121" s="232" t="s">
        <v>1279</v>
      </c>
      <c r="E121" s="233" t="s">
        <v>1280</v>
      </c>
      <c r="F121" s="234"/>
      <c r="G121"/>
      <c r="H121"/>
      <c r="I121"/>
      <c r="J121"/>
      <c r="K121"/>
      <c r="L121"/>
      <c r="M121"/>
      <c r="N121"/>
      <c r="O121"/>
      <c r="P121"/>
      <c r="Q121"/>
      <c r="R121"/>
      <c r="S121"/>
      <c r="T121"/>
      <c r="U121"/>
      <c r="V121"/>
      <c r="W121"/>
    </row>
    <row r="122" spans="2:57" outlineLevel="1">
      <c r="B122" s="230" t="s">
        <v>73</v>
      </c>
      <c r="C122" s="231" t="s">
        <v>1278</v>
      </c>
      <c r="D122" s="232" t="s">
        <v>1279</v>
      </c>
      <c r="E122" s="233" t="s">
        <v>1281</v>
      </c>
      <c r="F122" s="234"/>
      <c r="G122"/>
      <c r="H122"/>
      <c r="I122"/>
      <c r="J122"/>
      <c r="K122"/>
      <c r="L122"/>
      <c r="M122"/>
      <c r="N122"/>
      <c r="O122"/>
      <c r="P122"/>
      <c r="Q122"/>
      <c r="R122"/>
      <c r="S122"/>
      <c r="T122"/>
      <c r="U122"/>
      <c r="V122"/>
      <c r="W122"/>
    </row>
    <row r="123" spans="2:57" outlineLevel="1">
      <c r="B123" s="230" t="s">
        <v>828</v>
      </c>
      <c r="C123" s="231"/>
      <c r="D123" s="233">
        <v>5000</v>
      </c>
      <c r="E123" s="233"/>
      <c r="F123" s="234"/>
      <c r="G123"/>
      <c r="H123"/>
      <c r="I123"/>
      <c r="J123"/>
      <c r="K123"/>
      <c r="L123"/>
      <c r="M123"/>
      <c r="N123"/>
      <c r="O123"/>
      <c r="P123"/>
      <c r="Q123"/>
      <c r="R123"/>
      <c r="S123"/>
      <c r="T123"/>
      <c r="U123"/>
      <c r="V123"/>
      <c r="W123"/>
    </row>
    <row r="124" spans="2:57" outlineLevel="1">
      <c r="B124" s="230" t="s">
        <v>15</v>
      </c>
      <c r="C124" s="231" t="s">
        <v>1282</v>
      </c>
      <c r="D124" s="232"/>
      <c r="E124" s="233"/>
      <c r="F124" s="234"/>
      <c r="G124"/>
      <c r="H124"/>
      <c r="I124"/>
      <c r="J124"/>
      <c r="K124"/>
      <c r="L124"/>
      <c r="M124"/>
      <c r="N124"/>
      <c r="O124"/>
      <c r="P124"/>
      <c r="Q124"/>
      <c r="R124"/>
      <c r="S124"/>
      <c r="T124"/>
      <c r="U124"/>
      <c r="V124"/>
      <c r="W124"/>
    </row>
    <row r="125" spans="2:57" outlineLevel="1">
      <c r="B125" s="230" t="s">
        <v>73</v>
      </c>
      <c r="C125" s="231" t="s">
        <v>1278</v>
      </c>
      <c r="D125" s="232" t="s">
        <v>1279</v>
      </c>
      <c r="E125" s="233" t="s">
        <v>1283</v>
      </c>
      <c r="F125" s="234"/>
      <c r="G125"/>
      <c r="H125"/>
      <c r="I125"/>
      <c r="J125"/>
      <c r="K125"/>
      <c r="L125"/>
      <c r="M125"/>
      <c r="N125"/>
      <c r="O125"/>
      <c r="P125"/>
      <c r="Q125"/>
      <c r="R125"/>
      <c r="S125"/>
      <c r="T125"/>
      <c r="U125"/>
      <c r="V125"/>
      <c r="W125"/>
    </row>
    <row r="126" spans="2:57" outlineLevel="1">
      <c r="B126" s="230" t="s">
        <v>73</v>
      </c>
      <c r="C126" s="231" t="s">
        <v>1278</v>
      </c>
      <c r="D126" s="232" t="s">
        <v>1279</v>
      </c>
      <c r="E126" s="233" t="s">
        <v>1284</v>
      </c>
      <c r="F126" s="234"/>
      <c r="G126"/>
      <c r="H126"/>
      <c r="I126"/>
      <c r="J126"/>
      <c r="K126"/>
      <c r="L126"/>
      <c r="M126"/>
      <c r="N126"/>
      <c r="O126"/>
      <c r="P126"/>
      <c r="Q126"/>
      <c r="R126"/>
      <c r="S126"/>
      <c r="T126"/>
      <c r="U126"/>
      <c r="V126"/>
      <c r="W126"/>
    </row>
    <row r="127" spans="2:57" outlineLevel="1">
      <c r="B127" s="230" t="s">
        <v>828</v>
      </c>
      <c r="C127" s="231"/>
      <c r="D127" s="233">
        <v>200</v>
      </c>
      <c r="E127" s="233"/>
      <c r="F127" s="234"/>
      <c r="G127"/>
      <c r="H127"/>
      <c r="I127"/>
      <c r="J127"/>
      <c r="K127"/>
      <c r="L127"/>
      <c r="M127"/>
      <c r="N127"/>
      <c r="O127"/>
      <c r="P127"/>
      <c r="Q127"/>
      <c r="R127"/>
      <c r="S127"/>
      <c r="T127"/>
      <c r="U127"/>
      <c r="V127"/>
      <c r="W127"/>
    </row>
    <row r="128" spans="2:57" outlineLevel="1">
      <c r="B128" s="230" t="s">
        <v>15</v>
      </c>
      <c r="C128" s="231" t="s">
        <v>1298</v>
      </c>
      <c r="D128" s="232"/>
      <c r="E128" s="233"/>
      <c r="F128" s="234"/>
      <c r="G128"/>
      <c r="H128"/>
      <c r="I128"/>
      <c r="J128"/>
      <c r="K128"/>
      <c r="L128"/>
      <c r="M128"/>
      <c r="N128"/>
      <c r="O128"/>
      <c r="P128"/>
      <c r="Q128"/>
      <c r="R128"/>
      <c r="S128"/>
      <c r="T128"/>
      <c r="U128"/>
      <c r="V128"/>
      <c r="W128"/>
    </row>
    <row r="129" spans="2:23" outlineLevel="1">
      <c r="B129" s="230" t="s">
        <v>73</v>
      </c>
      <c r="C129" s="231" t="s">
        <v>1278</v>
      </c>
      <c r="D129" s="232" t="s">
        <v>1279</v>
      </c>
      <c r="E129" s="233" t="s">
        <v>1286</v>
      </c>
      <c r="F129" s="234"/>
      <c r="G129"/>
      <c r="H129"/>
      <c r="I129"/>
      <c r="J129"/>
      <c r="K129"/>
      <c r="L129"/>
      <c r="M129"/>
      <c r="N129"/>
      <c r="O129"/>
      <c r="P129"/>
      <c r="Q129"/>
      <c r="R129"/>
      <c r="S129"/>
      <c r="T129"/>
      <c r="U129"/>
      <c r="V129"/>
      <c r="W129"/>
    </row>
    <row r="130" spans="2:23" outlineLevel="1">
      <c r="B130" s="230" t="s">
        <v>73</v>
      </c>
      <c r="C130" s="231" t="s">
        <v>1278</v>
      </c>
      <c r="D130" s="232" t="s">
        <v>1279</v>
      </c>
      <c r="E130" s="233" t="s">
        <v>1280</v>
      </c>
      <c r="F130" s="234"/>
      <c r="G130"/>
      <c r="H130"/>
      <c r="I130"/>
      <c r="J130"/>
      <c r="K130"/>
      <c r="L130"/>
      <c r="M130"/>
      <c r="N130"/>
      <c r="O130"/>
      <c r="P130"/>
      <c r="Q130"/>
      <c r="R130"/>
      <c r="S130"/>
      <c r="T130"/>
      <c r="U130"/>
      <c r="V130"/>
      <c r="W130"/>
    </row>
    <row r="131" spans="2:23" outlineLevel="1">
      <c r="B131" s="230" t="s">
        <v>73</v>
      </c>
      <c r="C131" s="231" t="s">
        <v>1278</v>
      </c>
      <c r="D131" s="232" t="s">
        <v>1279</v>
      </c>
      <c r="E131" s="233" t="s">
        <v>1271</v>
      </c>
      <c r="F131" s="234"/>
      <c r="G131"/>
      <c r="H131"/>
      <c r="I131"/>
      <c r="J131"/>
      <c r="K131"/>
      <c r="L131"/>
      <c r="M131"/>
      <c r="N131"/>
      <c r="O131"/>
      <c r="P131"/>
      <c r="Q131"/>
      <c r="R131"/>
      <c r="S131"/>
      <c r="T131"/>
      <c r="U131"/>
      <c r="V131"/>
      <c r="W131"/>
    </row>
    <row r="132" spans="2:23" outlineLevel="1">
      <c r="B132" s="230" t="s">
        <v>73</v>
      </c>
      <c r="C132" s="231" t="s">
        <v>1278</v>
      </c>
      <c r="D132" s="232" t="s">
        <v>1279</v>
      </c>
      <c r="E132" s="233" t="s">
        <v>1288</v>
      </c>
      <c r="F132" s="234"/>
      <c r="G132"/>
      <c r="H132"/>
      <c r="I132"/>
      <c r="J132"/>
      <c r="K132"/>
      <c r="L132"/>
      <c r="M132"/>
      <c r="N132"/>
      <c r="O132"/>
      <c r="P132"/>
      <c r="Q132"/>
      <c r="R132"/>
      <c r="S132"/>
      <c r="T132"/>
      <c r="U132"/>
      <c r="V132"/>
      <c r="W132"/>
    </row>
    <row r="133" spans="2:23" outlineLevel="1">
      <c r="B133" s="230" t="s">
        <v>73</v>
      </c>
      <c r="C133" s="231" t="s">
        <v>1278</v>
      </c>
      <c r="D133" s="232" t="s">
        <v>1279</v>
      </c>
      <c r="E133" s="233" t="s">
        <v>827</v>
      </c>
      <c r="F133" s="234"/>
      <c r="G133"/>
      <c r="H133"/>
      <c r="I133"/>
      <c r="J133"/>
      <c r="K133"/>
      <c r="L133"/>
      <c r="M133"/>
      <c r="N133"/>
      <c r="O133"/>
      <c r="P133"/>
      <c r="Q133"/>
      <c r="R133"/>
      <c r="S133"/>
      <c r="T133"/>
      <c r="U133"/>
      <c r="V133"/>
      <c r="W133"/>
    </row>
    <row r="134" spans="2:23" outlineLevel="1">
      <c r="B134" s="230" t="s">
        <v>828</v>
      </c>
      <c r="C134" s="231"/>
      <c r="D134" s="233">
        <v>200</v>
      </c>
      <c r="E134" s="233"/>
      <c r="F134" s="234"/>
      <c r="G134"/>
      <c r="H134"/>
      <c r="I134"/>
      <c r="J134"/>
      <c r="K134"/>
      <c r="L134"/>
      <c r="M134"/>
      <c r="N134"/>
      <c r="O134"/>
      <c r="P134"/>
      <c r="Q134"/>
      <c r="R134"/>
      <c r="S134"/>
      <c r="T134"/>
      <c r="U134"/>
      <c r="V134"/>
      <c r="W134"/>
    </row>
    <row r="135" spans="2:23" outlineLevel="1">
      <c r="B135" s="230" t="s">
        <v>15</v>
      </c>
      <c r="C135" s="231" t="s">
        <v>1299</v>
      </c>
      <c r="D135" s="232"/>
      <c r="E135" s="233"/>
      <c r="F135" s="234"/>
      <c r="G135"/>
      <c r="H135"/>
      <c r="I135"/>
      <c r="J135"/>
      <c r="K135"/>
      <c r="L135"/>
      <c r="M135"/>
      <c r="N135"/>
      <c r="O135"/>
      <c r="P135"/>
      <c r="Q135"/>
      <c r="R135"/>
      <c r="S135"/>
      <c r="T135"/>
      <c r="U135"/>
      <c r="V135"/>
      <c r="W135"/>
    </row>
    <row r="136" spans="2:23" outlineLevel="1">
      <c r="B136" s="230" t="s">
        <v>73</v>
      </c>
      <c r="C136" s="231" t="s">
        <v>1278</v>
      </c>
      <c r="D136" s="232" t="s">
        <v>1279</v>
      </c>
      <c r="E136" s="233" t="s">
        <v>1286</v>
      </c>
      <c r="F136" s="234"/>
      <c r="G136"/>
      <c r="H136"/>
      <c r="I136"/>
      <c r="J136"/>
      <c r="K136"/>
      <c r="L136"/>
      <c r="M136"/>
      <c r="N136"/>
      <c r="O136"/>
      <c r="P136"/>
      <c r="Q136"/>
      <c r="R136"/>
      <c r="S136"/>
      <c r="T136"/>
      <c r="U136"/>
      <c r="V136"/>
      <c r="W136"/>
    </row>
    <row r="137" spans="2:23" outlineLevel="1">
      <c r="B137" s="230" t="s">
        <v>73</v>
      </c>
      <c r="C137" s="231" t="s">
        <v>1278</v>
      </c>
      <c r="D137" s="232" t="s">
        <v>1279</v>
      </c>
      <c r="E137" s="233" t="s">
        <v>1280</v>
      </c>
      <c r="F137" s="234"/>
      <c r="G137"/>
      <c r="H137"/>
      <c r="I137"/>
      <c r="J137"/>
      <c r="K137"/>
      <c r="L137"/>
      <c r="M137"/>
      <c r="N137"/>
      <c r="O137"/>
      <c r="P137"/>
      <c r="Q137"/>
      <c r="R137"/>
      <c r="S137"/>
      <c r="T137"/>
      <c r="U137"/>
      <c r="V137"/>
      <c r="W137"/>
    </row>
    <row r="138" spans="2:23" outlineLevel="1">
      <c r="B138" s="230" t="s">
        <v>73</v>
      </c>
      <c r="C138" s="231" t="s">
        <v>1278</v>
      </c>
      <c r="D138" s="232" t="s">
        <v>1279</v>
      </c>
      <c r="E138" s="233" t="s">
        <v>1289</v>
      </c>
      <c r="F138" s="234"/>
      <c r="G138"/>
      <c r="H138"/>
      <c r="I138"/>
      <c r="J138"/>
      <c r="K138"/>
      <c r="L138"/>
      <c r="M138"/>
      <c r="N138"/>
      <c r="O138"/>
      <c r="P138"/>
      <c r="Q138"/>
      <c r="R138"/>
      <c r="S138"/>
      <c r="T138"/>
      <c r="U138"/>
      <c r="V138"/>
      <c r="W138"/>
    </row>
    <row r="139" spans="2:23" outlineLevel="1">
      <c r="B139" s="230" t="s">
        <v>73</v>
      </c>
      <c r="C139" s="231" t="s">
        <v>1278</v>
      </c>
      <c r="D139" s="232" t="s">
        <v>1279</v>
      </c>
      <c r="E139" s="233" t="s">
        <v>1290</v>
      </c>
      <c r="F139" s="234"/>
      <c r="G139"/>
      <c r="H139"/>
      <c r="I139"/>
      <c r="J139"/>
      <c r="K139"/>
      <c r="L139"/>
      <c r="M139"/>
      <c r="N139"/>
      <c r="O139"/>
      <c r="P139"/>
      <c r="Q139"/>
      <c r="R139"/>
      <c r="S139"/>
      <c r="T139"/>
      <c r="U139"/>
      <c r="V139"/>
      <c r="W139"/>
    </row>
    <row r="140" spans="2:23" outlineLevel="1">
      <c r="B140" s="230" t="s">
        <v>73</v>
      </c>
      <c r="C140" s="231" t="s">
        <v>1278</v>
      </c>
      <c r="D140" s="232" t="s">
        <v>1279</v>
      </c>
      <c r="E140" s="233" t="s">
        <v>1291</v>
      </c>
      <c r="F140" s="234"/>
      <c r="G140"/>
      <c r="H140"/>
      <c r="I140"/>
      <c r="J140"/>
      <c r="K140"/>
      <c r="L140"/>
      <c r="M140"/>
      <c r="N140"/>
      <c r="O140"/>
      <c r="P140"/>
      <c r="Q140"/>
      <c r="R140"/>
      <c r="S140"/>
      <c r="T140"/>
      <c r="U140"/>
      <c r="V140"/>
      <c r="W140"/>
    </row>
    <row r="141" spans="2:23" outlineLevel="1">
      <c r="B141" s="230" t="s">
        <v>828</v>
      </c>
      <c r="C141" s="231"/>
      <c r="D141" s="233">
        <v>200</v>
      </c>
      <c r="E141" s="233"/>
      <c r="F141" s="234"/>
      <c r="G141"/>
      <c r="H141"/>
      <c r="I141"/>
      <c r="J141"/>
      <c r="K141"/>
      <c r="L141"/>
      <c r="M141"/>
      <c r="N141"/>
      <c r="O141"/>
      <c r="P141"/>
      <c r="Q141"/>
      <c r="R141"/>
      <c r="S141"/>
      <c r="T141"/>
      <c r="U141"/>
      <c r="V141"/>
      <c r="W141"/>
    </row>
    <row r="142" spans="2:23" outlineLevel="1">
      <c r="B142" s="230" t="s">
        <v>15</v>
      </c>
      <c r="C142" s="231" t="s">
        <v>1292</v>
      </c>
      <c r="D142" s="232"/>
      <c r="E142" s="233"/>
      <c r="F142" s="234"/>
      <c r="G142"/>
      <c r="H142"/>
      <c r="I142"/>
      <c r="J142"/>
      <c r="K142"/>
      <c r="L142"/>
      <c r="M142"/>
      <c r="N142"/>
      <c r="O142"/>
      <c r="P142"/>
      <c r="Q142"/>
      <c r="R142"/>
      <c r="S142"/>
      <c r="T142"/>
      <c r="U142"/>
      <c r="V142"/>
      <c r="W142"/>
    </row>
    <row r="143" spans="2:23" outlineLevel="1">
      <c r="B143" s="230" t="s">
        <v>73</v>
      </c>
      <c r="C143" s="231" t="s">
        <v>1278</v>
      </c>
      <c r="D143" s="232" t="s">
        <v>1279</v>
      </c>
      <c r="E143" s="233" t="s">
        <v>1283</v>
      </c>
      <c r="F143" s="234"/>
      <c r="G143"/>
      <c r="H143"/>
      <c r="I143"/>
      <c r="J143"/>
      <c r="K143"/>
      <c r="L143"/>
      <c r="M143"/>
      <c r="N143"/>
      <c r="O143"/>
      <c r="P143"/>
      <c r="Q143"/>
      <c r="R143"/>
      <c r="S143"/>
      <c r="T143"/>
      <c r="U143"/>
      <c r="V143"/>
      <c r="W143"/>
    </row>
    <row r="144" spans="2:23" outlineLevel="1">
      <c r="B144" s="230" t="s">
        <v>73</v>
      </c>
      <c r="C144" s="231" t="s">
        <v>1278</v>
      </c>
      <c r="D144" s="232" t="s">
        <v>1279</v>
      </c>
      <c r="E144" s="233" t="s">
        <v>1293</v>
      </c>
      <c r="F144" s="234"/>
      <c r="G144"/>
      <c r="H144"/>
      <c r="I144"/>
      <c r="J144"/>
      <c r="K144"/>
      <c r="L144"/>
      <c r="M144"/>
      <c r="N144"/>
      <c r="O144"/>
      <c r="P144"/>
      <c r="Q144"/>
      <c r="R144"/>
      <c r="S144"/>
      <c r="T144"/>
      <c r="U144"/>
      <c r="V144"/>
      <c r="W144"/>
    </row>
    <row r="145" spans="2:23" outlineLevel="1">
      <c r="B145" s="230" t="s">
        <v>828</v>
      </c>
      <c r="C145" s="231"/>
      <c r="D145" s="233">
        <v>200</v>
      </c>
      <c r="E145" s="233"/>
      <c r="F145" s="234"/>
      <c r="G145"/>
      <c r="H145"/>
      <c r="I145"/>
      <c r="J145"/>
      <c r="K145"/>
      <c r="L145"/>
      <c r="M145"/>
      <c r="N145"/>
      <c r="O145"/>
      <c r="P145"/>
      <c r="Q145"/>
      <c r="R145"/>
      <c r="S145"/>
      <c r="T145"/>
      <c r="U145"/>
      <c r="V145"/>
      <c r="W145"/>
    </row>
    <row r="146" spans="2:23" outlineLevel="1">
      <c r="B146" s="230" t="s">
        <v>15</v>
      </c>
      <c r="C146" s="231" t="s">
        <v>1294</v>
      </c>
      <c r="D146" s="232"/>
      <c r="E146" s="233"/>
      <c r="F146" s="234"/>
      <c r="G146"/>
      <c r="H146"/>
      <c r="I146"/>
      <c r="J146"/>
      <c r="K146"/>
      <c r="L146"/>
      <c r="M146"/>
      <c r="N146"/>
      <c r="O146"/>
      <c r="P146"/>
      <c r="Q146"/>
      <c r="R146"/>
      <c r="S146"/>
      <c r="T146"/>
      <c r="U146"/>
      <c r="V146"/>
      <c r="W146"/>
    </row>
    <row r="147" spans="2:23" outlineLevel="1">
      <c r="B147" s="230" t="s">
        <v>73</v>
      </c>
      <c r="C147" s="231" t="s">
        <v>1278</v>
      </c>
      <c r="D147" s="232" t="s">
        <v>1279</v>
      </c>
      <c r="E147" s="233" t="s">
        <v>1286</v>
      </c>
      <c r="F147" s="234"/>
      <c r="G147"/>
      <c r="H147"/>
      <c r="I147"/>
      <c r="J147"/>
      <c r="K147"/>
      <c r="L147"/>
      <c r="M147"/>
      <c r="N147"/>
      <c r="O147"/>
      <c r="P147"/>
      <c r="Q147"/>
      <c r="R147"/>
      <c r="S147"/>
      <c r="T147"/>
      <c r="U147"/>
      <c r="V147"/>
      <c r="W147"/>
    </row>
    <row r="148" spans="2:23" outlineLevel="1">
      <c r="B148" s="230" t="s">
        <v>73</v>
      </c>
      <c r="C148" s="231" t="s">
        <v>1278</v>
      </c>
      <c r="D148" s="232" t="s">
        <v>1279</v>
      </c>
      <c r="E148" s="233" t="s">
        <v>826</v>
      </c>
      <c r="F148" s="234"/>
      <c r="G148"/>
      <c r="H148"/>
      <c r="I148"/>
      <c r="J148"/>
      <c r="K148"/>
      <c r="L148"/>
      <c r="M148"/>
      <c r="N148"/>
      <c r="O148"/>
      <c r="P148"/>
      <c r="Q148"/>
      <c r="R148"/>
      <c r="S148"/>
      <c r="T148"/>
      <c r="U148"/>
      <c r="V148"/>
      <c r="W148"/>
    </row>
    <row r="149" spans="2:23" outlineLevel="1">
      <c r="B149" s="230" t="s">
        <v>73</v>
      </c>
      <c r="C149" s="231" t="s">
        <v>1278</v>
      </c>
      <c r="D149" s="232" t="s">
        <v>1279</v>
      </c>
      <c r="E149" s="233" t="s">
        <v>1295</v>
      </c>
      <c r="F149" s="234"/>
      <c r="G149"/>
      <c r="H149"/>
      <c r="I149"/>
      <c r="J149"/>
      <c r="K149"/>
      <c r="L149"/>
      <c r="M149"/>
      <c r="N149"/>
      <c r="O149"/>
      <c r="P149"/>
      <c r="Q149"/>
      <c r="R149"/>
      <c r="S149"/>
      <c r="T149"/>
      <c r="U149"/>
      <c r="V149"/>
      <c r="W149"/>
    </row>
    <row r="150" spans="2:23" outlineLevel="1">
      <c r="B150" s="230" t="s">
        <v>73</v>
      </c>
      <c r="C150" s="231" t="s">
        <v>1278</v>
      </c>
      <c r="D150" s="232" t="s">
        <v>1279</v>
      </c>
      <c r="E150" s="233" t="s">
        <v>72</v>
      </c>
      <c r="F150" s="234"/>
      <c r="G150"/>
      <c r="H150"/>
      <c r="I150"/>
      <c r="J150"/>
      <c r="K150"/>
      <c r="L150"/>
      <c r="M150"/>
      <c r="N150"/>
      <c r="O150"/>
      <c r="P150"/>
      <c r="Q150"/>
      <c r="R150"/>
      <c r="S150"/>
      <c r="T150"/>
      <c r="U150"/>
      <c r="V150"/>
      <c r="W150"/>
    </row>
    <row r="151" spans="2:23" outlineLevel="1">
      <c r="B151" s="230" t="s">
        <v>828</v>
      </c>
      <c r="C151" s="231"/>
      <c r="D151" s="233">
        <v>200</v>
      </c>
      <c r="E151" s="233"/>
      <c r="F151" s="234"/>
      <c r="G151"/>
      <c r="H151"/>
      <c r="I151"/>
      <c r="J151"/>
      <c r="K151"/>
      <c r="L151"/>
      <c r="M151"/>
      <c r="N151"/>
      <c r="O151"/>
      <c r="P151"/>
      <c r="Q151"/>
      <c r="R151"/>
      <c r="S151"/>
      <c r="T151"/>
      <c r="U151"/>
      <c r="V151"/>
      <c r="W151"/>
    </row>
    <row r="152" spans="2:23" outlineLevel="1">
      <c r="B152" s="230" t="s">
        <v>15</v>
      </c>
      <c r="C152" s="231" t="s">
        <v>1300</v>
      </c>
      <c r="D152" s="232"/>
      <c r="E152" s="233"/>
      <c r="F152" s="234"/>
      <c r="G152"/>
      <c r="H152"/>
      <c r="I152"/>
      <c r="J152"/>
      <c r="K152"/>
      <c r="L152"/>
      <c r="M152"/>
      <c r="N152"/>
      <c r="O152"/>
      <c r="P152"/>
      <c r="Q152"/>
      <c r="R152"/>
      <c r="S152"/>
      <c r="T152"/>
      <c r="U152"/>
      <c r="V152"/>
      <c r="W152"/>
    </row>
    <row r="153" spans="2:23" outlineLevel="1">
      <c r="B153" s="230" t="s">
        <v>73</v>
      </c>
      <c r="C153" s="231" t="s">
        <v>1278</v>
      </c>
      <c r="D153" s="232" t="s">
        <v>1279</v>
      </c>
      <c r="E153" s="233" t="s">
        <v>1283</v>
      </c>
      <c r="F153" s="234"/>
      <c r="G153"/>
      <c r="H153"/>
      <c r="I153"/>
      <c r="J153"/>
      <c r="K153"/>
      <c r="L153"/>
      <c r="M153"/>
      <c r="N153"/>
      <c r="O153"/>
      <c r="P153"/>
      <c r="Q153"/>
      <c r="R153"/>
      <c r="S153"/>
      <c r="T153"/>
      <c r="U153"/>
      <c r="V153"/>
      <c r="W153"/>
    </row>
    <row r="154" spans="2:23" outlineLevel="1">
      <c r="B154" s="230" t="s">
        <v>73</v>
      </c>
      <c r="C154" s="231" t="s">
        <v>1278</v>
      </c>
      <c r="D154" s="232" t="s">
        <v>1279</v>
      </c>
      <c r="E154" s="233" t="s">
        <v>1296</v>
      </c>
      <c r="F154" s="234"/>
      <c r="G154"/>
      <c r="H154"/>
      <c r="I154"/>
      <c r="J154"/>
      <c r="K154"/>
      <c r="L154"/>
      <c r="M154"/>
      <c r="N154"/>
      <c r="O154"/>
      <c r="P154"/>
      <c r="Q154"/>
      <c r="R154"/>
      <c r="S154"/>
      <c r="T154"/>
      <c r="U154"/>
      <c r="V154"/>
      <c r="W154"/>
    </row>
    <row r="155" spans="2:23" outlineLevel="1">
      <c r="B155" s="230" t="s">
        <v>828</v>
      </c>
      <c r="C155" s="231"/>
      <c r="D155" s="233">
        <v>200</v>
      </c>
      <c r="E155" s="233"/>
      <c r="F155" s="234"/>
      <c r="G155"/>
      <c r="H155"/>
      <c r="I155"/>
      <c r="J155"/>
      <c r="K155"/>
      <c r="L155"/>
      <c r="M155"/>
      <c r="N155"/>
      <c r="O155"/>
      <c r="P155"/>
      <c r="Q155"/>
      <c r="R155"/>
      <c r="S155"/>
      <c r="T155"/>
      <c r="U155"/>
      <c r="V155"/>
      <c r="W155"/>
    </row>
    <row r="156" spans="2:23" outlineLevel="1">
      <c r="B156" s="230" t="s">
        <v>15</v>
      </c>
      <c r="C156" s="231" t="s">
        <v>1301</v>
      </c>
      <c r="D156" s="232"/>
      <c r="E156" s="233"/>
      <c r="F156" s="234"/>
      <c r="G156"/>
      <c r="H156"/>
      <c r="I156"/>
      <c r="J156"/>
      <c r="K156"/>
      <c r="L156"/>
      <c r="M156"/>
      <c r="N156"/>
      <c r="O156"/>
      <c r="P156"/>
      <c r="Q156"/>
      <c r="R156"/>
      <c r="S156"/>
      <c r="T156"/>
      <c r="U156"/>
      <c r="V156"/>
      <c r="W156"/>
    </row>
    <row r="157" spans="2:23" outlineLevel="1">
      <c r="B157" s="230" t="s">
        <v>73</v>
      </c>
      <c r="C157" s="231" t="s">
        <v>1278</v>
      </c>
      <c r="D157" s="232" t="s">
        <v>1279</v>
      </c>
      <c r="E157" s="233" t="s">
        <v>1283</v>
      </c>
      <c r="F157" s="234"/>
      <c r="G157"/>
      <c r="H157"/>
      <c r="I157"/>
      <c r="J157"/>
      <c r="K157"/>
      <c r="L157"/>
      <c r="M157"/>
      <c r="N157"/>
      <c r="O157"/>
      <c r="P157"/>
      <c r="Q157"/>
      <c r="R157"/>
      <c r="S157"/>
      <c r="T157"/>
      <c r="U157"/>
      <c r="V157"/>
      <c r="W157"/>
    </row>
    <row r="158" spans="2:23" outlineLevel="1">
      <c r="B158" s="230" t="s">
        <v>73</v>
      </c>
      <c r="C158" s="231" t="s">
        <v>1278</v>
      </c>
      <c r="D158" s="232" t="s">
        <v>1279</v>
      </c>
      <c r="E158" s="233" t="s">
        <v>1297</v>
      </c>
      <c r="F158" s="234"/>
      <c r="G158"/>
      <c r="H158"/>
      <c r="I158"/>
      <c r="J158"/>
      <c r="K158"/>
      <c r="L158"/>
      <c r="M158"/>
      <c r="N158"/>
      <c r="O158"/>
      <c r="P158"/>
      <c r="Q158"/>
      <c r="R158"/>
      <c r="S158"/>
      <c r="T158"/>
      <c r="U158"/>
      <c r="V158"/>
      <c r="W158"/>
    </row>
    <row r="159" spans="2:23" outlineLevel="1">
      <c r="B159" s="230" t="s">
        <v>828</v>
      </c>
      <c r="C159" s="231"/>
      <c r="D159" s="233">
        <v>200</v>
      </c>
      <c r="E159" s="233"/>
      <c r="F159" s="234"/>
      <c r="G159"/>
      <c r="H159"/>
      <c r="I159"/>
      <c r="J159"/>
      <c r="K159"/>
      <c r="L159"/>
      <c r="M159"/>
      <c r="N159"/>
      <c r="O159"/>
      <c r="P159"/>
      <c r="Q159"/>
      <c r="R159"/>
      <c r="S159"/>
      <c r="T159"/>
      <c r="U159"/>
      <c r="V159"/>
      <c r="W159"/>
    </row>
    <row r="160" spans="2:23" outlineLevel="1">
      <c r="B160" s="230" t="s">
        <v>15</v>
      </c>
      <c r="C160" s="231" t="s">
        <v>1305</v>
      </c>
      <c r="D160" s="232"/>
      <c r="E160" s="233"/>
      <c r="F160" s="234"/>
      <c r="G160"/>
      <c r="H160"/>
      <c r="I160"/>
      <c r="J160"/>
      <c r="K160"/>
      <c r="L160"/>
      <c r="M160"/>
      <c r="N160"/>
      <c r="O160"/>
      <c r="P160"/>
      <c r="Q160"/>
      <c r="R160"/>
      <c r="S160"/>
      <c r="T160"/>
      <c r="U160"/>
      <c r="V160"/>
      <c r="W160"/>
    </row>
    <row r="161" spans="2:23" outlineLevel="1">
      <c r="B161" s="230" t="s">
        <v>73</v>
      </c>
      <c r="C161" s="231" t="s">
        <v>1278</v>
      </c>
      <c r="D161" s="232" t="s">
        <v>1279</v>
      </c>
      <c r="E161" s="233" t="s">
        <v>1283</v>
      </c>
      <c r="F161" s="234"/>
      <c r="G161"/>
      <c r="H161"/>
      <c r="I161"/>
      <c r="J161"/>
      <c r="K161"/>
      <c r="L161"/>
      <c r="M161"/>
      <c r="N161"/>
      <c r="O161"/>
      <c r="P161"/>
      <c r="Q161"/>
      <c r="R161"/>
      <c r="S161"/>
      <c r="T161"/>
      <c r="U161"/>
      <c r="V161"/>
      <c r="W161"/>
    </row>
    <row r="162" spans="2:23" outlineLevel="1">
      <c r="B162" s="230" t="s">
        <v>73</v>
      </c>
      <c r="C162" s="231" t="s">
        <v>1278</v>
      </c>
      <c r="D162" s="232" t="s">
        <v>1279</v>
      </c>
      <c r="E162" s="233" t="s">
        <v>1302</v>
      </c>
      <c r="F162" s="234"/>
      <c r="G162"/>
      <c r="H162"/>
      <c r="I162"/>
      <c r="J162"/>
      <c r="K162"/>
      <c r="L162"/>
      <c r="M162"/>
      <c r="N162"/>
      <c r="O162"/>
      <c r="P162"/>
      <c r="Q162"/>
      <c r="R162"/>
      <c r="S162"/>
      <c r="T162"/>
      <c r="U162"/>
      <c r="V162"/>
      <c r="W162"/>
    </row>
    <row r="163" spans="2:23" outlineLevel="1">
      <c r="B163" s="230" t="s">
        <v>828</v>
      </c>
      <c r="C163" s="231"/>
      <c r="D163" s="233">
        <v>200</v>
      </c>
      <c r="E163" s="233"/>
      <c r="F163" s="234"/>
      <c r="G163"/>
      <c r="H163"/>
      <c r="I163"/>
      <c r="J163"/>
      <c r="K163"/>
      <c r="L163"/>
      <c r="M163"/>
      <c r="N163"/>
      <c r="O163"/>
      <c r="P163"/>
      <c r="Q163"/>
      <c r="R163"/>
      <c r="S163"/>
      <c r="T163"/>
      <c r="U163"/>
      <c r="V163"/>
      <c r="W163"/>
    </row>
    <row r="164" spans="2:23" outlineLevel="1">
      <c r="B164" s="230" t="s">
        <v>15</v>
      </c>
      <c r="C164" s="231" t="s">
        <v>1306</v>
      </c>
      <c r="D164" s="232"/>
      <c r="E164" s="233"/>
      <c r="F164" s="234"/>
      <c r="G164"/>
      <c r="H164"/>
      <c r="I164"/>
      <c r="J164"/>
      <c r="K164"/>
      <c r="L164"/>
      <c r="M164"/>
      <c r="N164"/>
      <c r="O164"/>
      <c r="P164"/>
      <c r="Q164"/>
      <c r="R164"/>
      <c r="S164"/>
      <c r="T164"/>
      <c r="U164"/>
      <c r="V164"/>
      <c r="W164"/>
    </row>
    <row r="165" spans="2:23" outlineLevel="1">
      <c r="B165" s="230" t="s">
        <v>73</v>
      </c>
      <c r="C165" s="231" t="s">
        <v>1278</v>
      </c>
      <c r="D165" s="232" t="s">
        <v>1279</v>
      </c>
      <c r="E165" s="233" t="s">
        <v>825</v>
      </c>
      <c r="F165" s="234"/>
      <c r="G165"/>
      <c r="H165"/>
      <c r="I165"/>
      <c r="J165"/>
      <c r="K165"/>
      <c r="L165"/>
      <c r="M165"/>
      <c r="N165"/>
      <c r="O165"/>
      <c r="P165"/>
      <c r="Q165"/>
      <c r="R165"/>
      <c r="S165"/>
      <c r="T165"/>
      <c r="U165"/>
      <c r="V165"/>
      <c r="W165"/>
    </row>
    <row r="166" spans="2:23" outlineLevel="1">
      <c r="B166" s="230" t="s">
        <v>73</v>
      </c>
      <c r="C166" s="231" t="s">
        <v>1278</v>
      </c>
      <c r="D166" s="232" t="s">
        <v>1279</v>
      </c>
      <c r="E166" s="233" t="s">
        <v>829</v>
      </c>
      <c r="F166" s="234"/>
      <c r="G166"/>
      <c r="H166"/>
      <c r="I166"/>
      <c r="J166"/>
      <c r="K166"/>
      <c r="L166"/>
      <c r="M166"/>
      <c r="N166"/>
      <c r="O166"/>
      <c r="P166"/>
      <c r="Q166"/>
      <c r="R166"/>
      <c r="S166"/>
      <c r="T166"/>
      <c r="U166"/>
      <c r="V166"/>
      <c r="W166"/>
    </row>
    <row r="167" spans="2:23" outlineLevel="1">
      <c r="B167" s="230" t="s">
        <v>828</v>
      </c>
      <c r="C167" s="231"/>
      <c r="D167" s="233">
        <v>120000</v>
      </c>
      <c r="E167" s="233"/>
      <c r="F167" s="234"/>
      <c r="G167"/>
      <c r="H167"/>
      <c r="I167"/>
      <c r="J167"/>
      <c r="K167"/>
      <c r="L167"/>
      <c r="M167"/>
      <c r="N167"/>
      <c r="O167"/>
      <c r="P167"/>
      <c r="Q167"/>
      <c r="R167"/>
      <c r="S167"/>
      <c r="T167"/>
      <c r="U167"/>
      <c r="V167"/>
      <c r="W167"/>
    </row>
    <row r="168" spans="2:23" outlineLevel="1">
      <c r="B168" s="230" t="s">
        <v>15</v>
      </c>
      <c r="C168" s="231" t="s">
        <v>1307</v>
      </c>
      <c r="D168" s="232"/>
      <c r="E168" s="233"/>
      <c r="F168" s="234"/>
      <c r="G168"/>
      <c r="H168"/>
      <c r="I168"/>
      <c r="J168"/>
      <c r="K168"/>
      <c r="L168"/>
      <c r="M168"/>
      <c r="N168"/>
      <c r="O168"/>
      <c r="P168"/>
      <c r="Q168"/>
      <c r="R168"/>
      <c r="S168"/>
      <c r="T168"/>
      <c r="U168"/>
      <c r="V168"/>
      <c r="W168"/>
    </row>
    <row r="169" spans="2:23" outlineLevel="1">
      <c r="B169" s="230" t="s">
        <v>73</v>
      </c>
      <c r="C169" s="231" t="s">
        <v>1278</v>
      </c>
      <c r="D169" s="232" t="s">
        <v>1279</v>
      </c>
      <c r="E169" s="233" t="s">
        <v>1303</v>
      </c>
      <c r="F169" s="234"/>
      <c r="G169"/>
      <c r="H169"/>
      <c r="I169"/>
      <c r="J169"/>
      <c r="K169"/>
      <c r="L169"/>
      <c r="M169"/>
      <c r="N169"/>
      <c r="O169"/>
      <c r="P169"/>
      <c r="Q169"/>
      <c r="R169"/>
      <c r="S169"/>
      <c r="T169"/>
      <c r="U169"/>
      <c r="V169"/>
      <c r="W169"/>
    </row>
    <row r="170" spans="2:23" outlineLevel="1">
      <c r="B170" s="230" t="s">
        <v>73</v>
      </c>
      <c r="C170" s="231" t="s">
        <v>1278</v>
      </c>
      <c r="D170" s="232" t="s">
        <v>1279</v>
      </c>
      <c r="E170" s="233" t="s">
        <v>1304</v>
      </c>
      <c r="F170" s="234"/>
      <c r="G170"/>
      <c r="H170"/>
      <c r="I170"/>
      <c r="J170"/>
      <c r="K170"/>
      <c r="L170"/>
      <c r="M170"/>
      <c r="N170"/>
      <c r="O170"/>
      <c r="P170"/>
      <c r="Q170"/>
      <c r="R170"/>
      <c r="S170"/>
      <c r="T170"/>
      <c r="U170"/>
      <c r="V170"/>
      <c r="W170"/>
    </row>
    <row r="171" spans="2:23" outlineLevel="1">
      <c r="B171" s="230" t="s">
        <v>828</v>
      </c>
      <c r="C171" s="231"/>
      <c r="D171" s="233">
        <v>200</v>
      </c>
      <c r="E171" s="233"/>
      <c r="F171" s="234"/>
      <c r="G171"/>
      <c r="H171"/>
      <c r="I171"/>
      <c r="J171"/>
      <c r="K171"/>
      <c r="L171"/>
      <c r="M171"/>
      <c r="N171"/>
      <c r="O171"/>
      <c r="P171"/>
      <c r="Q171"/>
      <c r="R171"/>
      <c r="S171"/>
      <c r="T171"/>
      <c r="U171"/>
      <c r="V171"/>
      <c r="W171"/>
    </row>
    <row r="172" spans="2:23" outlineLevel="1">
      <c r="B172" s="230" t="s">
        <v>15</v>
      </c>
      <c r="C172" s="231" t="s">
        <v>1308</v>
      </c>
      <c r="D172" s="232"/>
      <c r="E172" s="233"/>
      <c r="F172" s="234"/>
      <c r="G172"/>
      <c r="H172"/>
      <c r="I172"/>
      <c r="J172"/>
      <c r="K172"/>
      <c r="L172"/>
      <c r="M172"/>
      <c r="N172"/>
      <c r="O172"/>
      <c r="P172"/>
      <c r="Q172"/>
      <c r="R172"/>
      <c r="S172"/>
      <c r="T172"/>
      <c r="U172"/>
      <c r="V172"/>
      <c r="W172"/>
    </row>
    <row r="173" spans="2:23" outlineLevel="1">
      <c r="B173" s="230" t="s">
        <v>73</v>
      </c>
      <c r="C173" s="231" t="s">
        <v>1278</v>
      </c>
      <c r="D173" s="232" t="s">
        <v>1279</v>
      </c>
      <c r="E173" s="233" t="s">
        <v>1309</v>
      </c>
      <c r="F173" s="234"/>
      <c r="G173"/>
      <c r="H173"/>
      <c r="I173"/>
      <c r="J173"/>
      <c r="K173"/>
      <c r="L173"/>
      <c r="M173"/>
      <c r="N173"/>
      <c r="O173"/>
      <c r="P173"/>
      <c r="Q173"/>
      <c r="R173"/>
      <c r="S173"/>
      <c r="T173"/>
      <c r="U173"/>
      <c r="V173"/>
      <c r="W173"/>
    </row>
    <row r="174" spans="2:23" outlineLevel="1">
      <c r="B174" s="230" t="s">
        <v>73</v>
      </c>
      <c r="C174" s="231" t="s">
        <v>1278</v>
      </c>
      <c r="D174" s="232" t="s">
        <v>1279</v>
      </c>
      <c r="E174" s="233" t="s">
        <v>718</v>
      </c>
      <c r="F174" s="234"/>
      <c r="G174"/>
      <c r="H174"/>
      <c r="I174"/>
      <c r="J174"/>
      <c r="K174"/>
      <c r="L174"/>
      <c r="M174"/>
      <c r="N174"/>
      <c r="O174"/>
      <c r="P174"/>
      <c r="Q174"/>
      <c r="R174"/>
      <c r="S174"/>
      <c r="T174"/>
      <c r="U174"/>
      <c r="V174"/>
      <c r="W174"/>
    </row>
    <row r="175" spans="2:23" outlineLevel="1">
      <c r="B175" s="230" t="s">
        <v>73</v>
      </c>
      <c r="C175" s="231" t="s">
        <v>1278</v>
      </c>
      <c r="D175" s="232" t="s">
        <v>1279</v>
      </c>
      <c r="E175" s="233" t="s">
        <v>1310</v>
      </c>
      <c r="F175" s="234"/>
      <c r="G175"/>
      <c r="H175"/>
      <c r="I175"/>
      <c r="J175"/>
      <c r="K175"/>
      <c r="L175"/>
      <c r="M175"/>
      <c r="N175"/>
      <c r="O175"/>
      <c r="P175"/>
      <c r="Q175"/>
      <c r="R175"/>
      <c r="S175"/>
      <c r="T175"/>
      <c r="U175"/>
      <c r="V175"/>
      <c r="W175"/>
    </row>
    <row r="176" spans="2:23" outlineLevel="1">
      <c r="B176" s="230" t="s">
        <v>73</v>
      </c>
      <c r="C176" s="231" t="s">
        <v>1278</v>
      </c>
      <c r="D176" s="232" t="s">
        <v>1279</v>
      </c>
      <c r="E176" s="233" t="s">
        <v>1311</v>
      </c>
      <c r="F176" s="234"/>
      <c r="G176"/>
      <c r="H176"/>
      <c r="I176"/>
      <c r="J176"/>
      <c r="K176"/>
      <c r="L176"/>
      <c r="M176"/>
      <c r="N176"/>
      <c r="O176"/>
      <c r="P176"/>
      <c r="Q176"/>
      <c r="R176"/>
      <c r="S176"/>
      <c r="T176"/>
      <c r="U176"/>
      <c r="V176"/>
      <c r="W176"/>
    </row>
    <row r="177" spans="2:23" outlineLevel="1">
      <c r="B177" s="230" t="s">
        <v>73</v>
      </c>
      <c r="C177" s="231" t="s">
        <v>1278</v>
      </c>
      <c r="D177" s="232" t="s">
        <v>1279</v>
      </c>
      <c r="E177" s="233" t="s">
        <v>1312</v>
      </c>
      <c r="F177" s="234"/>
      <c r="G177"/>
      <c r="H177"/>
      <c r="I177"/>
      <c r="J177"/>
      <c r="K177"/>
      <c r="L177"/>
      <c r="M177"/>
      <c r="N177"/>
      <c r="O177"/>
      <c r="P177"/>
      <c r="Q177"/>
      <c r="R177"/>
      <c r="S177"/>
      <c r="T177"/>
      <c r="U177"/>
      <c r="V177"/>
      <c r="W177"/>
    </row>
    <row r="178" spans="2:23" outlineLevel="1">
      <c r="B178" s="230" t="s">
        <v>73</v>
      </c>
      <c r="C178" s="231" t="s">
        <v>1278</v>
      </c>
      <c r="D178" s="232" t="s">
        <v>1279</v>
      </c>
      <c r="E178" s="233" t="s">
        <v>1313</v>
      </c>
      <c r="F178" s="234"/>
      <c r="G178"/>
      <c r="H178"/>
      <c r="I178"/>
      <c r="J178"/>
      <c r="K178"/>
      <c r="L178"/>
      <c r="M178"/>
      <c r="N178"/>
      <c r="O178"/>
      <c r="P178"/>
      <c r="Q178"/>
      <c r="R178"/>
      <c r="S178"/>
      <c r="T178"/>
      <c r="U178"/>
      <c r="V178"/>
      <c r="W178"/>
    </row>
    <row r="179" spans="2:23" outlineLevel="1">
      <c r="B179" s="230" t="s">
        <v>73</v>
      </c>
      <c r="C179" s="231" t="s">
        <v>1278</v>
      </c>
      <c r="D179" s="232" t="s">
        <v>1279</v>
      </c>
      <c r="E179" s="233" t="s">
        <v>1314</v>
      </c>
      <c r="F179" s="234"/>
      <c r="G179"/>
      <c r="H179"/>
      <c r="I179"/>
      <c r="J179"/>
      <c r="K179"/>
      <c r="L179"/>
      <c r="M179"/>
      <c r="N179"/>
      <c r="O179"/>
      <c r="P179"/>
      <c r="Q179"/>
      <c r="R179"/>
      <c r="S179"/>
      <c r="T179"/>
      <c r="U179"/>
      <c r="V179"/>
      <c r="W179"/>
    </row>
    <row r="180" spans="2:23" outlineLevel="1">
      <c r="B180" s="230" t="s">
        <v>73</v>
      </c>
      <c r="C180" s="231" t="s">
        <v>1278</v>
      </c>
      <c r="D180" s="232" t="s">
        <v>1279</v>
      </c>
      <c r="E180" s="233" t="s">
        <v>1315</v>
      </c>
      <c r="F180" s="234"/>
      <c r="G180"/>
      <c r="H180"/>
      <c r="I180"/>
      <c r="J180"/>
      <c r="K180"/>
      <c r="L180"/>
      <c r="M180"/>
      <c r="N180"/>
      <c r="O180"/>
      <c r="P180"/>
      <c r="Q180"/>
      <c r="R180"/>
      <c r="S180"/>
      <c r="T180"/>
      <c r="U180"/>
      <c r="V180"/>
      <c r="W180"/>
    </row>
    <row r="181" spans="2:23" outlineLevel="1">
      <c r="B181" s="230" t="s">
        <v>73</v>
      </c>
      <c r="C181" s="231" t="s">
        <v>1278</v>
      </c>
      <c r="D181" s="232" t="s">
        <v>1279</v>
      </c>
      <c r="E181" s="233" t="s">
        <v>1316</v>
      </c>
      <c r="F181" s="234"/>
      <c r="G181"/>
      <c r="H181"/>
      <c r="I181"/>
      <c r="J181"/>
      <c r="K181"/>
      <c r="L181"/>
      <c r="M181"/>
      <c r="N181"/>
      <c r="O181"/>
      <c r="P181"/>
      <c r="Q181"/>
      <c r="R181"/>
      <c r="S181"/>
      <c r="T181"/>
      <c r="U181"/>
      <c r="V181"/>
      <c r="W181"/>
    </row>
    <row r="182" spans="2:23" outlineLevel="1">
      <c r="B182" s="230" t="s">
        <v>73</v>
      </c>
      <c r="C182" s="231" t="s">
        <v>1278</v>
      </c>
      <c r="D182" s="232" t="s">
        <v>1279</v>
      </c>
      <c r="E182" s="233" t="s">
        <v>1317</v>
      </c>
      <c r="F182" s="234"/>
      <c r="G182"/>
      <c r="H182"/>
      <c r="I182"/>
      <c r="J182"/>
      <c r="K182"/>
      <c r="L182"/>
      <c r="M182"/>
      <c r="N182"/>
      <c r="O182"/>
      <c r="P182"/>
      <c r="Q182"/>
      <c r="R182"/>
      <c r="S182"/>
      <c r="T182"/>
      <c r="U182"/>
      <c r="V182"/>
      <c r="W182"/>
    </row>
    <row r="183" spans="2:23" outlineLevel="1">
      <c r="B183" s="230" t="s">
        <v>73</v>
      </c>
      <c r="C183" s="231" t="s">
        <v>1278</v>
      </c>
      <c r="D183" s="232" t="s">
        <v>1279</v>
      </c>
      <c r="E183" s="233" t="s">
        <v>1318</v>
      </c>
      <c r="F183" s="234"/>
      <c r="G183"/>
      <c r="H183"/>
      <c r="I183"/>
      <c r="J183"/>
      <c r="K183"/>
      <c r="L183"/>
      <c r="M183"/>
      <c r="N183"/>
      <c r="O183"/>
      <c r="P183"/>
      <c r="Q183"/>
      <c r="R183"/>
      <c r="S183"/>
      <c r="T183"/>
      <c r="U183"/>
      <c r="V183"/>
      <c r="W183"/>
    </row>
    <row r="184" spans="2:23" outlineLevel="1">
      <c r="B184" s="230" t="s">
        <v>73</v>
      </c>
      <c r="C184" s="231" t="s">
        <v>1278</v>
      </c>
      <c r="D184" s="232" t="s">
        <v>1279</v>
      </c>
      <c r="E184" s="233" t="s">
        <v>780</v>
      </c>
      <c r="F184" s="234"/>
      <c r="G184"/>
      <c r="H184"/>
      <c r="I184"/>
      <c r="J184"/>
      <c r="K184"/>
      <c r="L184"/>
      <c r="M184"/>
      <c r="N184"/>
      <c r="O184"/>
      <c r="P184"/>
      <c r="Q184"/>
      <c r="R184"/>
      <c r="S184"/>
      <c r="T184"/>
      <c r="U184"/>
      <c r="V184"/>
      <c r="W184"/>
    </row>
    <row r="185" spans="2:23" outlineLevel="1">
      <c r="B185" s="235"/>
      <c r="C185" s="236"/>
      <c r="D185" s="237"/>
      <c r="E185" s="238"/>
      <c r="F185" s="234"/>
      <c r="G185"/>
      <c r="H185"/>
      <c r="I185"/>
      <c r="J185"/>
      <c r="K185"/>
      <c r="L185"/>
      <c r="M185"/>
      <c r="N185"/>
      <c r="O185"/>
      <c r="P185"/>
      <c r="Q185"/>
      <c r="R185"/>
      <c r="S185"/>
      <c r="T185"/>
      <c r="U185"/>
      <c r="V185"/>
      <c r="W185"/>
    </row>
    <row r="186" spans="2:23" outlineLevel="1">
      <c r="B186" s="230"/>
      <c r="C186" s="231"/>
      <c r="D186" s="232"/>
      <c r="E186" s="233"/>
      <c r="F186" s="234"/>
      <c r="G186"/>
      <c r="H186"/>
      <c r="I186"/>
      <c r="J186"/>
      <c r="K186"/>
      <c r="L186"/>
      <c r="M186"/>
      <c r="N186"/>
      <c r="O186"/>
      <c r="P186"/>
      <c r="Q186"/>
      <c r="R186"/>
      <c r="S186"/>
      <c r="T186"/>
      <c r="U186"/>
      <c r="V186"/>
      <c r="W186"/>
    </row>
    <row r="187" spans="2:23" outlineLevel="1">
      <c r="B187" s="235"/>
      <c r="C187" s="236"/>
      <c r="D187" s="237"/>
      <c r="E187" s="238"/>
      <c r="F187" s="234"/>
      <c r="G187"/>
      <c r="H187"/>
      <c r="I187"/>
      <c r="J187"/>
      <c r="K187"/>
      <c r="L187"/>
      <c r="M187"/>
      <c r="N187"/>
      <c r="O187"/>
      <c r="P187"/>
      <c r="Q187"/>
      <c r="R187"/>
      <c r="S187"/>
      <c r="T187"/>
      <c r="U187"/>
      <c r="V187"/>
      <c r="W187"/>
    </row>
    <row r="188" spans="2:23" outlineLevel="1">
      <c r="B188" s="230"/>
      <c r="C188" s="231"/>
      <c r="D188" s="232"/>
      <c r="E188" s="233"/>
      <c r="F188" s="234"/>
      <c r="G188"/>
      <c r="H188"/>
      <c r="I188"/>
      <c r="J188"/>
      <c r="K188"/>
      <c r="L188"/>
      <c r="M188"/>
      <c r="N188"/>
      <c r="O188"/>
      <c r="P188"/>
      <c r="Q188"/>
      <c r="R188"/>
      <c r="S188"/>
      <c r="T188"/>
      <c r="U188"/>
      <c r="V188"/>
      <c r="W188"/>
    </row>
    <row r="189" spans="2:23" outlineLevel="1">
      <c r="B189" s="235"/>
      <c r="C189" s="236"/>
      <c r="D189" s="237"/>
      <c r="E189" s="238"/>
      <c r="F189" s="234"/>
      <c r="G189"/>
      <c r="H189"/>
      <c r="I189"/>
      <c r="J189"/>
      <c r="K189"/>
      <c r="L189"/>
      <c r="M189"/>
      <c r="N189"/>
      <c r="O189"/>
      <c r="P189"/>
      <c r="Q189"/>
      <c r="R189"/>
      <c r="S189"/>
      <c r="T189"/>
      <c r="U189"/>
      <c r="V189"/>
      <c r="W189"/>
    </row>
    <row r="190" spans="2:23" outlineLevel="1">
      <c r="B190" s="230"/>
      <c r="C190" s="231"/>
      <c r="D190" s="232"/>
      <c r="E190" s="233"/>
      <c r="F190" s="234"/>
      <c r="G190"/>
      <c r="H190"/>
      <c r="I190"/>
      <c r="J190"/>
      <c r="K190"/>
      <c r="L190"/>
      <c r="M190"/>
      <c r="N190"/>
      <c r="O190"/>
      <c r="P190"/>
      <c r="Q190"/>
      <c r="R190"/>
      <c r="S190"/>
      <c r="T190"/>
      <c r="U190"/>
      <c r="V190"/>
      <c r="W190"/>
    </row>
    <row r="191" spans="2:23" outlineLevel="1">
      <c r="B191" s="235"/>
      <c r="C191" s="236"/>
      <c r="D191" s="237"/>
      <c r="E191" s="238"/>
      <c r="F191" s="234"/>
      <c r="G191"/>
      <c r="H191"/>
      <c r="I191"/>
      <c r="J191"/>
      <c r="K191"/>
      <c r="L191"/>
      <c r="M191"/>
      <c r="N191"/>
      <c r="O191"/>
      <c r="P191"/>
      <c r="Q191"/>
      <c r="R191"/>
      <c r="S191"/>
      <c r="T191"/>
      <c r="U191"/>
      <c r="V191"/>
      <c r="W191"/>
    </row>
    <row r="192" spans="2:23" outlineLevel="1">
      <c r="B192" s="230"/>
      <c r="C192" s="231"/>
      <c r="D192" s="232"/>
      <c r="E192" s="233"/>
      <c r="F192" s="234"/>
      <c r="G192"/>
      <c r="H192"/>
      <c r="I192"/>
      <c r="J192"/>
      <c r="K192"/>
      <c r="L192"/>
      <c r="M192"/>
      <c r="N192"/>
      <c r="O192"/>
      <c r="P192"/>
      <c r="Q192"/>
      <c r="R192"/>
      <c r="S192"/>
      <c r="T192"/>
      <c r="U192"/>
      <c r="V192"/>
      <c r="W192"/>
    </row>
    <row r="193" spans="2:23" outlineLevel="1">
      <c r="B193" s="235"/>
      <c r="C193" s="236"/>
      <c r="D193" s="237"/>
      <c r="E193" s="238"/>
      <c r="F193" s="234"/>
      <c r="G193"/>
      <c r="H193"/>
      <c r="I193"/>
      <c r="J193"/>
      <c r="K193"/>
      <c r="L193"/>
      <c r="M193"/>
      <c r="N193"/>
      <c r="O193"/>
      <c r="P193"/>
      <c r="Q193"/>
      <c r="R193"/>
      <c r="S193"/>
      <c r="T193"/>
      <c r="U193"/>
      <c r="V193"/>
      <c r="W193"/>
    </row>
    <row r="194" spans="2:23" outlineLevel="1">
      <c r="B194" s="230"/>
      <c r="C194" s="231"/>
      <c r="D194" s="232"/>
      <c r="E194" s="233"/>
      <c r="F194" s="234"/>
      <c r="G194"/>
      <c r="H194"/>
      <c r="I194"/>
      <c r="J194"/>
      <c r="K194"/>
      <c r="L194"/>
      <c r="M194"/>
      <c r="N194"/>
      <c r="O194"/>
      <c r="P194"/>
      <c r="Q194"/>
      <c r="R194"/>
      <c r="S194"/>
      <c r="T194"/>
      <c r="U194"/>
      <c r="V194"/>
      <c r="W194"/>
    </row>
    <row r="195" spans="2:23" outlineLevel="1">
      <c r="B195" s="235"/>
      <c r="C195" s="236"/>
      <c r="D195" s="237"/>
      <c r="E195" s="238"/>
      <c r="F195" s="234"/>
      <c r="G195"/>
      <c r="H195"/>
      <c r="I195"/>
      <c r="J195"/>
      <c r="K195"/>
      <c r="L195"/>
      <c r="M195"/>
      <c r="N195"/>
      <c r="O195"/>
      <c r="P195"/>
      <c r="Q195"/>
      <c r="R195"/>
      <c r="S195"/>
      <c r="T195"/>
      <c r="U195"/>
      <c r="V195"/>
      <c r="W195"/>
    </row>
    <row r="196" spans="2:23" outlineLevel="1">
      <c r="B196" s="230"/>
      <c r="C196" s="231"/>
      <c r="D196" s="232"/>
      <c r="E196" s="233"/>
      <c r="F196" s="234"/>
      <c r="G196"/>
      <c r="H196"/>
      <c r="I196"/>
      <c r="J196"/>
      <c r="K196"/>
      <c r="L196"/>
      <c r="M196"/>
      <c r="N196"/>
      <c r="O196"/>
      <c r="P196"/>
      <c r="Q196"/>
      <c r="R196"/>
      <c r="S196"/>
      <c r="T196"/>
      <c r="U196"/>
      <c r="V196"/>
      <c r="W196"/>
    </row>
    <row r="197" spans="2:23" outlineLevel="1">
      <c r="B197" s="235"/>
      <c r="C197" s="236"/>
      <c r="D197" s="237"/>
      <c r="E197" s="238"/>
      <c r="F197" s="234"/>
      <c r="G197"/>
      <c r="H197"/>
      <c r="I197"/>
      <c r="J197"/>
      <c r="K197"/>
      <c r="L197"/>
      <c r="M197"/>
      <c r="N197"/>
      <c r="O197"/>
      <c r="P197"/>
      <c r="Q197"/>
      <c r="R197"/>
      <c r="S197"/>
      <c r="T197"/>
      <c r="U197"/>
      <c r="V197"/>
      <c r="W197"/>
    </row>
    <row r="198" spans="2:23" outlineLevel="1">
      <c r="B198" s="230"/>
      <c r="C198" s="231"/>
      <c r="D198" s="232"/>
      <c r="E198" s="233"/>
      <c r="F198" s="234"/>
      <c r="G198"/>
      <c r="H198"/>
      <c r="I198"/>
      <c r="J198"/>
      <c r="K198"/>
      <c r="L198"/>
      <c r="M198"/>
      <c r="N198"/>
      <c r="O198"/>
      <c r="P198"/>
      <c r="Q198"/>
      <c r="R198"/>
      <c r="S198"/>
      <c r="T198"/>
      <c r="U198"/>
      <c r="V198"/>
      <c r="W198"/>
    </row>
    <row r="199" spans="2:23" outlineLevel="1">
      <c r="B199" s="235"/>
      <c r="C199" s="236"/>
      <c r="D199" s="237"/>
      <c r="E199" s="238"/>
      <c r="F199" s="234"/>
      <c r="G199"/>
      <c r="H199"/>
      <c r="I199"/>
      <c r="J199"/>
      <c r="K199"/>
      <c r="L199"/>
      <c r="M199"/>
      <c r="N199"/>
      <c r="O199"/>
      <c r="P199"/>
      <c r="Q199"/>
      <c r="R199"/>
      <c r="S199"/>
      <c r="T199"/>
      <c r="U199"/>
      <c r="V199"/>
      <c r="W199"/>
    </row>
    <row r="200" spans="2:23" outlineLevel="1">
      <c r="B200" s="230"/>
      <c r="C200" s="231"/>
      <c r="D200" s="232"/>
      <c r="E200" s="233"/>
      <c r="F200" s="234"/>
      <c r="G200"/>
      <c r="H200"/>
      <c r="I200"/>
      <c r="J200"/>
      <c r="K200"/>
      <c r="L200"/>
      <c r="M200"/>
      <c r="N200"/>
      <c r="O200"/>
      <c r="P200"/>
      <c r="Q200"/>
      <c r="R200"/>
      <c r="S200"/>
      <c r="T200"/>
      <c r="U200"/>
      <c r="V200"/>
      <c r="W200"/>
    </row>
    <row r="201" spans="2:23" outlineLevel="1">
      <c r="B201" s="235"/>
      <c r="C201" s="236"/>
      <c r="D201" s="237"/>
      <c r="E201" s="238"/>
      <c r="F201" s="234"/>
      <c r="G201"/>
      <c r="H201"/>
      <c r="I201"/>
      <c r="J201"/>
      <c r="K201"/>
      <c r="L201"/>
      <c r="M201"/>
      <c r="N201"/>
      <c r="O201"/>
      <c r="P201"/>
      <c r="Q201"/>
      <c r="R201"/>
      <c r="S201"/>
      <c r="T201"/>
      <c r="U201"/>
      <c r="V201"/>
      <c r="W201"/>
    </row>
    <row r="202" spans="2:23" outlineLevel="1">
      <c r="B202" s="230"/>
      <c r="C202" s="231"/>
      <c r="D202" s="232"/>
      <c r="E202" s="233"/>
      <c r="F202" s="234"/>
      <c r="G202"/>
      <c r="H202"/>
      <c r="I202"/>
      <c r="J202"/>
      <c r="K202"/>
      <c r="L202"/>
      <c r="M202"/>
      <c r="N202"/>
      <c r="O202"/>
      <c r="P202"/>
      <c r="Q202"/>
      <c r="R202"/>
      <c r="S202"/>
      <c r="T202"/>
      <c r="U202"/>
      <c r="V202"/>
      <c r="W202"/>
    </row>
    <row r="203" spans="2:23" outlineLevel="1">
      <c r="B203" s="235"/>
      <c r="C203" s="236"/>
      <c r="D203" s="237"/>
      <c r="E203" s="238"/>
      <c r="F203" s="234"/>
      <c r="G203"/>
      <c r="H203"/>
      <c r="I203"/>
      <c r="J203"/>
      <c r="K203"/>
      <c r="L203"/>
      <c r="M203"/>
      <c r="N203"/>
      <c r="O203"/>
      <c r="P203"/>
      <c r="Q203"/>
      <c r="R203"/>
      <c r="S203"/>
      <c r="T203"/>
      <c r="U203"/>
      <c r="V203"/>
      <c r="W203"/>
    </row>
    <row r="204" spans="2:23" outlineLevel="1">
      <c r="B204" s="230"/>
      <c r="C204" s="231"/>
      <c r="D204" s="232"/>
      <c r="E204" s="233"/>
      <c r="F204" s="234"/>
      <c r="G204"/>
      <c r="H204"/>
      <c r="I204"/>
      <c r="J204"/>
      <c r="K204"/>
      <c r="L204"/>
      <c r="M204"/>
      <c r="N204"/>
      <c r="O204"/>
      <c r="P204"/>
      <c r="Q204"/>
      <c r="R204"/>
      <c r="S204"/>
      <c r="T204"/>
      <c r="U204"/>
      <c r="V204"/>
      <c r="W204"/>
    </row>
    <row r="205" spans="2:23" outlineLevel="1">
      <c r="B205" s="235"/>
      <c r="C205" s="236"/>
      <c r="D205" s="237"/>
      <c r="E205" s="238"/>
      <c r="F205" s="234"/>
      <c r="G205"/>
      <c r="H205"/>
      <c r="I205"/>
      <c r="J205"/>
      <c r="K205"/>
      <c r="L205"/>
      <c r="M205"/>
      <c r="N205"/>
      <c r="O205"/>
      <c r="P205"/>
      <c r="Q205"/>
      <c r="R205"/>
      <c r="S205"/>
      <c r="T205"/>
      <c r="U205"/>
      <c r="V205"/>
      <c r="W205"/>
    </row>
    <row r="206" spans="2:23" outlineLevel="1">
      <c r="B206" s="230"/>
      <c r="C206" s="231"/>
      <c r="D206" s="232"/>
      <c r="E206" s="233"/>
      <c r="F206" s="234"/>
      <c r="G206"/>
      <c r="H206"/>
      <c r="I206"/>
      <c r="J206"/>
      <c r="K206"/>
      <c r="L206"/>
      <c r="M206"/>
      <c r="N206"/>
      <c r="O206"/>
      <c r="P206"/>
      <c r="Q206"/>
      <c r="R206"/>
      <c r="S206"/>
      <c r="T206"/>
      <c r="U206"/>
      <c r="V206"/>
      <c r="W206"/>
    </row>
    <row r="207" spans="2:23" outlineLevel="1">
      <c r="B207" s="235"/>
      <c r="C207" s="236"/>
      <c r="D207" s="237"/>
      <c r="E207" s="238"/>
      <c r="F207" s="234"/>
      <c r="G207"/>
      <c r="H207"/>
      <c r="I207"/>
      <c r="J207"/>
      <c r="K207"/>
      <c r="L207"/>
      <c r="M207"/>
      <c r="N207"/>
      <c r="O207"/>
      <c r="P207"/>
      <c r="Q207"/>
      <c r="R207"/>
      <c r="S207"/>
      <c r="T207"/>
      <c r="U207"/>
      <c r="V207"/>
      <c r="W207"/>
    </row>
    <row r="208" spans="2:23" outlineLevel="1">
      <c r="B208" s="230"/>
      <c r="C208" s="231"/>
      <c r="D208" s="232"/>
      <c r="E208" s="233"/>
      <c r="F208" s="234"/>
      <c r="G208"/>
      <c r="H208"/>
      <c r="I208"/>
      <c r="J208"/>
      <c r="K208"/>
      <c r="L208"/>
      <c r="M208"/>
      <c r="N208"/>
      <c r="O208"/>
      <c r="P208"/>
      <c r="Q208"/>
      <c r="R208"/>
      <c r="S208"/>
      <c r="T208"/>
      <c r="U208"/>
      <c r="V208"/>
      <c r="W208"/>
    </row>
    <row r="209" spans="2:23" outlineLevel="1">
      <c r="B209" s="235"/>
      <c r="C209" s="236"/>
      <c r="D209" s="237"/>
      <c r="E209" s="238"/>
      <c r="F209" s="234"/>
      <c r="G209"/>
      <c r="H209"/>
      <c r="I209"/>
      <c r="J209"/>
      <c r="K209"/>
      <c r="L209"/>
      <c r="M209"/>
      <c r="N209"/>
      <c r="O209"/>
      <c r="P209"/>
      <c r="Q209"/>
      <c r="R209"/>
      <c r="S209"/>
      <c r="T209"/>
      <c r="U209"/>
      <c r="V209"/>
      <c r="W209"/>
    </row>
    <row r="210" spans="2:23" outlineLevel="1">
      <c r="B210" s="230"/>
      <c r="C210" s="231"/>
      <c r="D210" s="232"/>
      <c r="E210" s="233"/>
      <c r="F210" s="234"/>
      <c r="G210"/>
      <c r="H210"/>
      <c r="I210"/>
      <c r="J210"/>
      <c r="K210"/>
      <c r="L210"/>
      <c r="M210"/>
      <c r="N210"/>
      <c r="O210"/>
      <c r="P210"/>
      <c r="Q210"/>
      <c r="R210"/>
      <c r="S210"/>
      <c r="T210"/>
      <c r="U210"/>
      <c r="V210"/>
      <c r="W210"/>
    </row>
    <row r="211" spans="2:23" outlineLevel="1">
      <c r="B211" s="235"/>
      <c r="C211" s="236"/>
      <c r="D211" s="237"/>
      <c r="E211" s="238"/>
      <c r="F211" s="234"/>
      <c r="G211"/>
      <c r="H211"/>
      <c r="I211"/>
      <c r="J211"/>
      <c r="K211"/>
      <c r="L211"/>
      <c r="M211"/>
      <c r="N211"/>
      <c r="O211"/>
      <c r="P211"/>
      <c r="Q211"/>
      <c r="R211"/>
      <c r="S211"/>
      <c r="T211"/>
      <c r="U211"/>
      <c r="V211"/>
      <c r="W211"/>
    </row>
    <row r="212" spans="2:23" outlineLevel="1">
      <c r="B212" s="230"/>
      <c r="C212" s="231"/>
      <c r="D212" s="232"/>
      <c r="E212" s="233"/>
      <c r="F212" s="234"/>
      <c r="G212"/>
      <c r="H212"/>
      <c r="I212"/>
      <c r="J212"/>
      <c r="K212"/>
      <c r="L212"/>
      <c r="M212"/>
      <c r="N212"/>
      <c r="O212"/>
      <c r="P212"/>
      <c r="Q212"/>
      <c r="R212"/>
      <c r="S212"/>
      <c r="T212"/>
      <c r="U212"/>
      <c r="V212"/>
      <c r="W212"/>
    </row>
    <row r="213" spans="2:23" outlineLevel="1">
      <c r="B213" s="235"/>
      <c r="C213" s="236"/>
      <c r="D213" s="237"/>
      <c r="E213" s="238"/>
      <c r="F213" s="234"/>
      <c r="G213"/>
      <c r="H213"/>
      <c r="I213"/>
      <c r="J213"/>
      <c r="K213"/>
      <c r="L213"/>
      <c r="M213"/>
      <c r="N213"/>
      <c r="O213"/>
      <c r="P213"/>
      <c r="Q213"/>
      <c r="R213"/>
      <c r="S213"/>
      <c r="T213"/>
      <c r="U213"/>
      <c r="V213"/>
      <c r="W213"/>
    </row>
    <row r="214" spans="2:23" outlineLevel="1">
      <c r="B214" s="230"/>
      <c r="C214" s="231"/>
      <c r="D214" s="232"/>
      <c r="E214" s="233"/>
      <c r="F214" s="234"/>
      <c r="G214"/>
      <c r="H214"/>
      <c r="I214"/>
      <c r="J214"/>
      <c r="K214"/>
      <c r="L214"/>
      <c r="M214"/>
      <c r="N214"/>
      <c r="O214"/>
      <c r="P214"/>
      <c r="Q214"/>
      <c r="R214"/>
      <c r="S214"/>
      <c r="T214"/>
      <c r="U214"/>
      <c r="V214"/>
      <c r="W214"/>
    </row>
    <row r="215" spans="2:23" outlineLevel="1">
      <c r="B215" s="235"/>
      <c r="C215" s="236"/>
      <c r="D215" s="237"/>
      <c r="E215" s="238"/>
      <c r="F215" s="234"/>
      <c r="G215"/>
      <c r="H215"/>
      <c r="I215"/>
      <c r="J215"/>
      <c r="K215"/>
      <c r="L215"/>
      <c r="M215"/>
      <c r="N215"/>
      <c r="O215"/>
      <c r="P215"/>
      <c r="Q215"/>
      <c r="R215"/>
      <c r="S215"/>
      <c r="T215"/>
      <c r="U215"/>
      <c r="V215"/>
      <c r="W215"/>
    </row>
    <row r="216" spans="2:23" outlineLevel="1">
      <c r="B216" s="230"/>
      <c r="C216" s="231"/>
      <c r="D216" s="232"/>
      <c r="E216" s="233"/>
      <c r="F216" s="234"/>
      <c r="G216"/>
      <c r="H216"/>
      <c r="I216"/>
      <c r="J216"/>
      <c r="K216"/>
      <c r="L216"/>
      <c r="M216"/>
      <c r="N216"/>
      <c r="O216"/>
      <c r="P216"/>
      <c r="Q216"/>
      <c r="R216"/>
      <c r="S216"/>
      <c r="T216"/>
      <c r="U216"/>
      <c r="V216"/>
      <c r="W216"/>
    </row>
    <row r="217" spans="2:23" outlineLevel="1">
      <c r="B217" s="235"/>
      <c r="C217" s="236"/>
      <c r="D217" s="237"/>
      <c r="E217" s="238"/>
      <c r="F217" s="234"/>
      <c r="G217"/>
      <c r="H217"/>
      <c r="I217"/>
      <c r="J217"/>
      <c r="K217"/>
      <c r="L217"/>
      <c r="M217"/>
      <c r="N217"/>
      <c r="O217"/>
      <c r="P217"/>
      <c r="Q217"/>
      <c r="R217"/>
      <c r="S217"/>
      <c r="T217"/>
      <c r="U217"/>
      <c r="V217"/>
      <c r="W217"/>
    </row>
    <row r="218" spans="2:23" outlineLevel="1">
      <c r="B218" s="230"/>
      <c r="C218" s="231"/>
      <c r="D218" s="232"/>
      <c r="E218" s="233"/>
      <c r="F218" s="234"/>
      <c r="G218"/>
      <c r="H218"/>
      <c r="I218"/>
      <c r="J218"/>
      <c r="K218"/>
      <c r="L218"/>
      <c r="M218"/>
      <c r="N218"/>
      <c r="O218"/>
      <c r="P218"/>
      <c r="Q218"/>
      <c r="R218"/>
      <c r="S218"/>
      <c r="T218"/>
      <c r="U218"/>
      <c r="V218"/>
      <c r="W218"/>
    </row>
    <row r="219" spans="2:23" outlineLevel="1">
      <c r="B219" s="235"/>
      <c r="C219" s="236"/>
      <c r="D219" s="237"/>
      <c r="E219" s="238"/>
      <c r="F219" s="234"/>
      <c r="G219"/>
      <c r="H219"/>
      <c r="I219"/>
      <c r="J219"/>
      <c r="K219"/>
      <c r="L219"/>
      <c r="M219"/>
      <c r="N219"/>
      <c r="O219"/>
      <c r="P219"/>
      <c r="Q219"/>
      <c r="R219"/>
      <c r="S219"/>
      <c r="T219"/>
      <c r="U219"/>
      <c r="V219"/>
      <c r="W219"/>
    </row>
    <row r="220" spans="2:23" outlineLevel="1">
      <c r="B220" s="230"/>
      <c r="C220" s="231"/>
      <c r="D220" s="232"/>
      <c r="E220" s="233"/>
      <c r="F220" s="234"/>
      <c r="G220"/>
      <c r="H220"/>
      <c r="I220"/>
      <c r="J220"/>
      <c r="K220"/>
      <c r="L220"/>
      <c r="M220"/>
      <c r="N220"/>
      <c r="O220"/>
      <c r="P220"/>
      <c r="Q220"/>
      <c r="R220"/>
      <c r="S220"/>
      <c r="T220"/>
      <c r="U220"/>
      <c r="V220"/>
      <c r="W220"/>
    </row>
    <row r="221" spans="2:23" outlineLevel="1">
      <c r="B221" s="235"/>
      <c r="C221" s="236"/>
      <c r="D221" s="237"/>
      <c r="E221" s="238"/>
      <c r="F221" s="234"/>
      <c r="G221"/>
      <c r="H221"/>
      <c r="I221"/>
      <c r="J221"/>
      <c r="K221"/>
      <c r="L221"/>
      <c r="M221"/>
      <c r="N221"/>
      <c r="O221"/>
      <c r="P221"/>
      <c r="Q221"/>
      <c r="R221"/>
      <c r="S221"/>
      <c r="T221"/>
      <c r="U221"/>
      <c r="V221"/>
      <c r="W221"/>
    </row>
    <row r="222" spans="2:23" outlineLevel="1">
      <c r="B222" s="230"/>
      <c r="C222" s="231"/>
      <c r="D222" s="232"/>
      <c r="E222" s="233"/>
      <c r="F222" s="234"/>
      <c r="G222"/>
      <c r="H222"/>
      <c r="I222"/>
      <c r="J222"/>
      <c r="K222"/>
      <c r="L222"/>
      <c r="M222"/>
      <c r="N222"/>
      <c r="O222"/>
      <c r="P222"/>
      <c r="Q222"/>
      <c r="R222"/>
      <c r="S222"/>
      <c r="T222"/>
      <c r="U222"/>
      <c r="V222"/>
      <c r="W222"/>
    </row>
    <row r="223" spans="2:23" outlineLevel="1">
      <c r="B223" s="235"/>
      <c r="C223" s="236"/>
      <c r="D223" s="237"/>
      <c r="E223" s="238"/>
      <c r="F223" s="234"/>
      <c r="G223"/>
      <c r="H223"/>
      <c r="I223"/>
      <c r="J223"/>
      <c r="K223"/>
      <c r="L223"/>
      <c r="M223"/>
      <c r="N223"/>
      <c r="O223"/>
      <c r="P223"/>
      <c r="Q223"/>
      <c r="R223"/>
      <c r="S223"/>
      <c r="T223"/>
      <c r="U223"/>
      <c r="V223"/>
      <c r="W223"/>
    </row>
    <row r="224" spans="2:23" outlineLevel="1">
      <c r="B224" s="230"/>
      <c r="C224" s="231"/>
      <c r="D224" s="232"/>
      <c r="E224" s="233"/>
      <c r="F224" s="234"/>
      <c r="G224"/>
      <c r="H224"/>
      <c r="I224"/>
      <c r="J224"/>
      <c r="K224"/>
      <c r="L224"/>
      <c r="M224"/>
      <c r="N224"/>
      <c r="O224"/>
      <c r="P224"/>
      <c r="Q224"/>
      <c r="R224"/>
      <c r="S224"/>
      <c r="T224"/>
      <c r="U224"/>
      <c r="V224"/>
      <c r="W224"/>
    </row>
    <row r="225" spans="2:23" outlineLevel="1">
      <c r="B225" s="235"/>
      <c r="C225" s="236"/>
      <c r="D225" s="237"/>
      <c r="E225" s="238"/>
      <c r="F225" s="234"/>
      <c r="G225"/>
      <c r="H225"/>
      <c r="I225"/>
      <c r="J225"/>
      <c r="K225"/>
      <c r="L225"/>
      <c r="M225"/>
      <c r="N225"/>
      <c r="O225"/>
      <c r="P225"/>
      <c r="Q225"/>
      <c r="R225"/>
      <c r="S225"/>
      <c r="T225"/>
      <c r="U225"/>
      <c r="V225"/>
      <c r="W225"/>
    </row>
    <row r="226" spans="2:23" outlineLevel="1">
      <c r="B226" s="230"/>
      <c r="C226" s="231"/>
      <c r="D226" s="232"/>
      <c r="E226" s="233"/>
      <c r="F226" s="234"/>
      <c r="G226"/>
      <c r="H226"/>
      <c r="I226"/>
      <c r="J226"/>
      <c r="K226"/>
      <c r="L226"/>
      <c r="M226"/>
      <c r="N226"/>
      <c r="O226"/>
      <c r="P226"/>
      <c r="Q226"/>
      <c r="R226"/>
      <c r="S226"/>
      <c r="T226"/>
      <c r="U226"/>
      <c r="V226"/>
      <c r="W226"/>
    </row>
    <row r="227" spans="2:23" outlineLevel="1">
      <c r="B227" s="235"/>
      <c r="C227" s="236"/>
      <c r="D227" s="237"/>
      <c r="E227" s="238"/>
      <c r="F227" s="234"/>
      <c r="G227"/>
      <c r="H227"/>
      <c r="I227"/>
      <c r="J227"/>
      <c r="K227"/>
      <c r="L227"/>
      <c r="M227"/>
      <c r="N227"/>
      <c r="O227"/>
      <c r="P227"/>
      <c r="Q227"/>
      <c r="R227"/>
      <c r="S227"/>
      <c r="T227"/>
      <c r="U227"/>
      <c r="V227"/>
      <c r="W227"/>
    </row>
    <row r="228" spans="2:23" outlineLevel="1">
      <c r="B228" s="230"/>
      <c r="C228" s="231"/>
      <c r="D228" s="232"/>
      <c r="E228" s="233"/>
      <c r="F228" s="234"/>
      <c r="G228"/>
      <c r="H228"/>
      <c r="I228"/>
      <c r="J228"/>
      <c r="K228"/>
      <c r="L228"/>
      <c r="M228"/>
      <c r="N228"/>
      <c r="O228"/>
      <c r="P228"/>
      <c r="Q228"/>
      <c r="R228"/>
      <c r="S228"/>
      <c r="T228"/>
      <c r="U228"/>
      <c r="V228"/>
      <c r="W228"/>
    </row>
    <row r="229" spans="2:23" outlineLevel="1">
      <c r="B229" s="235"/>
      <c r="C229" s="236"/>
      <c r="D229" s="237"/>
      <c r="E229" s="238"/>
      <c r="F229" s="234"/>
      <c r="G229"/>
      <c r="H229"/>
      <c r="I229"/>
      <c r="J229"/>
      <c r="K229"/>
      <c r="L229"/>
      <c r="M229"/>
      <c r="N229"/>
      <c r="O229"/>
      <c r="P229"/>
      <c r="Q229"/>
      <c r="R229"/>
      <c r="S229"/>
      <c r="T229"/>
      <c r="U229"/>
      <c r="V229"/>
      <c r="W229"/>
    </row>
    <row r="230" spans="2:23" outlineLevel="1">
      <c r="B230" s="230"/>
      <c r="C230" s="231"/>
      <c r="D230" s="232"/>
      <c r="E230" s="233"/>
      <c r="F230" s="234"/>
      <c r="G230"/>
      <c r="H230"/>
      <c r="I230"/>
      <c r="J230"/>
      <c r="K230"/>
      <c r="L230"/>
      <c r="M230"/>
      <c r="N230"/>
      <c r="O230"/>
      <c r="P230"/>
      <c r="Q230"/>
      <c r="R230"/>
      <c r="S230"/>
      <c r="T230"/>
      <c r="U230"/>
      <c r="V230"/>
      <c r="W230"/>
    </row>
    <row r="231" spans="2:23" outlineLevel="1">
      <c r="B231" s="235"/>
      <c r="C231" s="236"/>
      <c r="D231" s="237"/>
      <c r="E231" s="238"/>
      <c r="F231" s="234"/>
      <c r="G231"/>
      <c r="H231"/>
      <c r="I231"/>
      <c r="J231"/>
      <c r="K231"/>
      <c r="L231"/>
      <c r="M231"/>
      <c r="N231"/>
      <c r="O231"/>
      <c r="P231"/>
      <c r="Q231"/>
      <c r="R231"/>
      <c r="S231"/>
      <c r="T231"/>
      <c r="U231"/>
      <c r="V231"/>
      <c r="W231"/>
    </row>
    <row r="232" spans="2:23" outlineLevel="1">
      <c r="B232" s="230"/>
      <c r="C232" s="231"/>
      <c r="D232" s="232"/>
      <c r="E232" s="233"/>
      <c r="F232" s="234"/>
      <c r="G232"/>
      <c r="H232"/>
      <c r="I232"/>
      <c r="J232"/>
      <c r="K232"/>
      <c r="L232"/>
      <c r="M232"/>
      <c r="N232"/>
      <c r="O232"/>
      <c r="P232"/>
      <c r="Q232"/>
      <c r="R232"/>
      <c r="S232"/>
      <c r="T232"/>
      <c r="U232"/>
      <c r="V232"/>
      <c r="W232"/>
    </row>
    <row r="233" spans="2:23" outlineLevel="1">
      <c r="B233" s="235"/>
      <c r="C233" s="236"/>
      <c r="D233" s="237"/>
      <c r="E233" s="238"/>
      <c r="F233" s="234"/>
      <c r="G233"/>
      <c r="H233"/>
      <c r="I233"/>
      <c r="J233"/>
      <c r="K233"/>
      <c r="L233"/>
      <c r="M233"/>
      <c r="N233"/>
      <c r="O233"/>
      <c r="P233"/>
      <c r="Q233"/>
      <c r="R233"/>
      <c r="S233"/>
      <c r="T233"/>
      <c r="U233"/>
      <c r="V233"/>
      <c r="W233"/>
    </row>
    <row r="234" spans="2:23" outlineLevel="1">
      <c r="B234" s="230"/>
      <c r="C234" s="231"/>
      <c r="D234" s="232"/>
      <c r="E234" s="233"/>
      <c r="F234" s="234"/>
      <c r="G234"/>
      <c r="H234"/>
      <c r="I234"/>
      <c r="J234"/>
      <c r="K234"/>
      <c r="L234"/>
      <c r="M234"/>
      <c r="N234"/>
      <c r="O234"/>
      <c r="P234"/>
      <c r="Q234"/>
      <c r="R234"/>
      <c r="S234"/>
      <c r="T234"/>
      <c r="U234"/>
      <c r="V234"/>
      <c r="W234"/>
    </row>
    <row r="235" spans="2:23" outlineLevel="1">
      <c r="B235" s="235"/>
      <c r="C235" s="236"/>
      <c r="D235" s="237"/>
      <c r="E235" s="238"/>
      <c r="F235" s="234"/>
      <c r="G235"/>
      <c r="H235"/>
      <c r="I235"/>
      <c r="J235"/>
      <c r="K235"/>
      <c r="L235"/>
      <c r="M235"/>
      <c r="N235"/>
      <c r="O235"/>
      <c r="P235"/>
      <c r="Q235"/>
      <c r="R235"/>
      <c r="S235"/>
      <c r="T235"/>
      <c r="U235"/>
      <c r="V235"/>
      <c r="W235"/>
    </row>
    <row r="236" spans="2:23" outlineLevel="1">
      <c r="B236" s="230"/>
      <c r="C236" s="231"/>
      <c r="D236" s="232"/>
      <c r="E236" s="233"/>
      <c r="F236" s="234"/>
      <c r="G236"/>
      <c r="H236"/>
      <c r="I236"/>
      <c r="J236"/>
      <c r="K236"/>
      <c r="L236"/>
      <c r="M236"/>
      <c r="N236"/>
      <c r="O236"/>
      <c r="P236"/>
      <c r="Q236"/>
      <c r="R236"/>
      <c r="S236"/>
      <c r="T236"/>
      <c r="U236"/>
      <c r="V236"/>
      <c r="W236"/>
    </row>
    <row r="237" spans="2:23" outlineLevel="1">
      <c r="B237" s="235"/>
      <c r="C237" s="236"/>
      <c r="D237" s="237"/>
      <c r="E237" s="238"/>
      <c r="F237" s="234"/>
      <c r="G237"/>
      <c r="H237"/>
      <c r="I237"/>
      <c r="J237"/>
      <c r="K237"/>
      <c r="L237"/>
      <c r="M237"/>
      <c r="N237"/>
      <c r="O237"/>
      <c r="P237"/>
      <c r="Q237"/>
      <c r="R237"/>
      <c r="S237"/>
      <c r="T237"/>
      <c r="U237"/>
      <c r="V237"/>
      <c r="W237"/>
    </row>
    <row r="238" spans="2:23" outlineLevel="1">
      <c r="B238" s="230"/>
      <c r="C238" s="231"/>
      <c r="D238" s="232"/>
      <c r="E238" s="233"/>
      <c r="F238" s="234"/>
      <c r="G238"/>
      <c r="H238"/>
      <c r="I238"/>
      <c r="J238"/>
      <c r="K238"/>
      <c r="L238"/>
      <c r="M238"/>
      <c r="N238"/>
      <c r="O238"/>
      <c r="P238"/>
      <c r="Q238"/>
      <c r="R238"/>
      <c r="S238"/>
      <c r="T238"/>
      <c r="U238"/>
      <c r="V238"/>
      <c r="W238"/>
    </row>
    <row r="239" spans="2:23" outlineLevel="1">
      <c r="B239" s="235"/>
      <c r="C239" s="236"/>
      <c r="D239" s="237"/>
      <c r="E239" s="238"/>
      <c r="F239" s="234"/>
      <c r="G239"/>
      <c r="H239"/>
      <c r="I239"/>
      <c r="J239"/>
      <c r="K239"/>
      <c r="L239"/>
      <c r="M239"/>
      <c r="N239"/>
      <c r="O239"/>
      <c r="P239"/>
      <c r="Q239"/>
      <c r="R239"/>
      <c r="S239"/>
      <c r="T239"/>
      <c r="U239"/>
      <c r="V239"/>
      <c r="W239"/>
    </row>
    <row r="240" spans="2:23" outlineLevel="1">
      <c r="B240" s="230"/>
      <c r="C240" s="231"/>
      <c r="D240" s="232"/>
      <c r="E240" s="233"/>
      <c r="F240" s="234"/>
      <c r="G240"/>
      <c r="H240"/>
      <c r="I240"/>
      <c r="J240"/>
      <c r="K240"/>
      <c r="L240"/>
      <c r="M240"/>
      <c r="N240"/>
      <c r="O240"/>
      <c r="P240"/>
      <c r="Q240"/>
      <c r="R240"/>
      <c r="S240"/>
      <c r="T240"/>
      <c r="U240"/>
      <c r="V240"/>
      <c r="W240"/>
    </row>
    <row r="241" spans="2:23" outlineLevel="1">
      <c r="B241" s="235"/>
      <c r="C241" s="236"/>
      <c r="D241" s="237"/>
      <c r="E241" s="238"/>
      <c r="F241" s="234"/>
      <c r="G241"/>
      <c r="H241"/>
      <c r="I241"/>
      <c r="J241"/>
      <c r="K241"/>
      <c r="L241"/>
      <c r="M241"/>
      <c r="N241"/>
      <c r="O241"/>
      <c r="P241"/>
      <c r="Q241"/>
      <c r="R241"/>
      <c r="S241"/>
      <c r="T241"/>
      <c r="U241"/>
      <c r="V241"/>
      <c r="W241"/>
    </row>
    <row r="242" spans="2:23" outlineLevel="1">
      <c r="B242" s="230"/>
      <c r="C242" s="231"/>
      <c r="D242" s="232"/>
      <c r="E242" s="233"/>
      <c r="F242" s="234"/>
      <c r="G242"/>
      <c r="H242"/>
      <c r="I242"/>
      <c r="J242"/>
      <c r="K242"/>
      <c r="L242"/>
      <c r="M242"/>
      <c r="N242"/>
      <c r="O242"/>
      <c r="P242"/>
      <c r="Q242"/>
      <c r="R242"/>
      <c r="S242"/>
      <c r="T242"/>
      <c r="U242"/>
      <c r="V242"/>
      <c r="W242"/>
    </row>
    <row r="243" spans="2:23" outlineLevel="1">
      <c r="B243" s="235"/>
      <c r="C243" s="236"/>
      <c r="D243" s="237"/>
      <c r="E243" s="238"/>
      <c r="F243" s="234"/>
      <c r="G243"/>
      <c r="H243"/>
      <c r="I243"/>
      <c r="J243"/>
      <c r="K243"/>
      <c r="L243"/>
      <c r="M243"/>
      <c r="N243"/>
      <c r="O243"/>
      <c r="P243"/>
      <c r="Q243"/>
      <c r="R243"/>
      <c r="S243"/>
      <c r="T243"/>
      <c r="U243"/>
      <c r="V243"/>
      <c r="W243"/>
    </row>
    <row r="244" spans="2:23" outlineLevel="1">
      <c r="B244" s="230"/>
      <c r="C244" s="231"/>
      <c r="D244" s="232"/>
      <c r="E244" s="233"/>
      <c r="F244" s="234"/>
      <c r="G244"/>
      <c r="H244"/>
      <c r="I244"/>
      <c r="J244"/>
      <c r="K244"/>
      <c r="L244"/>
      <c r="M244"/>
      <c r="N244"/>
      <c r="O244"/>
      <c r="P244"/>
      <c r="Q244"/>
      <c r="R244"/>
      <c r="S244"/>
      <c r="T244"/>
      <c r="U244"/>
      <c r="V244"/>
      <c r="W244"/>
    </row>
    <row r="245" spans="2:23" outlineLevel="1">
      <c r="B245" s="235"/>
      <c r="C245" s="236"/>
      <c r="D245" s="237"/>
      <c r="E245" s="238"/>
      <c r="F245" s="234"/>
      <c r="G245"/>
      <c r="H245"/>
      <c r="I245"/>
      <c r="J245"/>
      <c r="K245"/>
      <c r="L245"/>
      <c r="M245"/>
      <c r="N245"/>
      <c r="O245"/>
      <c r="P245"/>
      <c r="Q245"/>
      <c r="R245"/>
      <c r="S245"/>
      <c r="T245"/>
      <c r="U245"/>
      <c r="V245"/>
      <c r="W245"/>
    </row>
    <row r="246" spans="2:23" outlineLevel="1">
      <c r="B246" s="230"/>
      <c r="C246" s="231"/>
      <c r="D246" s="232"/>
      <c r="E246" s="233"/>
      <c r="F246" s="234"/>
      <c r="G246"/>
      <c r="H246"/>
      <c r="I246"/>
      <c r="J246"/>
      <c r="K246"/>
      <c r="L246"/>
      <c r="M246"/>
      <c r="N246"/>
      <c r="O246"/>
      <c r="P246"/>
      <c r="Q246"/>
      <c r="R246"/>
      <c r="S246"/>
      <c r="T246"/>
      <c r="U246"/>
      <c r="V246"/>
      <c r="W246"/>
    </row>
    <row r="247" spans="2:23" outlineLevel="1">
      <c r="B247" s="235"/>
      <c r="C247" s="236"/>
      <c r="D247" s="237"/>
      <c r="E247" s="238"/>
      <c r="F247" s="234"/>
      <c r="G247"/>
      <c r="H247"/>
      <c r="I247"/>
      <c r="J247"/>
      <c r="K247"/>
      <c r="L247"/>
      <c r="M247"/>
      <c r="N247"/>
      <c r="O247"/>
      <c r="P247"/>
      <c r="Q247"/>
      <c r="R247"/>
      <c r="S247"/>
      <c r="T247"/>
      <c r="U247"/>
      <c r="V247"/>
      <c r="W247"/>
    </row>
    <row r="248" spans="2:23" outlineLevel="1">
      <c r="B248" s="230"/>
      <c r="C248" s="231"/>
      <c r="D248" s="232"/>
      <c r="E248" s="233"/>
      <c r="F248" s="234"/>
      <c r="G248"/>
      <c r="H248"/>
      <c r="I248"/>
      <c r="J248"/>
      <c r="K248"/>
      <c r="L248"/>
      <c r="M248"/>
      <c r="N248"/>
      <c r="O248"/>
      <c r="P248"/>
      <c r="Q248"/>
      <c r="R248"/>
      <c r="S248"/>
      <c r="T248"/>
      <c r="U248"/>
      <c r="V248"/>
      <c r="W248"/>
    </row>
    <row r="249" spans="2:23" outlineLevel="1">
      <c r="B249" s="235"/>
      <c r="C249" s="236"/>
      <c r="D249" s="237"/>
      <c r="E249" s="238"/>
      <c r="F249" s="234"/>
      <c r="G249"/>
      <c r="H249"/>
      <c r="I249"/>
      <c r="J249"/>
      <c r="K249"/>
      <c r="L249"/>
      <c r="M249"/>
      <c r="N249"/>
      <c r="O249"/>
      <c r="P249"/>
      <c r="Q249"/>
      <c r="R249"/>
      <c r="S249"/>
      <c r="T249"/>
      <c r="U249"/>
      <c r="V249"/>
      <c r="W249"/>
    </row>
    <row r="250" spans="2:23" outlineLevel="1">
      <c r="B250" s="230"/>
      <c r="C250" s="231"/>
      <c r="D250" s="232"/>
      <c r="E250" s="233"/>
      <c r="F250" s="234"/>
      <c r="G250"/>
      <c r="H250"/>
      <c r="I250"/>
      <c r="J250"/>
      <c r="K250"/>
      <c r="L250"/>
      <c r="M250"/>
      <c r="N250"/>
      <c r="O250"/>
      <c r="P250"/>
      <c r="Q250"/>
      <c r="R250"/>
      <c r="S250"/>
      <c r="T250"/>
      <c r="U250"/>
      <c r="V250"/>
      <c r="W250"/>
    </row>
    <row r="251" spans="2:23" outlineLevel="1">
      <c r="B251" s="235"/>
      <c r="C251" s="236"/>
      <c r="D251" s="237"/>
      <c r="E251" s="238"/>
      <c r="F251" s="234"/>
      <c r="G251"/>
      <c r="H251"/>
      <c r="I251"/>
      <c r="J251"/>
      <c r="K251"/>
      <c r="L251"/>
      <c r="M251"/>
      <c r="N251"/>
      <c r="O251"/>
      <c r="P251"/>
      <c r="Q251"/>
      <c r="R251"/>
      <c r="S251"/>
      <c r="T251"/>
      <c r="U251"/>
      <c r="V251"/>
      <c r="W251"/>
    </row>
    <row r="252" spans="2:23" outlineLevel="1">
      <c r="B252" s="230"/>
      <c r="C252" s="231"/>
      <c r="D252" s="232"/>
      <c r="E252" s="233"/>
      <c r="F252" s="234"/>
      <c r="G252"/>
      <c r="H252"/>
      <c r="I252"/>
      <c r="J252"/>
      <c r="K252"/>
      <c r="L252"/>
      <c r="M252"/>
      <c r="N252"/>
      <c r="O252"/>
      <c r="P252"/>
      <c r="Q252"/>
      <c r="R252"/>
      <c r="S252"/>
      <c r="T252"/>
      <c r="U252"/>
      <c r="V252"/>
      <c r="W252"/>
    </row>
    <row r="253" spans="2:23" outlineLevel="1">
      <c r="B253" s="235"/>
      <c r="C253" s="236"/>
      <c r="D253" s="237"/>
      <c r="E253" s="238"/>
      <c r="F253" s="234"/>
      <c r="G253"/>
      <c r="H253"/>
      <c r="I253"/>
      <c r="J253"/>
      <c r="K253"/>
      <c r="L253"/>
      <c r="M253"/>
      <c r="N253"/>
      <c r="O253"/>
      <c r="P253"/>
      <c r="Q253"/>
      <c r="R253"/>
      <c r="S253"/>
      <c r="T253"/>
      <c r="U253"/>
      <c r="V253"/>
      <c r="W253"/>
    </row>
    <row r="254" spans="2:23" outlineLevel="1">
      <c r="B254" s="230"/>
      <c r="C254" s="231"/>
      <c r="D254" s="232"/>
      <c r="E254" s="233"/>
      <c r="F254" s="234"/>
      <c r="G254"/>
      <c r="H254"/>
      <c r="I254"/>
      <c r="J254"/>
      <c r="K254"/>
      <c r="L254"/>
      <c r="M254"/>
      <c r="N254"/>
      <c r="O254"/>
      <c r="P254"/>
      <c r="Q254"/>
      <c r="R254"/>
      <c r="S254"/>
      <c r="T254"/>
      <c r="U254"/>
      <c r="V254"/>
      <c r="W254"/>
    </row>
    <row r="255" spans="2:23" outlineLevel="1">
      <c r="B255" s="235"/>
      <c r="C255" s="236"/>
      <c r="D255" s="237"/>
      <c r="E255" s="238"/>
      <c r="F255" s="234"/>
      <c r="G255"/>
      <c r="H255"/>
      <c r="I255"/>
      <c r="J255"/>
      <c r="K255"/>
      <c r="L255"/>
      <c r="M255"/>
      <c r="N255"/>
      <c r="O255"/>
      <c r="P255"/>
      <c r="Q255"/>
      <c r="R255"/>
      <c r="S255"/>
      <c r="T255"/>
      <c r="U255"/>
      <c r="V255"/>
      <c r="W255"/>
    </row>
    <row r="256" spans="2:23" outlineLevel="1">
      <c r="B256" s="230"/>
      <c r="C256" s="231"/>
      <c r="D256" s="232"/>
      <c r="E256" s="233"/>
      <c r="F256" s="234"/>
      <c r="G256"/>
      <c r="H256"/>
      <c r="I256"/>
      <c r="J256"/>
      <c r="K256"/>
      <c r="L256"/>
      <c r="M256"/>
      <c r="N256"/>
      <c r="O256"/>
      <c r="P256"/>
      <c r="Q256"/>
      <c r="R256"/>
      <c r="S256"/>
      <c r="T256"/>
      <c r="U256"/>
      <c r="V256"/>
      <c r="W256"/>
    </row>
    <row r="257" spans="2:23" outlineLevel="1">
      <c r="B257" s="235"/>
      <c r="C257" s="236"/>
      <c r="D257" s="237"/>
      <c r="E257" s="238"/>
      <c r="F257" s="234"/>
      <c r="G257"/>
      <c r="H257"/>
      <c r="I257"/>
      <c r="J257"/>
      <c r="K257"/>
      <c r="L257"/>
      <c r="M257"/>
      <c r="N257"/>
      <c r="O257"/>
      <c r="P257"/>
      <c r="Q257"/>
      <c r="R257"/>
      <c r="S257"/>
      <c r="T257"/>
      <c r="U257"/>
      <c r="V257"/>
      <c r="W257"/>
    </row>
    <row r="258" spans="2:23" outlineLevel="1">
      <c r="B258" s="230"/>
      <c r="C258" s="231"/>
      <c r="D258" s="232"/>
      <c r="E258" s="233"/>
      <c r="F258" s="234"/>
      <c r="G258"/>
      <c r="H258"/>
      <c r="I258"/>
      <c r="J258"/>
      <c r="K258"/>
      <c r="L258"/>
      <c r="M258"/>
      <c r="N258"/>
      <c r="O258"/>
      <c r="P258"/>
      <c r="Q258"/>
      <c r="R258"/>
      <c r="S258"/>
      <c r="T258"/>
      <c r="U258"/>
      <c r="V258"/>
      <c r="W258"/>
    </row>
    <row r="259" spans="2:23" outlineLevel="1">
      <c r="B259" s="235"/>
      <c r="C259" s="236"/>
      <c r="D259" s="237"/>
      <c r="E259" s="238"/>
      <c r="F259" s="234"/>
      <c r="G259"/>
      <c r="H259"/>
      <c r="I259"/>
      <c r="J259"/>
      <c r="K259"/>
      <c r="L259"/>
      <c r="M259"/>
      <c r="N259"/>
      <c r="O259"/>
      <c r="P259"/>
      <c r="Q259"/>
      <c r="R259"/>
      <c r="S259"/>
      <c r="T259"/>
      <c r="U259"/>
      <c r="V259"/>
      <c r="W259"/>
    </row>
    <row r="260" spans="2:23" outlineLevel="1">
      <c r="B260" s="230"/>
      <c r="C260" s="231"/>
      <c r="D260" s="232"/>
      <c r="E260" s="233"/>
      <c r="F260" s="234"/>
      <c r="G260"/>
      <c r="H260"/>
      <c r="I260"/>
      <c r="J260"/>
      <c r="K260"/>
      <c r="L260"/>
      <c r="M260"/>
      <c r="N260"/>
      <c r="O260"/>
      <c r="P260"/>
      <c r="Q260"/>
      <c r="R260"/>
      <c r="S260"/>
      <c r="T260"/>
      <c r="U260"/>
      <c r="V260"/>
      <c r="W260"/>
    </row>
    <row r="261" spans="2:23" outlineLevel="1">
      <c r="B261" s="235"/>
      <c r="C261" s="236"/>
      <c r="D261" s="237"/>
      <c r="E261" s="238"/>
      <c r="F261" s="234"/>
      <c r="G261"/>
      <c r="H261"/>
      <c r="I261"/>
      <c r="J261"/>
      <c r="K261"/>
      <c r="L261"/>
      <c r="M261"/>
      <c r="N261"/>
      <c r="O261"/>
      <c r="P261"/>
      <c r="Q261"/>
      <c r="R261"/>
      <c r="S261"/>
      <c r="T261"/>
      <c r="U261"/>
      <c r="V261"/>
      <c r="W261"/>
    </row>
    <row r="262" spans="2:23" outlineLevel="1">
      <c r="B262" s="230"/>
      <c r="C262" s="231"/>
      <c r="D262" s="232"/>
      <c r="E262" s="233"/>
      <c r="F262" s="234"/>
      <c r="G262"/>
      <c r="H262"/>
      <c r="I262"/>
      <c r="J262"/>
      <c r="K262"/>
      <c r="L262"/>
      <c r="M262"/>
      <c r="N262"/>
      <c r="O262"/>
      <c r="P262"/>
      <c r="Q262"/>
      <c r="R262"/>
      <c r="S262"/>
      <c r="T262"/>
      <c r="U262"/>
      <c r="V262"/>
      <c r="W262"/>
    </row>
    <row r="263" spans="2:23" outlineLevel="1">
      <c r="B263" s="235"/>
      <c r="C263" s="236"/>
      <c r="D263" s="237"/>
      <c r="E263" s="238"/>
      <c r="F263" s="234"/>
      <c r="G263"/>
      <c r="H263"/>
      <c r="I263"/>
      <c r="J263"/>
      <c r="K263"/>
      <c r="L263"/>
      <c r="M263"/>
      <c r="N263"/>
      <c r="O263"/>
      <c r="P263"/>
      <c r="Q263"/>
      <c r="R263"/>
      <c r="S263"/>
      <c r="T263"/>
      <c r="U263"/>
      <c r="V263"/>
      <c r="W263"/>
    </row>
    <row r="264" spans="2:23" outlineLevel="1">
      <c r="B264" s="230"/>
      <c r="C264" s="231"/>
      <c r="D264" s="232"/>
      <c r="E264" s="233"/>
      <c r="F264" s="234"/>
      <c r="G264"/>
      <c r="H264"/>
      <c r="I264"/>
      <c r="J264"/>
      <c r="K264"/>
      <c r="L264"/>
      <c r="M264"/>
      <c r="N264"/>
      <c r="O264"/>
      <c r="P264"/>
      <c r="Q264"/>
      <c r="R264"/>
      <c r="S264"/>
      <c r="T264"/>
      <c r="U264"/>
      <c r="V264"/>
      <c r="W264"/>
    </row>
    <row r="265" spans="2:23" outlineLevel="1">
      <c r="B265" s="235"/>
      <c r="C265" s="236"/>
      <c r="D265" s="237"/>
      <c r="E265" s="238"/>
      <c r="F265" s="234"/>
      <c r="G265"/>
      <c r="H265"/>
      <c r="I265"/>
      <c r="J265"/>
      <c r="K265"/>
      <c r="L265"/>
      <c r="M265"/>
      <c r="N265"/>
      <c r="O265"/>
      <c r="P265"/>
      <c r="Q265"/>
      <c r="R265"/>
      <c r="S265"/>
      <c r="T265"/>
      <c r="U265"/>
      <c r="V265"/>
      <c r="W265"/>
    </row>
    <row r="266" spans="2:23" outlineLevel="1">
      <c r="B266" s="230"/>
      <c r="C266" s="231"/>
      <c r="D266" s="232"/>
      <c r="E266" s="233"/>
      <c r="F266" s="234"/>
      <c r="G266"/>
      <c r="H266"/>
      <c r="I266"/>
      <c r="J266"/>
      <c r="K266"/>
      <c r="L266"/>
      <c r="M266"/>
      <c r="N266"/>
      <c r="O266"/>
      <c r="P266"/>
      <c r="Q266"/>
      <c r="R266"/>
      <c r="S266"/>
      <c r="T266"/>
      <c r="U266"/>
      <c r="V266"/>
      <c r="W266"/>
    </row>
    <row r="267" spans="2:23" outlineLevel="1">
      <c r="B267" s="235"/>
      <c r="C267" s="236"/>
      <c r="D267" s="237"/>
      <c r="E267" s="238"/>
      <c r="F267" s="234"/>
      <c r="G267"/>
      <c r="H267"/>
      <c r="I267"/>
      <c r="J267"/>
      <c r="K267"/>
      <c r="L267"/>
      <c r="M267"/>
      <c r="N267"/>
      <c r="O267"/>
      <c r="P267"/>
      <c r="Q267"/>
      <c r="R267"/>
      <c r="S267"/>
      <c r="T267"/>
      <c r="U267"/>
      <c r="V267"/>
      <c r="W267"/>
    </row>
    <row r="268" spans="2:23" outlineLevel="1">
      <c r="B268" s="230"/>
      <c r="C268" s="231"/>
      <c r="D268" s="232"/>
      <c r="E268" s="233"/>
      <c r="F268" s="234"/>
      <c r="G268"/>
      <c r="H268"/>
      <c r="I268"/>
      <c r="J268"/>
      <c r="K268"/>
      <c r="L268"/>
      <c r="M268"/>
      <c r="N268"/>
      <c r="O268"/>
      <c r="P268"/>
      <c r="Q268"/>
      <c r="R268"/>
      <c r="S268"/>
      <c r="T268"/>
      <c r="U268"/>
      <c r="V268"/>
      <c r="W268"/>
    </row>
    <row r="269" spans="2:23" outlineLevel="1">
      <c r="B269" s="235"/>
      <c r="C269" s="236"/>
      <c r="D269" s="237"/>
      <c r="E269" s="238"/>
      <c r="F269" s="234"/>
      <c r="G269"/>
      <c r="H269"/>
      <c r="I269"/>
      <c r="J269"/>
      <c r="K269"/>
      <c r="L269"/>
      <c r="M269"/>
      <c r="N269"/>
      <c r="O269"/>
      <c r="P269"/>
      <c r="Q269"/>
      <c r="R269"/>
      <c r="S269"/>
      <c r="T269"/>
      <c r="U269"/>
      <c r="V269"/>
      <c r="W269"/>
    </row>
    <row r="270" spans="2:23" outlineLevel="1">
      <c r="B270" s="230"/>
      <c r="C270" s="231"/>
      <c r="D270" s="232"/>
      <c r="E270" s="233"/>
      <c r="F270" s="234"/>
      <c r="G270"/>
      <c r="H270"/>
      <c r="I270"/>
      <c r="J270"/>
      <c r="K270"/>
      <c r="L270"/>
      <c r="M270"/>
      <c r="N270"/>
      <c r="O270"/>
      <c r="P270"/>
      <c r="Q270"/>
      <c r="R270"/>
      <c r="S270"/>
      <c r="T270"/>
      <c r="U270"/>
      <c r="V270"/>
      <c r="W270"/>
    </row>
    <row r="271" spans="2:23" outlineLevel="1">
      <c r="B271" s="235"/>
      <c r="C271" s="236"/>
      <c r="D271" s="237"/>
      <c r="E271" s="238"/>
      <c r="F271" s="234"/>
      <c r="G271"/>
      <c r="H271"/>
      <c r="I271"/>
      <c r="J271"/>
      <c r="K271"/>
      <c r="L271"/>
      <c r="M271"/>
      <c r="N271"/>
      <c r="O271"/>
      <c r="P271"/>
      <c r="Q271"/>
      <c r="R271"/>
      <c r="S271"/>
      <c r="T271"/>
      <c r="U271"/>
      <c r="V271"/>
      <c r="W271"/>
    </row>
    <row r="272" spans="2:23" outlineLevel="1">
      <c r="B272" s="230"/>
      <c r="C272" s="231"/>
      <c r="D272" s="232"/>
      <c r="E272" s="233"/>
      <c r="F272" s="234"/>
      <c r="G272"/>
      <c r="H272"/>
      <c r="I272"/>
      <c r="J272"/>
      <c r="K272"/>
      <c r="L272"/>
      <c r="M272"/>
      <c r="N272"/>
      <c r="O272"/>
      <c r="P272"/>
      <c r="Q272"/>
      <c r="R272"/>
      <c r="S272"/>
      <c r="T272"/>
      <c r="U272"/>
      <c r="V272"/>
      <c r="W272"/>
    </row>
    <row r="273" spans="2:23" outlineLevel="1">
      <c r="B273" s="235"/>
      <c r="C273" s="236"/>
      <c r="D273" s="237"/>
      <c r="E273" s="238"/>
      <c r="F273" s="234"/>
      <c r="G273"/>
      <c r="H273"/>
      <c r="I273"/>
      <c r="J273"/>
      <c r="K273"/>
      <c r="L273"/>
      <c r="M273"/>
      <c r="N273"/>
      <c r="O273"/>
      <c r="P273"/>
      <c r="Q273"/>
      <c r="R273"/>
      <c r="S273"/>
      <c r="T273"/>
      <c r="U273"/>
      <c r="V273"/>
      <c r="W273"/>
    </row>
    <row r="274" spans="2:23" outlineLevel="1">
      <c r="B274" s="230"/>
      <c r="C274" s="231"/>
      <c r="D274" s="232"/>
      <c r="E274" s="233"/>
      <c r="F274" s="234"/>
      <c r="G274"/>
      <c r="H274"/>
      <c r="I274"/>
      <c r="J274"/>
      <c r="K274"/>
      <c r="L274"/>
      <c r="M274"/>
      <c r="N274"/>
      <c r="O274"/>
      <c r="P274"/>
      <c r="Q274"/>
      <c r="R274"/>
      <c r="S274"/>
      <c r="T274"/>
      <c r="U274"/>
      <c r="V274"/>
      <c r="W274"/>
    </row>
    <row r="275" spans="2:23" outlineLevel="1">
      <c r="B275" s="235"/>
      <c r="C275" s="236"/>
      <c r="D275" s="237"/>
      <c r="E275" s="238"/>
      <c r="F275" s="234"/>
      <c r="G275"/>
      <c r="H275"/>
      <c r="I275"/>
      <c r="J275"/>
      <c r="K275"/>
      <c r="L275"/>
      <c r="M275"/>
      <c r="N275"/>
      <c r="O275"/>
      <c r="P275"/>
      <c r="Q275"/>
      <c r="R275"/>
      <c r="S275"/>
      <c r="T275"/>
      <c r="U275"/>
      <c r="V275"/>
      <c r="W275"/>
    </row>
    <row r="276" spans="2:23" outlineLevel="1">
      <c r="B276" s="230"/>
      <c r="C276" s="231"/>
      <c r="D276" s="232"/>
      <c r="E276" s="233"/>
      <c r="F276" s="234"/>
      <c r="G276"/>
      <c r="H276"/>
      <c r="I276"/>
      <c r="J276"/>
      <c r="K276"/>
      <c r="L276"/>
      <c r="M276"/>
      <c r="N276"/>
      <c r="O276"/>
      <c r="P276"/>
      <c r="Q276"/>
      <c r="R276"/>
      <c r="S276"/>
      <c r="T276"/>
      <c r="U276"/>
      <c r="V276"/>
      <c r="W276"/>
    </row>
    <row r="277" spans="2:23" outlineLevel="1">
      <c r="B277" s="235"/>
      <c r="C277" s="236"/>
      <c r="D277" s="237"/>
      <c r="E277" s="238"/>
      <c r="F277" s="234"/>
      <c r="G277"/>
      <c r="H277"/>
      <c r="I277"/>
      <c r="J277"/>
      <c r="K277"/>
      <c r="L277"/>
      <c r="M277"/>
      <c r="N277"/>
      <c r="O277"/>
      <c r="P277"/>
      <c r="Q277"/>
      <c r="R277"/>
      <c r="S277"/>
      <c r="T277"/>
      <c r="U277"/>
      <c r="V277"/>
      <c r="W277"/>
    </row>
    <row r="278" spans="2:23" outlineLevel="1">
      <c r="B278" s="230"/>
      <c r="C278" s="231"/>
      <c r="D278" s="232"/>
      <c r="E278" s="233"/>
      <c r="F278" s="234"/>
      <c r="G278"/>
      <c r="H278"/>
      <c r="I278"/>
      <c r="J278"/>
      <c r="K278"/>
      <c r="L278"/>
      <c r="M278"/>
      <c r="N278"/>
      <c r="O278"/>
      <c r="P278"/>
      <c r="Q278"/>
      <c r="R278"/>
      <c r="S278"/>
      <c r="T278"/>
      <c r="U278"/>
      <c r="V278"/>
      <c r="W278"/>
    </row>
    <row r="279" spans="2:23" outlineLevel="1">
      <c r="B279" s="235"/>
      <c r="C279" s="236"/>
      <c r="D279" s="237"/>
      <c r="E279" s="238"/>
      <c r="F279" s="234"/>
      <c r="G279"/>
      <c r="H279"/>
      <c r="I279"/>
      <c r="J279"/>
      <c r="K279"/>
      <c r="L279"/>
      <c r="M279"/>
      <c r="N279"/>
      <c r="O279"/>
      <c r="P279"/>
      <c r="Q279"/>
      <c r="R279"/>
      <c r="S279"/>
      <c r="T279"/>
      <c r="U279"/>
      <c r="V279"/>
      <c r="W279"/>
    </row>
    <row r="280" spans="2:23" outlineLevel="1">
      <c r="B280" s="230"/>
      <c r="C280" s="231"/>
      <c r="D280" s="232"/>
      <c r="E280" s="233"/>
      <c r="F280" s="234"/>
      <c r="G280"/>
      <c r="H280"/>
      <c r="I280"/>
      <c r="J280"/>
      <c r="K280"/>
      <c r="L280"/>
      <c r="M280"/>
      <c r="N280"/>
      <c r="O280"/>
      <c r="P280"/>
      <c r="Q280"/>
      <c r="R280"/>
      <c r="S280"/>
      <c r="T280"/>
      <c r="U280"/>
      <c r="V280"/>
      <c r="W280"/>
    </row>
    <row r="281" spans="2:23" outlineLevel="1">
      <c r="B281" s="235"/>
      <c r="C281" s="236"/>
      <c r="D281" s="237"/>
      <c r="E281" s="238"/>
      <c r="F281" s="234"/>
      <c r="G281"/>
      <c r="H281"/>
      <c r="I281"/>
      <c r="J281"/>
      <c r="K281"/>
      <c r="L281"/>
      <c r="M281"/>
      <c r="N281"/>
      <c r="O281"/>
      <c r="P281"/>
      <c r="Q281"/>
      <c r="R281"/>
      <c r="S281"/>
      <c r="T281"/>
      <c r="U281"/>
      <c r="V281"/>
      <c r="W281"/>
    </row>
    <row r="282" spans="2:23" outlineLevel="1">
      <c r="B282" s="230"/>
      <c r="C282" s="231"/>
      <c r="D282" s="232"/>
      <c r="E282" s="233"/>
      <c r="F282" s="234"/>
      <c r="G282"/>
      <c r="H282"/>
      <c r="I282"/>
      <c r="J282"/>
      <c r="K282"/>
      <c r="L282"/>
      <c r="M282"/>
      <c r="N282"/>
      <c r="O282"/>
      <c r="P282"/>
      <c r="Q282"/>
      <c r="R282"/>
      <c r="S282"/>
      <c r="T282"/>
      <c r="U282"/>
      <c r="V282"/>
      <c r="W282"/>
    </row>
    <row r="283" spans="2:23" outlineLevel="1">
      <c r="B283" s="235"/>
      <c r="C283" s="236"/>
      <c r="D283" s="237"/>
      <c r="E283" s="238"/>
      <c r="F283" s="234"/>
      <c r="G283"/>
      <c r="H283"/>
      <c r="I283"/>
      <c r="J283"/>
      <c r="K283"/>
      <c r="L283"/>
      <c r="M283"/>
      <c r="N283"/>
      <c r="O283"/>
      <c r="P283"/>
      <c r="Q283"/>
      <c r="R283"/>
      <c r="S283"/>
      <c r="T283"/>
      <c r="U283"/>
      <c r="V283"/>
      <c r="W283"/>
    </row>
    <row r="284" spans="2:23" outlineLevel="1">
      <c r="B284" s="230"/>
      <c r="C284" s="231"/>
      <c r="D284" s="232"/>
      <c r="E284" s="233"/>
      <c r="F284" s="234"/>
      <c r="G284"/>
      <c r="H284"/>
      <c r="I284"/>
      <c r="J284"/>
      <c r="K284"/>
      <c r="L284"/>
      <c r="M284"/>
      <c r="N284"/>
      <c r="O284"/>
      <c r="P284"/>
      <c r="Q284"/>
      <c r="R284"/>
      <c r="S284"/>
      <c r="T284"/>
      <c r="U284"/>
      <c r="V284"/>
      <c r="W284"/>
    </row>
    <row r="285" spans="2:23" outlineLevel="1">
      <c r="B285" s="235"/>
      <c r="C285" s="236"/>
      <c r="D285" s="237"/>
      <c r="E285" s="238"/>
      <c r="F285" s="234"/>
      <c r="G285"/>
      <c r="H285"/>
      <c r="I285"/>
      <c r="J285"/>
      <c r="K285"/>
      <c r="L285"/>
      <c r="M285"/>
      <c r="N285"/>
      <c r="O285"/>
      <c r="P285"/>
      <c r="Q285"/>
      <c r="R285"/>
      <c r="S285"/>
      <c r="T285"/>
      <c r="U285"/>
      <c r="V285"/>
      <c r="W285"/>
    </row>
    <row r="286" spans="2:23" outlineLevel="1">
      <c r="B286" s="230"/>
      <c r="C286" s="231"/>
      <c r="D286" s="232"/>
      <c r="E286" s="233"/>
      <c r="F286" s="234"/>
      <c r="G286"/>
      <c r="H286"/>
      <c r="I286"/>
      <c r="J286"/>
      <c r="K286"/>
      <c r="L286"/>
      <c r="M286"/>
      <c r="N286"/>
      <c r="O286"/>
      <c r="P286"/>
      <c r="Q286"/>
      <c r="R286"/>
      <c r="S286"/>
      <c r="T286"/>
      <c r="U286"/>
      <c r="V286"/>
      <c r="W286"/>
    </row>
    <row r="287" spans="2:23" outlineLevel="1">
      <c r="B287" s="235"/>
      <c r="C287" s="236"/>
      <c r="D287" s="237"/>
      <c r="E287" s="238"/>
      <c r="F287" s="234"/>
      <c r="G287"/>
      <c r="H287"/>
      <c r="I287"/>
      <c r="J287"/>
      <c r="K287"/>
      <c r="L287"/>
      <c r="M287"/>
      <c r="N287"/>
      <c r="O287"/>
      <c r="P287"/>
      <c r="Q287"/>
      <c r="R287"/>
      <c r="S287"/>
      <c r="T287"/>
      <c r="U287"/>
      <c r="V287"/>
      <c r="W287"/>
    </row>
    <row r="288" spans="2:23" outlineLevel="1">
      <c r="B288" s="230"/>
      <c r="C288" s="231"/>
      <c r="D288" s="232"/>
      <c r="E288" s="233"/>
      <c r="F288" s="234"/>
      <c r="G288"/>
      <c r="H288"/>
      <c r="I288"/>
      <c r="J288"/>
      <c r="K288"/>
      <c r="L288"/>
      <c r="M288"/>
      <c r="N288"/>
      <c r="O288"/>
      <c r="P288"/>
      <c r="Q288"/>
      <c r="R288"/>
      <c r="S288"/>
      <c r="T288"/>
      <c r="U288"/>
      <c r="V288"/>
      <c r="W288"/>
    </row>
    <row r="289" spans="2:23" outlineLevel="1">
      <c r="B289" s="235"/>
      <c r="C289" s="236"/>
      <c r="D289" s="237"/>
      <c r="E289" s="238"/>
      <c r="F289" s="234"/>
      <c r="G289"/>
      <c r="H289"/>
      <c r="I289"/>
      <c r="J289"/>
      <c r="K289"/>
      <c r="L289"/>
      <c r="M289"/>
      <c r="N289"/>
      <c r="O289"/>
      <c r="P289"/>
      <c r="Q289"/>
      <c r="R289"/>
      <c r="S289"/>
      <c r="T289"/>
      <c r="U289"/>
      <c r="V289"/>
      <c r="W289"/>
    </row>
    <row r="290" spans="2:23" outlineLevel="1">
      <c r="B290" s="230"/>
      <c r="C290" s="231"/>
      <c r="D290" s="232"/>
      <c r="E290" s="233"/>
      <c r="F290" s="234"/>
      <c r="G290"/>
      <c r="H290"/>
      <c r="I290"/>
      <c r="J290"/>
      <c r="K290"/>
      <c r="L290"/>
      <c r="M290"/>
      <c r="N290"/>
      <c r="O290"/>
      <c r="P290"/>
      <c r="Q290"/>
      <c r="R290"/>
      <c r="S290"/>
      <c r="T290"/>
      <c r="U290"/>
      <c r="V290"/>
      <c r="W290"/>
    </row>
    <row r="291" spans="2:23" outlineLevel="1">
      <c r="B291" s="235"/>
      <c r="C291" s="236"/>
      <c r="D291" s="237"/>
      <c r="E291" s="238"/>
      <c r="F291" s="234"/>
      <c r="G291"/>
      <c r="H291"/>
      <c r="I291"/>
      <c r="J291"/>
      <c r="K291"/>
      <c r="L291"/>
      <c r="M291"/>
      <c r="N291"/>
      <c r="O291"/>
      <c r="P291"/>
      <c r="Q291"/>
      <c r="R291"/>
      <c r="S291"/>
      <c r="T291"/>
      <c r="U291"/>
      <c r="V291"/>
      <c r="W291"/>
    </row>
    <row r="292" spans="2:23" outlineLevel="1">
      <c r="B292" s="230"/>
      <c r="C292" s="231"/>
      <c r="D292" s="232"/>
      <c r="E292" s="233"/>
      <c r="F292" s="234"/>
      <c r="G292"/>
      <c r="H292"/>
      <c r="I292"/>
      <c r="J292"/>
      <c r="K292"/>
      <c r="L292"/>
      <c r="M292"/>
      <c r="N292"/>
      <c r="O292"/>
      <c r="P292"/>
      <c r="Q292"/>
      <c r="R292"/>
      <c r="S292"/>
      <c r="T292"/>
      <c r="U292"/>
      <c r="V292"/>
      <c r="W292"/>
    </row>
    <row r="293" spans="2:23" outlineLevel="1">
      <c r="B293" s="235"/>
      <c r="C293" s="236"/>
      <c r="D293" s="237"/>
      <c r="E293" s="238"/>
      <c r="F293" s="234"/>
      <c r="G293"/>
      <c r="H293"/>
      <c r="I293"/>
      <c r="J293"/>
      <c r="K293"/>
      <c r="L293"/>
      <c r="M293"/>
      <c r="N293"/>
      <c r="O293"/>
      <c r="P293"/>
      <c r="Q293"/>
      <c r="R293"/>
      <c r="S293"/>
      <c r="T293"/>
      <c r="U293"/>
      <c r="V293"/>
      <c r="W293"/>
    </row>
    <row r="294" spans="2:23" outlineLevel="1">
      <c r="B294" s="230"/>
      <c r="C294" s="231"/>
      <c r="D294" s="232"/>
      <c r="E294" s="233"/>
      <c r="F294" s="234"/>
      <c r="G294"/>
      <c r="H294"/>
      <c r="I294"/>
      <c r="J294"/>
      <c r="K294"/>
      <c r="L294"/>
      <c r="M294"/>
      <c r="N294"/>
      <c r="O294"/>
      <c r="P294"/>
      <c r="Q294"/>
      <c r="R294"/>
      <c r="S294"/>
      <c r="T294"/>
      <c r="U294"/>
      <c r="V294"/>
      <c r="W294"/>
    </row>
    <row r="295" spans="2:23" outlineLevel="1">
      <c r="B295" s="235"/>
      <c r="C295" s="236"/>
      <c r="D295" s="237"/>
      <c r="E295" s="238"/>
      <c r="F295" s="234"/>
      <c r="G295"/>
      <c r="H295"/>
      <c r="I295"/>
      <c r="J295"/>
      <c r="K295"/>
      <c r="L295"/>
      <c r="M295"/>
      <c r="N295"/>
      <c r="O295"/>
      <c r="P295"/>
      <c r="Q295"/>
      <c r="R295"/>
      <c r="S295"/>
      <c r="T295"/>
      <c r="U295"/>
      <c r="V295"/>
      <c r="W295"/>
    </row>
    <row r="296" spans="2:23" outlineLevel="1">
      <c r="B296" s="230"/>
      <c r="C296" s="231"/>
      <c r="D296" s="232"/>
      <c r="E296" s="233"/>
      <c r="F296" s="234"/>
      <c r="G296"/>
      <c r="H296"/>
      <c r="I296"/>
      <c r="J296"/>
      <c r="K296"/>
      <c r="L296"/>
      <c r="M296"/>
      <c r="N296"/>
      <c r="O296"/>
      <c r="P296"/>
      <c r="Q296"/>
      <c r="R296"/>
      <c r="S296"/>
      <c r="T296"/>
      <c r="U296"/>
      <c r="V296"/>
      <c r="W296"/>
    </row>
    <row r="297" spans="2:23" outlineLevel="1">
      <c r="B297" s="235"/>
      <c r="C297" s="236"/>
      <c r="D297" s="237"/>
      <c r="E297" s="238"/>
      <c r="F297" s="234"/>
      <c r="G297"/>
      <c r="H297"/>
      <c r="I297"/>
      <c r="J297"/>
      <c r="K297"/>
      <c r="L297"/>
      <c r="M297"/>
      <c r="N297"/>
      <c r="O297"/>
      <c r="P297"/>
      <c r="Q297"/>
      <c r="R297"/>
      <c r="S297"/>
      <c r="T297"/>
      <c r="U297"/>
      <c r="V297"/>
      <c r="W297"/>
    </row>
    <row r="298" spans="2:23" outlineLevel="1">
      <c r="B298" s="230"/>
      <c r="C298" s="231"/>
      <c r="D298" s="232"/>
      <c r="E298" s="233"/>
      <c r="F298" s="234"/>
      <c r="G298"/>
      <c r="H298"/>
      <c r="I298"/>
      <c r="J298"/>
      <c r="K298"/>
      <c r="L298"/>
      <c r="M298"/>
      <c r="N298"/>
      <c r="O298"/>
      <c r="P298"/>
      <c r="Q298"/>
      <c r="R298"/>
      <c r="S298"/>
      <c r="T298"/>
      <c r="U298"/>
      <c r="V298"/>
      <c r="W298"/>
    </row>
    <row r="299" spans="2:23" outlineLevel="1">
      <c r="B299" s="235"/>
      <c r="C299" s="236"/>
      <c r="D299" s="237"/>
      <c r="E299" s="238"/>
      <c r="F299" s="234"/>
      <c r="G299"/>
      <c r="H299"/>
      <c r="I299"/>
      <c r="J299"/>
      <c r="K299"/>
      <c r="L299"/>
      <c r="M299"/>
      <c r="N299"/>
      <c r="O299"/>
      <c r="P299"/>
      <c r="Q299"/>
      <c r="R299"/>
      <c r="S299"/>
      <c r="T299"/>
      <c r="U299"/>
      <c r="V299"/>
      <c r="W299"/>
    </row>
    <row r="300" spans="2:23" outlineLevel="1">
      <c r="B300" s="230"/>
      <c r="C300" s="231"/>
      <c r="D300" s="232"/>
      <c r="E300" s="233"/>
      <c r="F300" s="234"/>
      <c r="G300"/>
      <c r="H300"/>
      <c r="I300"/>
      <c r="J300"/>
      <c r="K300"/>
      <c r="L300"/>
      <c r="M300"/>
      <c r="N300"/>
      <c r="O300"/>
      <c r="P300"/>
      <c r="Q300"/>
      <c r="R300"/>
      <c r="S300"/>
      <c r="T300"/>
      <c r="U300"/>
      <c r="V300"/>
      <c r="W300"/>
    </row>
    <row r="301" spans="2:23" outlineLevel="1">
      <c r="B301" s="235"/>
      <c r="C301" s="236"/>
      <c r="D301" s="237"/>
      <c r="E301" s="238"/>
      <c r="F301" s="234"/>
      <c r="G301"/>
      <c r="H301"/>
      <c r="I301"/>
      <c r="J301"/>
      <c r="K301"/>
      <c r="L301"/>
      <c r="M301"/>
      <c r="N301"/>
      <c r="O301"/>
      <c r="P301"/>
      <c r="Q301"/>
      <c r="R301"/>
      <c r="S301"/>
      <c r="T301"/>
      <c r="U301"/>
      <c r="V301"/>
      <c r="W301"/>
    </row>
    <row r="302" spans="2:23" outlineLevel="1">
      <c r="B302" s="230"/>
      <c r="C302" s="231"/>
      <c r="D302" s="232"/>
      <c r="E302" s="233"/>
      <c r="F302" s="234"/>
      <c r="G302"/>
      <c r="H302"/>
      <c r="I302"/>
      <c r="J302"/>
      <c r="K302"/>
      <c r="L302"/>
      <c r="M302"/>
      <c r="N302"/>
      <c r="O302"/>
      <c r="P302"/>
      <c r="Q302"/>
      <c r="R302"/>
      <c r="S302"/>
      <c r="T302"/>
      <c r="U302"/>
      <c r="V302"/>
      <c r="W302"/>
    </row>
    <row r="303" spans="2:23" outlineLevel="1">
      <c r="B303" s="235"/>
      <c r="C303" s="236"/>
      <c r="D303" s="237"/>
      <c r="E303" s="238"/>
      <c r="F303" s="234"/>
      <c r="G303"/>
      <c r="H303"/>
      <c r="I303"/>
      <c r="J303"/>
      <c r="K303"/>
      <c r="L303"/>
      <c r="M303"/>
      <c r="N303"/>
      <c r="O303"/>
      <c r="P303"/>
      <c r="Q303"/>
      <c r="R303"/>
      <c r="S303"/>
      <c r="T303"/>
      <c r="U303"/>
      <c r="V303"/>
      <c r="W303"/>
    </row>
    <row r="304" spans="2:23" outlineLevel="1">
      <c r="B304" s="230"/>
      <c r="C304" s="231"/>
      <c r="D304" s="232"/>
      <c r="E304" s="233"/>
      <c r="F304" s="234"/>
      <c r="G304"/>
      <c r="H304"/>
      <c r="I304"/>
      <c r="J304"/>
      <c r="K304"/>
      <c r="L304"/>
      <c r="M304"/>
      <c r="N304"/>
      <c r="O304"/>
      <c r="P304"/>
      <c r="Q304"/>
      <c r="R304"/>
      <c r="S304"/>
      <c r="T304"/>
      <c r="U304"/>
      <c r="V304"/>
      <c r="W304"/>
    </row>
    <row r="305" spans="2:23" outlineLevel="1">
      <c r="B305" s="235"/>
      <c r="C305" s="236"/>
      <c r="D305" s="237"/>
      <c r="E305" s="238"/>
      <c r="F305" s="234"/>
      <c r="G305"/>
      <c r="H305"/>
      <c r="I305"/>
      <c r="J305"/>
      <c r="K305"/>
      <c r="L305"/>
      <c r="M305"/>
      <c r="N305"/>
      <c r="O305"/>
      <c r="P305"/>
      <c r="Q305"/>
      <c r="R305"/>
      <c r="S305"/>
      <c r="T305"/>
      <c r="U305"/>
      <c r="V305"/>
      <c r="W305"/>
    </row>
    <row r="306" spans="2:23" outlineLevel="1">
      <c r="B306" s="230"/>
      <c r="C306" s="231"/>
      <c r="D306" s="232"/>
      <c r="E306" s="233"/>
      <c r="F306" s="234"/>
      <c r="G306"/>
      <c r="H306"/>
      <c r="I306"/>
      <c r="J306"/>
      <c r="K306"/>
      <c r="L306"/>
      <c r="M306"/>
      <c r="N306"/>
      <c r="O306"/>
      <c r="P306"/>
      <c r="Q306"/>
      <c r="R306"/>
      <c r="S306"/>
      <c r="T306"/>
      <c r="U306"/>
      <c r="V306"/>
      <c r="W306"/>
    </row>
    <row r="307" spans="2:23" outlineLevel="1">
      <c r="B307" s="235"/>
      <c r="C307" s="236"/>
      <c r="D307" s="237"/>
      <c r="E307" s="238"/>
      <c r="F307" s="234"/>
      <c r="G307"/>
      <c r="H307"/>
      <c r="I307"/>
      <c r="J307"/>
      <c r="K307"/>
      <c r="L307"/>
      <c r="M307"/>
      <c r="N307"/>
      <c r="O307"/>
      <c r="P307"/>
      <c r="Q307"/>
      <c r="R307"/>
      <c r="S307"/>
      <c r="T307"/>
      <c r="U307"/>
      <c r="V307"/>
      <c r="W307"/>
    </row>
    <row r="308" spans="2:23" outlineLevel="1">
      <c r="B308" s="230"/>
      <c r="C308" s="231"/>
      <c r="D308" s="232"/>
      <c r="E308" s="233"/>
      <c r="F308" s="234"/>
      <c r="G308"/>
      <c r="H308"/>
      <c r="I308"/>
      <c r="J308"/>
      <c r="K308"/>
      <c r="L308"/>
      <c r="M308"/>
      <c r="N308"/>
      <c r="O308"/>
      <c r="P308"/>
      <c r="Q308"/>
      <c r="R308"/>
      <c r="S308"/>
      <c r="T308"/>
      <c r="U308"/>
      <c r="V308"/>
      <c r="W308"/>
    </row>
    <row r="309" spans="2:23" outlineLevel="1">
      <c r="B309" s="235"/>
      <c r="C309" s="236"/>
      <c r="D309" s="237"/>
      <c r="E309" s="238"/>
      <c r="F309" s="234"/>
      <c r="G309"/>
      <c r="H309"/>
      <c r="I309"/>
      <c r="J309"/>
      <c r="K309"/>
      <c r="L309"/>
      <c r="M309"/>
      <c r="N309"/>
      <c r="O309"/>
      <c r="P309"/>
      <c r="Q309"/>
      <c r="R309"/>
      <c r="S309"/>
      <c r="T309"/>
      <c r="U309"/>
      <c r="V309"/>
      <c r="W309"/>
    </row>
    <row r="310" spans="2:23" outlineLevel="1">
      <c r="B310" s="230"/>
      <c r="C310" s="231"/>
      <c r="D310" s="232"/>
      <c r="E310" s="233"/>
      <c r="F310" s="234"/>
      <c r="G310"/>
      <c r="H310"/>
      <c r="I310"/>
      <c r="J310"/>
      <c r="K310"/>
      <c r="L310"/>
      <c r="M310"/>
      <c r="N310"/>
      <c r="O310"/>
      <c r="P310"/>
      <c r="Q310"/>
      <c r="R310"/>
      <c r="S310"/>
      <c r="T310"/>
      <c r="U310"/>
      <c r="V310"/>
      <c r="W310"/>
    </row>
    <row r="311" spans="2:23" outlineLevel="1">
      <c r="B311" s="235"/>
      <c r="C311" s="236"/>
      <c r="D311" s="237"/>
      <c r="E311" s="238"/>
      <c r="F311" s="234"/>
      <c r="G311"/>
      <c r="H311"/>
      <c r="I311"/>
      <c r="J311"/>
      <c r="K311"/>
      <c r="L311"/>
      <c r="M311"/>
      <c r="N311"/>
      <c r="O311"/>
      <c r="P311"/>
      <c r="Q311"/>
      <c r="R311"/>
      <c r="S311"/>
      <c r="T311"/>
      <c r="U311"/>
      <c r="V311"/>
      <c r="W311"/>
    </row>
    <row r="312" spans="2:23" outlineLevel="1">
      <c r="B312" s="230"/>
      <c r="C312" s="231"/>
      <c r="D312" s="232"/>
      <c r="E312" s="233"/>
      <c r="F312" s="234"/>
      <c r="G312"/>
      <c r="H312"/>
      <c r="I312"/>
      <c r="J312"/>
      <c r="K312"/>
      <c r="L312"/>
      <c r="M312"/>
      <c r="N312"/>
      <c r="O312"/>
      <c r="P312"/>
      <c r="Q312"/>
      <c r="R312"/>
      <c r="S312"/>
      <c r="T312"/>
      <c r="U312"/>
      <c r="V312"/>
      <c r="W312"/>
    </row>
    <row r="313" spans="2:23" outlineLevel="1">
      <c r="B313" s="235"/>
      <c r="C313" s="236"/>
      <c r="D313" s="237"/>
      <c r="E313" s="238"/>
      <c r="F313" s="234"/>
      <c r="G313"/>
      <c r="H313"/>
      <c r="I313"/>
      <c r="J313"/>
      <c r="K313"/>
      <c r="L313"/>
      <c r="M313"/>
      <c r="N313"/>
      <c r="O313"/>
      <c r="P313"/>
      <c r="Q313"/>
      <c r="R313"/>
      <c r="S313"/>
      <c r="T313"/>
      <c r="U313"/>
      <c r="V313"/>
      <c r="W313"/>
    </row>
    <row r="314" spans="2:23" outlineLevel="1">
      <c r="B314" s="230"/>
      <c r="C314" s="231"/>
      <c r="D314" s="232"/>
      <c r="E314" s="233"/>
      <c r="F314" s="234"/>
      <c r="G314"/>
      <c r="H314"/>
      <c r="I314"/>
      <c r="J314"/>
      <c r="K314"/>
      <c r="L314"/>
      <c r="M314"/>
      <c r="N314"/>
      <c r="O314"/>
      <c r="P314"/>
      <c r="Q314"/>
      <c r="R314"/>
      <c r="S314"/>
      <c r="T314"/>
      <c r="U314"/>
      <c r="V314"/>
      <c r="W314"/>
    </row>
    <row r="315" spans="2:23" outlineLevel="1">
      <c r="B315" s="235"/>
      <c r="C315" s="236"/>
      <c r="D315" s="237"/>
      <c r="E315" s="238"/>
      <c r="F315" s="234"/>
      <c r="G315"/>
      <c r="H315"/>
      <c r="I315"/>
      <c r="J315"/>
      <c r="K315"/>
      <c r="L315"/>
      <c r="M315"/>
      <c r="N315"/>
      <c r="O315"/>
      <c r="P315"/>
      <c r="Q315"/>
      <c r="R315"/>
      <c r="S315"/>
      <c r="T315"/>
      <c r="U315"/>
      <c r="V315"/>
      <c r="W315"/>
    </row>
    <row r="316" spans="2:23" outlineLevel="1">
      <c r="B316" s="230"/>
      <c r="C316" s="231"/>
      <c r="D316" s="232"/>
      <c r="E316" s="233"/>
      <c r="F316" s="234"/>
      <c r="G316"/>
      <c r="H316"/>
      <c r="I316"/>
      <c r="J316"/>
      <c r="K316"/>
      <c r="L316"/>
      <c r="M316"/>
      <c r="N316"/>
      <c r="O316"/>
      <c r="P316"/>
      <c r="Q316"/>
      <c r="R316"/>
      <c r="S316"/>
      <c r="T316"/>
      <c r="U316"/>
      <c r="V316"/>
      <c r="W316"/>
    </row>
    <row r="317" spans="2:23" outlineLevel="1">
      <c r="B317" s="235"/>
      <c r="C317" s="236"/>
      <c r="D317" s="237"/>
      <c r="E317" s="238"/>
      <c r="F317" s="234"/>
      <c r="G317"/>
      <c r="H317"/>
      <c r="I317"/>
      <c r="J317"/>
      <c r="K317"/>
      <c r="L317"/>
      <c r="M317"/>
      <c r="N317"/>
      <c r="O317"/>
      <c r="P317"/>
      <c r="Q317"/>
      <c r="R317"/>
      <c r="S317"/>
      <c r="T317"/>
      <c r="U317"/>
      <c r="V317"/>
      <c r="W317"/>
    </row>
    <row r="318" spans="2:23" outlineLevel="1">
      <c r="B318" s="230"/>
      <c r="C318" s="231"/>
      <c r="D318" s="232"/>
      <c r="E318" s="233"/>
      <c r="F318" s="234"/>
      <c r="G318"/>
      <c r="H318"/>
      <c r="I318"/>
      <c r="J318"/>
      <c r="K318"/>
      <c r="L318"/>
      <c r="M318"/>
      <c r="N318"/>
      <c r="O318"/>
      <c r="P318"/>
      <c r="Q318"/>
      <c r="R318"/>
      <c r="S318"/>
      <c r="T318"/>
      <c r="U318"/>
      <c r="V318"/>
      <c r="W318"/>
    </row>
    <row r="319" spans="2:23" outlineLevel="1">
      <c r="B319" s="235"/>
      <c r="C319" s="236"/>
      <c r="D319" s="237"/>
      <c r="E319" s="238"/>
      <c r="F319" s="234"/>
      <c r="G319"/>
      <c r="H319"/>
      <c r="I319"/>
      <c r="J319"/>
      <c r="K319"/>
      <c r="L319"/>
      <c r="M319"/>
      <c r="N319"/>
      <c r="O319"/>
      <c r="P319"/>
      <c r="Q319"/>
      <c r="R319"/>
      <c r="S319"/>
      <c r="T319"/>
      <c r="U319"/>
      <c r="V319"/>
      <c r="W319"/>
    </row>
    <row r="320" spans="2:23" outlineLevel="1">
      <c r="B320" s="230"/>
      <c r="C320" s="231"/>
      <c r="D320" s="232"/>
      <c r="E320" s="233"/>
      <c r="F320" s="234"/>
      <c r="G320"/>
      <c r="H320"/>
      <c r="I320"/>
      <c r="J320"/>
      <c r="K320"/>
      <c r="L320"/>
      <c r="M320"/>
      <c r="N320"/>
      <c r="O320"/>
      <c r="P320"/>
      <c r="Q320"/>
      <c r="R320"/>
      <c r="S320"/>
      <c r="T320"/>
      <c r="U320"/>
      <c r="V320"/>
      <c r="W320"/>
    </row>
    <row r="321" spans="2:23" outlineLevel="1">
      <c r="B321" s="235"/>
      <c r="C321" s="236"/>
      <c r="D321" s="237"/>
      <c r="E321" s="238"/>
      <c r="F321" s="234"/>
      <c r="G321"/>
      <c r="H321"/>
      <c r="I321"/>
      <c r="J321"/>
      <c r="K321"/>
      <c r="L321"/>
      <c r="M321"/>
      <c r="N321"/>
      <c r="O321"/>
      <c r="P321"/>
      <c r="Q321"/>
      <c r="R321"/>
      <c r="S321"/>
      <c r="T321"/>
      <c r="U321"/>
      <c r="V321"/>
      <c r="W321"/>
    </row>
    <row r="322" spans="2:23" outlineLevel="1">
      <c r="B322" s="230"/>
      <c r="C322" s="231"/>
      <c r="D322" s="232"/>
      <c r="E322" s="233"/>
      <c r="F322" s="234"/>
      <c r="G322"/>
      <c r="H322"/>
      <c r="I322"/>
      <c r="J322"/>
      <c r="K322"/>
      <c r="L322"/>
      <c r="M322"/>
      <c r="N322"/>
      <c r="O322"/>
      <c r="P322"/>
      <c r="Q322"/>
      <c r="R322"/>
      <c r="S322"/>
      <c r="T322"/>
      <c r="U322"/>
      <c r="V322"/>
      <c r="W322"/>
    </row>
    <row r="323" spans="2:23" outlineLevel="1">
      <c r="B323" s="235"/>
      <c r="C323" s="236"/>
      <c r="D323" s="237"/>
      <c r="E323" s="238"/>
      <c r="F323" s="234"/>
      <c r="G323"/>
      <c r="H323"/>
      <c r="I323"/>
      <c r="J323"/>
      <c r="K323"/>
      <c r="L323"/>
      <c r="M323"/>
      <c r="N323"/>
      <c r="O323"/>
      <c r="P323"/>
      <c r="Q323"/>
      <c r="R323"/>
      <c r="S323"/>
      <c r="T323"/>
      <c r="U323"/>
      <c r="V323"/>
      <c r="W323"/>
    </row>
    <row r="324" spans="2:23" outlineLevel="1">
      <c r="B324" s="230"/>
      <c r="C324" s="231"/>
      <c r="D324" s="232"/>
      <c r="E324" s="233"/>
      <c r="F324" s="234"/>
      <c r="G324"/>
      <c r="H324"/>
      <c r="I324"/>
      <c r="J324"/>
      <c r="K324"/>
      <c r="L324"/>
      <c r="M324"/>
      <c r="N324"/>
      <c r="O324"/>
      <c r="P324"/>
      <c r="Q324"/>
      <c r="R324"/>
      <c r="S324"/>
      <c r="T324"/>
      <c r="U324"/>
      <c r="V324"/>
      <c r="W324"/>
    </row>
    <row r="325" spans="2:23" outlineLevel="1">
      <c r="B325" s="235"/>
      <c r="C325" s="236"/>
      <c r="D325" s="237"/>
      <c r="E325" s="238"/>
      <c r="F325" s="234"/>
      <c r="G325"/>
      <c r="H325"/>
      <c r="I325"/>
      <c r="J325"/>
      <c r="K325"/>
      <c r="L325"/>
      <c r="M325"/>
      <c r="N325"/>
      <c r="O325"/>
      <c r="P325"/>
      <c r="Q325"/>
      <c r="R325"/>
      <c r="S325"/>
      <c r="T325"/>
      <c r="U325"/>
      <c r="V325"/>
      <c r="W325"/>
    </row>
    <row r="326" spans="2:23" outlineLevel="1">
      <c r="B326" s="230"/>
      <c r="C326" s="231"/>
      <c r="D326" s="232"/>
      <c r="E326" s="233"/>
      <c r="F326" s="234"/>
      <c r="G326"/>
      <c r="H326"/>
      <c r="I326"/>
      <c r="J326"/>
      <c r="K326"/>
      <c r="L326"/>
      <c r="M326"/>
      <c r="N326"/>
      <c r="O326"/>
      <c r="P326"/>
      <c r="Q326"/>
      <c r="R326"/>
      <c r="S326"/>
      <c r="T326"/>
      <c r="U326"/>
      <c r="V326"/>
      <c r="W326"/>
    </row>
    <row r="327" spans="2:23" outlineLevel="1">
      <c r="B327" s="235"/>
      <c r="C327" s="236"/>
      <c r="D327" s="237"/>
      <c r="E327" s="238"/>
      <c r="F327" s="234"/>
      <c r="G327"/>
      <c r="H327"/>
      <c r="I327"/>
      <c r="J327"/>
      <c r="K327"/>
      <c r="L327"/>
      <c r="M327"/>
      <c r="N327"/>
      <c r="O327"/>
      <c r="P327"/>
      <c r="Q327"/>
      <c r="R327"/>
      <c r="S327"/>
      <c r="T327"/>
      <c r="U327"/>
      <c r="V327"/>
      <c r="W327"/>
    </row>
    <row r="328" spans="2:23" outlineLevel="1">
      <c r="B328" s="230"/>
      <c r="C328" s="231"/>
      <c r="D328" s="232"/>
      <c r="E328" s="233"/>
      <c r="F328" s="234"/>
      <c r="G328"/>
      <c r="H328"/>
      <c r="I328"/>
      <c r="J328"/>
      <c r="K328"/>
      <c r="L328"/>
      <c r="M328"/>
      <c r="N328"/>
      <c r="O328"/>
      <c r="P328"/>
      <c r="Q328"/>
      <c r="R328"/>
      <c r="S328"/>
      <c r="T328"/>
      <c r="U328"/>
      <c r="V328"/>
      <c r="W328"/>
    </row>
    <row r="329" spans="2:23" outlineLevel="1">
      <c r="B329" s="235"/>
      <c r="C329" s="236"/>
      <c r="D329" s="237"/>
      <c r="E329" s="238"/>
      <c r="F329" s="234"/>
      <c r="G329"/>
      <c r="H329"/>
      <c r="I329"/>
      <c r="J329"/>
      <c r="K329"/>
      <c r="L329"/>
      <c r="M329"/>
      <c r="N329"/>
      <c r="O329"/>
      <c r="P329"/>
      <c r="Q329"/>
      <c r="R329"/>
      <c r="S329"/>
      <c r="T329"/>
      <c r="U329"/>
      <c r="V329"/>
      <c r="W329"/>
    </row>
    <row r="330" spans="2:23" outlineLevel="1">
      <c r="B330" s="230"/>
      <c r="C330" s="231"/>
      <c r="D330" s="232"/>
      <c r="E330" s="233"/>
      <c r="F330" s="234"/>
      <c r="G330"/>
      <c r="H330"/>
      <c r="I330"/>
      <c r="J330"/>
      <c r="K330"/>
      <c r="L330"/>
      <c r="M330"/>
      <c r="N330"/>
      <c r="O330"/>
      <c r="P330"/>
      <c r="Q330"/>
      <c r="R330"/>
      <c r="S330"/>
      <c r="T330"/>
      <c r="U330"/>
      <c r="V330"/>
      <c r="W330"/>
    </row>
    <row r="331" spans="2:23" outlineLevel="1">
      <c r="B331" s="235"/>
      <c r="C331" s="236"/>
      <c r="D331" s="237"/>
      <c r="E331" s="238"/>
      <c r="F331" s="234"/>
      <c r="G331"/>
      <c r="H331"/>
      <c r="I331"/>
      <c r="J331"/>
      <c r="K331"/>
      <c r="L331"/>
      <c r="M331"/>
      <c r="N331"/>
      <c r="O331"/>
      <c r="P331"/>
      <c r="Q331"/>
      <c r="R331"/>
      <c r="S331"/>
      <c r="T331"/>
      <c r="U331"/>
      <c r="V331"/>
      <c r="W331"/>
    </row>
    <row r="332" spans="2:23" outlineLevel="1">
      <c r="B332" s="230"/>
      <c r="C332" s="231"/>
      <c r="D332" s="232"/>
      <c r="E332" s="233"/>
      <c r="F332" s="234"/>
      <c r="G332"/>
      <c r="H332"/>
      <c r="I332"/>
      <c r="J332"/>
      <c r="K332"/>
      <c r="L332"/>
      <c r="M332"/>
      <c r="N332"/>
      <c r="O332"/>
      <c r="P332"/>
      <c r="Q332"/>
      <c r="R332"/>
      <c r="S332"/>
      <c r="T332"/>
      <c r="U332"/>
      <c r="V332"/>
      <c r="W332"/>
    </row>
    <row r="333" spans="2:23" outlineLevel="1">
      <c r="B333" s="235"/>
      <c r="C333" s="236"/>
      <c r="D333" s="237"/>
      <c r="E333" s="238"/>
      <c r="F333" s="234"/>
      <c r="G333"/>
      <c r="H333"/>
      <c r="I333"/>
      <c r="J333"/>
      <c r="K333"/>
      <c r="L333"/>
      <c r="M333"/>
      <c r="N333"/>
      <c r="O333"/>
      <c r="P333"/>
      <c r="Q333"/>
      <c r="R333"/>
      <c r="S333"/>
      <c r="T333"/>
      <c r="U333"/>
      <c r="V333"/>
      <c r="W333"/>
    </row>
    <row r="334" spans="2:23" outlineLevel="1">
      <c r="B334" s="230"/>
      <c r="C334" s="231"/>
      <c r="D334" s="232"/>
      <c r="E334" s="233"/>
      <c r="F334" s="234"/>
      <c r="G334"/>
      <c r="H334"/>
      <c r="I334"/>
      <c r="J334"/>
      <c r="K334"/>
      <c r="L334"/>
      <c r="M334"/>
      <c r="N334"/>
      <c r="O334"/>
      <c r="P334"/>
      <c r="Q334"/>
      <c r="R334"/>
      <c r="S334"/>
      <c r="T334"/>
      <c r="U334"/>
      <c r="V334"/>
      <c r="W334"/>
    </row>
    <row r="335" spans="2:23" outlineLevel="1">
      <c r="B335" s="235"/>
      <c r="C335" s="236"/>
      <c r="D335" s="237"/>
      <c r="E335" s="238"/>
      <c r="F335" s="234"/>
      <c r="G335"/>
      <c r="H335"/>
      <c r="I335"/>
      <c r="J335"/>
      <c r="K335"/>
      <c r="L335"/>
      <c r="M335"/>
      <c r="N335"/>
      <c r="O335"/>
      <c r="P335"/>
      <c r="Q335"/>
      <c r="R335"/>
      <c r="S335"/>
      <c r="T335"/>
      <c r="U335"/>
      <c r="V335"/>
      <c r="W335"/>
    </row>
    <row r="336" spans="2:23" outlineLevel="1">
      <c r="B336" s="230"/>
      <c r="C336" s="231"/>
      <c r="D336" s="232"/>
      <c r="E336" s="233"/>
      <c r="F336" s="234"/>
      <c r="G336"/>
      <c r="H336"/>
      <c r="I336"/>
      <c r="J336"/>
      <c r="K336"/>
      <c r="L336"/>
      <c r="M336"/>
      <c r="N336"/>
      <c r="O336"/>
      <c r="P336"/>
      <c r="Q336"/>
      <c r="R336"/>
      <c r="S336"/>
      <c r="T336"/>
      <c r="U336"/>
      <c r="V336"/>
      <c r="W336"/>
    </row>
    <row r="337" spans="2:23" outlineLevel="1">
      <c r="B337" s="235"/>
      <c r="C337" s="236"/>
      <c r="D337" s="237"/>
      <c r="E337" s="238"/>
      <c r="F337" s="234"/>
      <c r="G337"/>
      <c r="H337"/>
      <c r="I337"/>
      <c r="J337"/>
      <c r="K337"/>
      <c r="L337"/>
      <c r="M337"/>
      <c r="N337"/>
      <c r="O337"/>
      <c r="P337"/>
      <c r="Q337"/>
      <c r="R337"/>
      <c r="S337"/>
      <c r="T337"/>
      <c r="U337"/>
      <c r="V337"/>
      <c r="W337"/>
    </row>
    <row r="338" spans="2:23" outlineLevel="1">
      <c r="B338" s="230"/>
      <c r="C338" s="231"/>
      <c r="D338" s="232"/>
      <c r="E338" s="233"/>
      <c r="F338" s="234"/>
      <c r="G338"/>
      <c r="H338"/>
      <c r="I338"/>
      <c r="J338"/>
      <c r="K338"/>
      <c r="L338"/>
      <c r="M338"/>
      <c r="N338"/>
      <c r="O338"/>
      <c r="P338"/>
      <c r="Q338"/>
      <c r="R338"/>
      <c r="S338"/>
      <c r="T338"/>
      <c r="U338"/>
      <c r="V338"/>
      <c r="W338"/>
    </row>
    <row r="339" spans="2:23" outlineLevel="1">
      <c r="B339" s="235"/>
      <c r="C339" s="236"/>
      <c r="D339" s="237"/>
      <c r="E339" s="238"/>
      <c r="F339" s="234"/>
      <c r="G339"/>
      <c r="H339"/>
      <c r="I339"/>
      <c r="J339"/>
      <c r="K339"/>
      <c r="L339"/>
      <c r="M339"/>
      <c r="N339"/>
      <c r="O339"/>
      <c r="P339"/>
      <c r="Q339"/>
      <c r="R339"/>
      <c r="S339"/>
      <c r="T339"/>
      <c r="U339"/>
      <c r="V339"/>
      <c r="W339"/>
    </row>
    <row r="340" spans="2:23" outlineLevel="1">
      <c r="B340" s="230"/>
      <c r="C340" s="231"/>
      <c r="D340" s="232"/>
      <c r="E340" s="233"/>
      <c r="F340" s="234"/>
      <c r="G340"/>
      <c r="H340"/>
      <c r="I340"/>
      <c r="J340"/>
      <c r="K340"/>
      <c r="L340"/>
      <c r="M340"/>
      <c r="N340"/>
      <c r="O340"/>
      <c r="P340"/>
      <c r="Q340"/>
      <c r="R340"/>
      <c r="S340"/>
      <c r="T340"/>
      <c r="U340"/>
      <c r="V340"/>
      <c r="W340"/>
    </row>
    <row r="341" spans="2:23" outlineLevel="1">
      <c r="B341" s="235"/>
      <c r="C341" s="236"/>
      <c r="D341" s="237"/>
      <c r="E341" s="238"/>
      <c r="F341" s="234"/>
      <c r="G341"/>
      <c r="H341"/>
      <c r="I341"/>
      <c r="J341"/>
      <c r="K341"/>
      <c r="L341"/>
      <c r="M341"/>
      <c r="N341"/>
      <c r="O341"/>
      <c r="P341"/>
      <c r="Q341"/>
      <c r="R341"/>
      <c r="S341"/>
      <c r="T341"/>
      <c r="U341"/>
      <c r="V341"/>
      <c r="W341"/>
    </row>
    <row r="342" spans="2:23" outlineLevel="1">
      <c r="B342" s="230"/>
      <c r="C342" s="231"/>
      <c r="D342" s="232"/>
      <c r="E342" s="233"/>
      <c r="F342" s="234"/>
      <c r="G342"/>
      <c r="H342"/>
      <c r="I342"/>
      <c r="J342"/>
      <c r="K342"/>
      <c r="L342"/>
      <c r="M342"/>
      <c r="N342"/>
      <c r="O342"/>
      <c r="P342"/>
      <c r="Q342"/>
      <c r="R342"/>
      <c r="S342"/>
      <c r="T342"/>
      <c r="U342"/>
      <c r="V342"/>
      <c r="W342"/>
    </row>
    <row r="343" spans="2:23" outlineLevel="1">
      <c r="B343" s="235"/>
      <c r="C343" s="236"/>
      <c r="D343" s="237"/>
      <c r="E343" s="238"/>
      <c r="F343" s="234"/>
      <c r="G343"/>
      <c r="H343"/>
      <c r="I343"/>
      <c r="J343"/>
      <c r="K343"/>
      <c r="L343"/>
      <c r="M343"/>
      <c r="N343"/>
      <c r="O343"/>
      <c r="P343"/>
      <c r="Q343"/>
      <c r="R343"/>
      <c r="S343"/>
      <c r="T343"/>
      <c r="U343"/>
      <c r="V343"/>
      <c r="W343"/>
    </row>
    <row r="344" spans="2:23" outlineLevel="1">
      <c r="B344" s="230"/>
      <c r="C344" s="231"/>
      <c r="D344" s="232"/>
      <c r="E344" s="233"/>
      <c r="F344" s="234"/>
      <c r="G344"/>
      <c r="H344"/>
      <c r="I344"/>
      <c r="J344"/>
      <c r="K344"/>
      <c r="L344"/>
      <c r="M344"/>
      <c r="N344"/>
      <c r="O344"/>
      <c r="P344"/>
      <c r="Q344"/>
      <c r="R344"/>
      <c r="S344"/>
      <c r="T344"/>
      <c r="U344"/>
      <c r="V344"/>
      <c r="W344"/>
    </row>
    <row r="345" spans="2:23" outlineLevel="1">
      <c r="B345" s="235"/>
      <c r="C345" s="236"/>
      <c r="D345" s="237"/>
      <c r="E345" s="238"/>
      <c r="F345" s="234"/>
      <c r="G345"/>
      <c r="H345"/>
      <c r="I345"/>
      <c r="J345"/>
      <c r="K345"/>
      <c r="L345"/>
      <c r="M345"/>
      <c r="N345"/>
      <c r="O345"/>
      <c r="P345"/>
      <c r="Q345"/>
      <c r="R345"/>
      <c r="S345"/>
      <c r="T345"/>
      <c r="U345"/>
      <c r="V345"/>
      <c r="W345"/>
    </row>
    <row r="346" spans="2:23" outlineLevel="1">
      <c r="B346" s="230"/>
      <c r="C346" s="231"/>
      <c r="D346" s="232"/>
      <c r="E346" s="233"/>
      <c r="F346" s="234"/>
      <c r="G346"/>
      <c r="H346"/>
      <c r="I346"/>
      <c r="J346"/>
      <c r="K346"/>
      <c r="L346"/>
      <c r="M346"/>
      <c r="N346"/>
      <c r="O346"/>
      <c r="P346"/>
      <c r="Q346"/>
      <c r="R346"/>
      <c r="S346"/>
      <c r="T346"/>
      <c r="U346"/>
      <c r="V346"/>
      <c r="W346"/>
    </row>
    <row r="347" spans="2:23" outlineLevel="1">
      <c r="B347" s="235"/>
      <c r="C347" s="236"/>
      <c r="D347" s="237"/>
      <c r="E347" s="238"/>
      <c r="F347" s="234"/>
      <c r="G347"/>
      <c r="H347"/>
      <c r="I347"/>
      <c r="J347"/>
      <c r="K347"/>
      <c r="L347"/>
      <c r="M347"/>
      <c r="N347"/>
      <c r="O347"/>
      <c r="P347"/>
      <c r="Q347"/>
      <c r="R347"/>
      <c r="S347"/>
      <c r="T347"/>
      <c r="U347"/>
      <c r="V347"/>
      <c r="W347"/>
    </row>
    <row r="348" spans="2:23" outlineLevel="1">
      <c r="B348" s="230"/>
      <c r="C348" s="231"/>
      <c r="D348" s="232"/>
      <c r="E348" s="233"/>
      <c r="F348" s="234"/>
      <c r="G348"/>
      <c r="H348"/>
      <c r="I348"/>
      <c r="J348"/>
      <c r="K348"/>
      <c r="L348"/>
      <c r="M348"/>
      <c r="N348"/>
      <c r="O348"/>
      <c r="P348"/>
      <c r="Q348"/>
      <c r="R348"/>
      <c r="S348"/>
      <c r="T348"/>
      <c r="U348"/>
      <c r="V348"/>
      <c r="W348"/>
    </row>
    <row r="349" spans="2:23" outlineLevel="1">
      <c r="B349" s="235"/>
      <c r="C349" s="236"/>
      <c r="D349" s="237"/>
      <c r="E349" s="238"/>
      <c r="F349" s="234"/>
      <c r="G349"/>
      <c r="H349"/>
      <c r="I349"/>
      <c r="J349"/>
      <c r="K349"/>
      <c r="L349"/>
      <c r="M349"/>
      <c r="N349"/>
      <c r="O349"/>
      <c r="P349"/>
      <c r="Q349"/>
      <c r="R349"/>
      <c r="S349"/>
      <c r="T349"/>
      <c r="U349"/>
      <c r="V349"/>
      <c r="W349"/>
    </row>
    <row r="350" spans="2:23" outlineLevel="1">
      <c r="B350" s="230"/>
      <c r="C350" s="231"/>
      <c r="D350" s="232"/>
      <c r="E350" s="233"/>
      <c r="F350" s="234"/>
      <c r="G350"/>
      <c r="H350"/>
      <c r="I350"/>
      <c r="J350"/>
      <c r="K350"/>
      <c r="L350"/>
      <c r="M350"/>
      <c r="N350"/>
      <c r="O350"/>
      <c r="P350"/>
      <c r="Q350"/>
      <c r="R350"/>
      <c r="S350"/>
      <c r="T350"/>
      <c r="U350"/>
      <c r="V350"/>
      <c r="W350"/>
    </row>
    <row r="351" spans="2:23" outlineLevel="1">
      <c r="B351" s="235"/>
      <c r="C351" s="236"/>
      <c r="D351" s="237"/>
      <c r="E351" s="238"/>
      <c r="F351" s="234"/>
      <c r="G351"/>
      <c r="H351"/>
      <c r="I351"/>
      <c r="J351"/>
      <c r="K351"/>
      <c r="L351"/>
      <c r="M351"/>
      <c r="N351"/>
      <c r="O351"/>
      <c r="P351"/>
      <c r="Q351"/>
      <c r="R351"/>
      <c r="S351"/>
      <c r="T351"/>
      <c r="U351"/>
      <c r="V351"/>
      <c r="W351"/>
    </row>
    <row r="352" spans="2:23" outlineLevel="1">
      <c r="B352" s="230"/>
      <c r="C352" s="231"/>
      <c r="D352" s="232"/>
      <c r="E352" s="233"/>
      <c r="F352" s="234"/>
      <c r="G352"/>
      <c r="H352"/>
      <c r="I352"/>
      <c r="J352"/>
      <c r="K352"/>
      <c r="L352"/>
      <c r="M352"/>
      <c r="N352"/>
      <c r="O352"/>
      <c r="P352"/>
      <c r="Q352"/>
      <c r="R352"/>
      <c r="S352"/>
      <c r="T352"/>
      <c r="U352"/>
      <c r="V352"/>
      <c r="W352"/>
    </row>
    <row r="353" spans="2:23" outlineLevel="1">
      <c r="B353" s="235"/>
      <c r="C353" s="236"/>
      <c r="D353" s="237"/>
      <c r="E353" s="238"/>
      <c r="F353" s="234"/>
      <c r="G353"/>
      <c r="H353"/>
      <c r="I353"/>
      <c r="J353"/>
      <c r="K353"/>
      <c r="L353"/>
      <c r="M353"/>
      <c r="N353"/>
      <c r="O353"/>
      <c r="P353"/>
      <c r="Q353"/>
      <c r="R353"/>
      <c r="S353"/>
      <c r="T353"/>
      <c r="U353"/>
      <c r="V353"/>
      <c r="W353"/>
    </row>
    <row r="354" spans="2:23" outlineLevel="1">
      <c r="B354" s="230"/>
      <c r="C354" s="231"/>
      <c r="D354" s="232"/>
      <c r="E354" s="233"/>
      <c r="F354" s="234"/>
      <c r="G354"/>
      <c r="H354"/>
      <c r="I354"/>
      <c r="J354"/>
      <c r="K354"/>
      <c r="L354"/>
      <c r="M354"/>
      <c r="N354"/>
      <c r="O354"/>
      <c r="P354"/>
      <c r="Q354"/>
      <c r="R354"/>
      <c r="S354"/>
      <c r="T354"/>
      <c r="U354"/>
      <c r="V354"/>
      <c r="W354"/>
    </row>
    <row r="355" spans="2:23" outlineLevel="1">
      <c r="B355" s="235"/>
      <c r="C355" s="236"/>
      <c r="D355" s="237"/>
      <c r="E355" s="238"/>
      <c r="F355" s="234"/>
      <c r="G355"/>
      <c r="H355"/>
      <c r="I355"/>
      <c r="J355"/>
      <c r="K355"/>
      <c r="L355"/>
      <c r="M355"/>
      <c r="N355"/>
      <c r="O355"/>
      <c r="P355"/>
      <c r="Q355"/>
      <c r="R355"/>
      <c r="S355"/>
      <c r="T355"/>
      <c r="U355"/>
      <c r="V355"/>
      <c r="W355"/>
    </row>
    <row r="356" spans="2:23" outlineLevel="1">
      <c r="B356" s="230"/>
      <c r="C356" s="231"/>
      <c r="D356" s="232"/>
      <c r="E356" s="233"/>
      <c r="F356" s="234"/>
      <c r="G356"/>
      <c r="H356"/>
      <c r="I356"/>
      <c r="J356"/>
      <c r="K356"/>
      <c r="L356"/>
      <c r="M356"/>
      <c r="N356"/>
      <c r="O356"/>
      <c r="P356"/>
      <c r="Q356"/>
      <c r="R356"/>
      <c r="S356"/>
      <c r="T356"/>
      <c r="U356"/>
      <c r="V356"/>
      <c r="W356"/>
    </row>
    <row r="357" spans="2:23" outlineLevel="1">
      <c r="B357" s="235"/>
      <c r="C357" s="236"/>
      <c r="D357" s="237"/>
      <c r="E357" s="238"/>
      <c r="F357" s="234"/>
      <c r="G357"/>
      <c r="H357"/>
      <c r="I357"/>
      <c r="J357"/>
      <c r="K357"/>
      <c r="L357"/>
      <c r="M357"/>
      <c r="N357"/>
      <c r="O357"/>
      <c r="P357"/>
      <c r="Q357"/>
      <c r="R357"/>
      <c r="S357"/>
      <c r="T357"/>
      <c r="U357"/>
      <c r="V357"/>
      <c r="W357"/>
    </row>
    <row r="358" spans="2:23" outlineLevel="1">
      <c r="B358" s="230"/>
      <c r="C358" s="231"/>
      <c r="D358" s="232"/>
      <c r="E358" s="233"/>
      <c r="F358" s="234"/>
      <c r="G358"/>
      <c r="H358"/>
      <c r="I358"/>
      <c r="J358"/>
      <c r="K358"/>
      <c r="L358"/>
      <c r="M358"/>
      <c r="N358"/>
      <c r="O358"/>
      <c r="P358"/>
      <c r="Q358"/>
      <c r="R358"/>
      <c r="S358"/>
      <c r="T358"/>
      <c r="U358"/>
      <c r="V358"/>
      <c r="W358"/>
    </row>
    <row r="359" spans="2:23" outlineLevel="1">
      <c r="B359" s="235"/>
      <c r="C359" s="236"/>
      <c r="D359" s="237"/>
      <c r="E359" s="238"/>
      <c r="F359" s="234"/>
      <c r="G359"/>
      <c r="H359"/>
      <c r="I359"/>
      <c r="J359"/>
      <c r="K359"/>
      <c r="L359"/>
      <c r="M359"/>
      <c r="N359"/>
      <c r="O359"/>
      <c r="P359"/>
      <c r="Q359"/>
      <c r="R359"/>
      <c r="S359"/>
      <c r="T359"/>
      <c r="U359"/>
      <c r="V359"/>
      <c r="W359"/>
    </row>
    <row r="360" spans="2:23" outlineLevel="1">
      <c r="B360" s="230"/>
      <c r="C360" s="231"/>
      <c r="D360" s="232"/>
      <c r="E360" s="233"/>
      <c r="F360" s="234"/>
      <c r="G360"/>
      <c r="H360"/>
      <c r="I360"/>
      <c r="J360"/>
      <c r="K360"/>
      <c r="L360"/>
      <c r="M360"/>
      <c r="N360"/>
      <c r="O360"/>
      <c r="P360"/>
      <c r="Q360"/>
      <c r="R360"/>
      <c r="S360"/>
      <c r="T360"/>
      <c r="U360"/>
      <c r="V360"/>
      <c r="W360"/>
    </row>
    <row r="361" spans="2:23" outlineLevel="1">
      <c r="B361" s="235"/>
      <c r="C361" s="236"/>
      <c r="D361" s="237"/>
      <c r="E361" s="238"/>
      <c r="F361" s="234"/>
      <c r="G361"/>
      <c r="H361"/>
      <c r="I361"/>
      <c r="J361"/>
      <c r="K361"/>
      <c r="L361"/>
      <c r="M361"/>
      <c r="N361"/>
      <c r="O361"/>
      <c r="P361"/>
      <c r="Q361"/>
      <c r="R361"/>
      <c r="S361"/>
      <c r="T361"/>
      <c r="U361"/>
      <c r="V361"/>
      <c r="W361"/>
    </row>
    <row r="362" spans="2:23" outlineLevel="1">
      <c r="B362" s="230"/>
      <c r="C362" s="231"/>
      <c r="D362" s="232"/>
      <c r="E362" s="233"/>
      <c r="F362" s="234"/>
      <c r="G362"/>
      <c r="H362"/>
      <c r="I362"/>
      <c r="J362"/>
      <c r="K362"/>
      <c r="L362"/>
      <c r="M362"/>
      <c r="N362"/>
      <c r="O362"/>
      <c r="P362"/>
      <c r="Q362"/>
      <c r="R362"/>
      <c r="S362"/>
      <c r="T362"/>
      <c r="U362"/>
      <c r="V362"/>
      <c r="W362"/>
    </row>
    <row r="363" spans="2:23" outlineLevel="1">
      <c r="B363" s="235"/>
      <c r="C363" s="236"/>
      <c r="D363" s="237"/>
      <c r="E363" s="238"/>
      <c r="F363" s="234"/>
      <c r="G363"/>
      <c r="H363"/>
      <c r="I363"/>
      <c r="J363"/>
      <c r="K363"/>
      <c r="L363"/>
      <c r="M363"/>
      <c r="N363"/>
      <c r="O363"/>
      <c r="P363"/>
      <c r="Q363"/>
      <c r="R363"/>
      <c r="S363"/>
      <c r="T363"/>
      <c r="U363"/>
      <c r="V363"/>
      <c r="W363"/>
    </row>
    <row r="364" spans="2:23" outlineLevel="1">
      <c r="B364" s="230"/>
      <c r="C364" s="231"/>
      <c r="D364" s="232"/>
      <c r="E364" s="233"/>
      <c r="F364" s="234"/>
      <c r="G364"/>
      <c r="H364"/>
      <c r="I364"/>
      <c r="J364"/>
      <c r="K364"/>
      <c r="L364"/>
      <c r="M364"/>
      <c r="N364"/>
      <c r="O364"/>
      <c r="P364"/>
      <c r="Q364"/>
      <c r="R364"/>
      <c r="S364"/>
      <c r="T364"/>
      <c r="U364"/>
      <c r="V364"/>
      <c r="W364"/>
    </row>
    <row r="365" spans="2:23" outlineLevel="1">
      <c r="B365" s="235"/>
      <c r="C365" s="236"/>
      <c r="D365" s="237"/>
      <c r="E365" s="238"/>
      <c r="F365" s="234"/>
      <c r="G365"/>
      <c r="H365"/>
      <c r="I365"/>
      <c r="J365"/>
      <c r="K365"/>
      <c r="L365"/>
      <c r="M365"/>
      <c r="N365"/>
      <c r="O365"/>
      <c r="P365"/>
      <c r="Q365"/>
      <c r="R365"/>
      <c r="S365"/>
      <c r="T365"/>
      <c r="U365"/>
      <c r="V365"/>
      <c r="W365"/>
    </row>
    <row r="366" spans="2:23" outlineLevel="1">
      <c r="B366" s="230"/>
      <c r="C366" s="231"/>
      <c r="D366" s="232"/>
      <c r="E366" s="233"/>
      <c r="F366" s="234"/>
      <c r="G366"/>
      <c r="H366"/>
      <c r="I366"/>
      <c r="J366"/>
      <c r="K366"/>
      <c r="L366"/>
      <c r="M366"/>
      <c r="N366"/>
      <c r="O366"/>
      <c r="P366"/>
      <c r="Q366"/>
      <c r="R366"/>
      <c r="S366"/>
      <c r="T366"/>
      <c r="U366"/>
      <c r="V366"/>
      <c r="W366"/>
    </row>
    <row r="367" spans="2:23" outlineLevel="1">
      <c r="B367" s="235"/>
      <c r="C367" s="236"/>
      <c r="D367" s="237"/>
      <c r="E367" s="238"/>
      <c r="F367" s="234"/>
      <c r="G367"/>
      <c r="H367"/>
      <c r="I367"/>
      <c r="J367"/>
      <c r="K367"/>
      <c r="L367"/>
      <c r="M367"/>
      <c r="N367"/>
      <c r="O367"/>
      <c r="P367"/>
      <c r="Q367"/>
      <c r="R367"/>
      <c r="S367"/>
      <c r="T367"/>
      <c r="U367"/>
      <c r="V367"/>
      <c r="W367"/>
    </row>
    <row r="368" spans="2:23" outlineLevel="1">
      <c r="B368" s="230"/>
      <c r="C368" s="231"/>
      <c r="D368" s="232"/>
      <c r="E368" s="233"/>
      <c r="F368" s="234"/>
      <c r="G368"/>
      <c r="H368"/>
      <c r="I368"/>
      <c r="J368"/>
      <c r="K368"/>
      <c r="L368"/>
      <c r="M368"/>
      <c r="N368"/>
      <c r="O368"/>
      <c r="P368"/>
      <c r="Q368"/>
      <c r="R368"/>
      <c r="S368"/>
      <c r="T368"/>
      <c r="U368"/>
      <c r="V368"/>
      <c r="W368"/>
    </row>
    <row r="369" spans="2:23" outlineLevel="1">
      <c r="B369" s="235"/>
      <c r="C369" s="236"/>
      <c r="D369" s="237"/>
      <c r="E369" s="238"/>
      <c r="F369" s="234"/>
      <c r="G369"/>
      <c r="H369"/>
      <c r="I369"/>
      <c r="J369"/>
      <c r="K369"/>
      <c r="L369"/>
      <c r="M369"/>
      <c r="N369"/>
      <c r="O369"/>
      <c r="P369"/>
      <c r="Q369"/>
      <c r="R369"/>
      <c r="S369"/>
      <c r="T369"/>
      <c r="U369"/>
      <c r="V369"/>
      <c r="W369"/>
    </row>
    <row r="370" spans="2:23" outlineLevel="1">
      <c r="B370" s="230"/>
      <c r="C370" s="231"/>
      <c r="D370" s="232"/>
      <c r="E370" s="233"/>
      <c r="F370" s="234"/>
      <c r="G370"/>
      <c r="H370"/>
      <c r="I370"/>
      <c r="J370"/>
      <c r="K370"/>
      <c r="L370"/>
      <c r="M370"/>
      <c r="N370"/>
      <c r="O370"/>
      <c r="P370"/>
      <c r="Q370"/>
      <c r="R370"/>
      <c r="S370"/>
      <c r="T370"/>
      <c r="U370"/>
      <c r="V370"/>
      <c r="W370"/>
    </row>
    <row r="371" spans="2:23" outlineLevel="1">
      <c r="B371" s="235"/>
      <c r="C371" s="236"/>
      <c r="D371" s="237"/>
      <c r="E371" s="238"/>
      <c r="F371" s="234"/>
      <c r="G371"/>
      <c r="H371"/>
      <c r="I371"/>
      <c r="J371"/>
      <c r="K371"/>
      <c r="L371"/>
      <c r="M371"/>
      <c r="N371"/>
      <c r="O371"/>
      <c r="P371"/>
      <c r="Q371"/>
      <c r="R371"/>
      <c r="S371"/>
      <c r="T371"/>
      <c r="U371"/>
      <c r="V371"/>
      <c r="W371"/>
    </row>
    <row r="372" spans="2:23" outlineLevel="1">
      <c r="B372" s="230"/>
      <c r="C372" s="231"/>
      <c r="D372" s="232"/>
      <c r="E372" s="233"/>
      <c r="F372" s="234"/>
      <c r="G372"/>
      <c r="H372"/>
      <c r="I372"/>
      <c r="J372"/>
      <c r="K372"/>
      <c r="L372"/>
      <c r="M372"/>
      <c r="N372"/>
      <c r="O372"/>
      <c r="P372"/>
      <c r="Q372"/>
      <c r="R372"/>
      <c r="S372"/>
      <c r="T372"/>
      <c r="U372"/>
      <c r="V372"/>
      <c r="W372"/>
    </row>
    <row r="373" spans="2:23" outlineLevel="1">
      <c r="B373" s="235"/>
      <c r="C373" s="236"/>
      <c r="D373" s="237"/>
      <c r="E373" s="238"/>
      <c r="F373" s="234"/>
      <c r="G373"/>
      <c r="H373"/>
      <c r="I373"/>
      <c r="J373"/>
      <c r="K373"/>
      <c r="L373"/>
      <c r="M373"/>
      <c r="N373"/>
      <c r="O373"/>
      <c r="P373"/>
      <c r="Q373"/>
      <c r="R373"/>
      <c r="S373"/>
      <c r="T373"/>
      <c r="U373"/>
      <c r="V373"/>
      <c r="W373"/>
    </row>
    <row r="374" spans="2:23" outlineLevel="1">
      <c r="B374" s="230"/>
      <c r="C374" s="231"/>
      <c r="D374" s="232"/>
      <c r="E374" s="233"/>
      <c r="F374" s="234"/>
      <c r="G374"/>
      <c r="H374"/>
      <c r="I374"/>
      <c r="J374"/>
      <c r="K374"/>
      <c r="L374"/>
      <c r="M374"/>
      <c r="N374"/>
      <c r="O374"/>
      <c r="P374"/>
      <c r="Q374"/>
      <c r="R374"/>
      <c r="S374"/>
      <c r="T374"/>
      <c r="U374"/>
      <c r="V374"/>
      <c r="W374"/>
    </row>
    <row r="375" spans="2:23">
      <c r="B375" s="86" t="s">
        <v>15</v>
      </c>
      <c r="C375" s="87" t="s">
        <v>1128</v>
      </c>
      <c r="D375" s="87"/>
      <c r="E375" s="120"/>
      <c r="F375" s="103"/>
      <c r="G375"/>
      <c r="H375"/>
      <c r="I375"/>
      <c r="J375"/>
      <c r="K375"/>
      <c r="L375"/>
      <c r="M375"/>
      <c r="N375"/>
      <c r="O375"/>
      <c r="P375"/>
      <c r="Q375"/>
      <c r="R375"/>
      <c r="S375"/>
      <c r="T375"/>
      <c r="U375"/>
      <c r="V375"/>
      <c r="W375"/>
    </row>
    <row r="376" spans="2:23">
      <c r="B376" s="219" t="s">
        <v>73</v>
      </c>
      <c r="C376" s="8" t="s">
        <v>1130</v>
      </c>
      <c r="D376" s="255" t="s">
        <v>1129</v>
      </c>
      <c r="E376" s="122" t="str">
        <f>Main_Parameters!$C$172</f>
        <v>0000</v>
      </c>
      <c r="F376" s="179"/>
      <c r="G376"/>
      <c r="H376"/>
      <c r="I376"/>
      <c r="J376"/>
      <c r="K376"/>
      <c r="L376"/>
      <c r="M376"/>
      <c r="N376"/>
      <c r="O376"/>
      <c r="P376"/>
      <c r="Q376"/>
      <c r="R376"/>
      <c r="S376"/>
      <c r="T376"/>
      <c r="U376"/>
      <c r="V376"/>
      <c r="W376"/>
    </row>
    <row r="377" spans="2:23">
      <c r="B377" s="219" t="s">
        <v>73</v>
      </c>
      <c r="C377" s="8" t="s">
        <v>1134</v>
      </c>
      <c r="D377" s="255" t="s">
        <v>868</v>
      </c>
      <c r="E377" s="122" t="str">
        <f>Main_Parameters!$C$175</f>
        <v>8000</v>
      </c>
      <c r="F377" s="39"/>
      <c r="G377"/>
      <c r="H377"/>
      <c r="I377"/>
      <c r="J377"/>
      <c r="K377"/>
      <c r="L377"/>
      <c r="M377"/>
      <c r="N377"/>
      <c r="O377"/>
      <c r="P377"/>
      <c r="Q377"/>
      <c r="R377"/>
      <c r="S377"/>
      <c r="T377"/>
      <c r="U377"/>
      <c r="V377"/>
      <c r="W377"/>
    </row>
    <row r="378" spans="2:23">
      <c r="B378" s="97" t="str">
        <f>IF(Main_Parameters!$C$42="Manual","WR16","REMnd")</f>
        <v>REMnd</v>
      </c>
      <c r="C378" s="8" t="s">
        <v>1135</v>
      </c>
      <c r="D378" s="255" t="s">
        <v>1133</v>
      </c>
      <c r="E378" s="122" t="str">
        <f>Main_Parameters!$C$176</f>
        <v>04FF</v>
      </c>
      <c r="F378" s="39"/>
      <c r="G378"/>
      <c r="H378"/>
      <c r="I378"/>
      <c r="J378"/>
      <c r="K378"/>
      <c r="L378"/>
      <c r="M378"/>
      <c r="N378"/>
      <c r="O378"/>
      <c r="P378"/>
      <c r="Q378"/>
      <c r="R378"/>
      <c r="S378"/>
      <c r="T378"/>
      <c r="U378"/>
      <c r="V378"/>
      <c r="W378"/>
    </row>
    <row r="379" spans="2:23">
      <c r="B379" s="219" t="s">
        <v>73</v>
      </c>
      <c r="C379" s="8" t="s">
        <v>1137</v>
      </c>
      <c r="D379" s="255" t="s">
        <v>1136</v>
      </c>
      <c r="E379" s="122" t="str">
        <f>Main_Parameters!$C$179</f>
        <v>0000</v>
      </c>
      <c r="F379" s="179"/>
      <c r="G379"/>
      <c r="H379"/>
      <c r="I379"/>
      <c r="J379"/>
      <c r="K379"/>
      <c r="L379"/>
      <c r="M379"/>
      <c r="N379"/>
      <c r="O379"/>
      <c r="P379"/>
      <c r="Q379"/>
      <c r="R379"/>
      <c r="S379"/>
      <c r="T379"/>
      <c r="U379"/>
      <c r="V379"/>
      <c r="W379"/>
    </row>
    <row r="380" spans="2:23">
      <c r="B380" s="97" t="str">
        <f>IF(Main_Parameters!$C$42="Manual","WR16","REMnd")</f>
        <v>REMnd</v>
      </c>
      <c r="C380" s="8" t="s">
        <v>1168</v>
      </c>
      <c r="D380" s="255" t="s">
        <v>1145</v>
      </c>
      <c r="E380" s="122" t="str">
        <f>Main_Parameters!$C$182</f>
        <v>0500</v>
      </c>
      <c r="F380" s="39"/>
      <c r="G380"/>
      <c r="H380"/>
      <c r="I380"/>
      <c r="J380"/>
      <c r="K380"/>
      <c r="L380"/>
      <c r="M380"/>
      <c r="N380"/>
      <c r="O380"/>
      <c r="P380"/>
      <c r="Q380"/>
      <c r="R380"/>
      <c r="S380"/>
      <c r="T380"/>
      <c r="U380"/>
      <c r="V380"/>
      <c r="W380"/>
    </row>
    <row r="381" spans="2:23">
      <c r="B381" s="86" t="s">
        <v>15</v>
      </c>
      <c r="C381" s="90" t="s">
        <v>1510</v>
      </c>
      <c r="D381" s="91"/>
      <c r="E381" s="124"/>
      <c r="F381" s="103"/>
      <c r="G381"/>
      <c r="H381"/>
      <c r="I381"/>
      <c r="J381"/>
      <c r="K381"/>
      <c r="L381"/>
      <c r="M381"/>
      <c r="N381"/>
      <c r="O381"/>
      <c r="P381"/>
      <c r="Q381"/>
      <c r="R381"/>
      <c r="S381"/>
      <c r="T381"/>
      <c r="U381"/>
      <c r="V381"/>
      <c r="W381"/>
    </row>
    <row r="382" spans="2:23">
      <c r="B382" s="219" t="s">
        <v>745</v>
      </c>
      <c r="C382" s="373" t="s">
        <v>1511</v>
      </c>
      <c r="D382" s="15" t="s">
        <v>1223</v>
      </c>
      <c r="E382" s="122" t="str">
        <f>Main_Parameters!$C$192</f>
        <v>000D</v>
      </c>
      <c r="F382" s="179"/>
      <c r="G382"/>
      <c r="H382"/>
      <c r="I382"/>
      <c r="J382"/>
      <c r="K382"/>
      <c r="L382"/>
      <c r="M382"/>
      <c r="N382"/>
      <c r="O382"/>
      <c r="P382"/>
      <c r="Q382"/>
      <c r="R382"/>
      <c r="S382"/>
      <c r="T382"/>
      <c r="U382"/>
      <c r="V382"/>
      <c r="W382"/>
    </row>
    <row r="383" spans="2:23">
      <c r="B383" s="219" t="s">
        <v>745</v>
      </c>
      <c r="C383" s="373" t="s">
        <v>1512</v>
      </c>
      <c r="D383" s="15" t="s">
        <v>1215</v>
      </c>
      <c r="E383" s="122" t="str">
        <f>Main_Parameters!$C$193</f>
        <v>0020</v>
      </c>
      <c r="F383" s="179"/>
      <c r="G383"/>
      <c r="H383"/>
      <c r="I383"/>
      <c r="J383"/>
      <c r="K383"/>
      <c r="L383"/>
      <c r="M383"/>
      <c r="N383"/>
      <c r="O383"/>
      <c r="P383"/>
      <c r="Q383"/>
      <c r="R383"/>
      <c r="S383"/>
      <c r="T383"/>
      <c r="U383"/>
      <c r="V383"/>
      <c r="W383"/>
    </row>
    <row r="384" spans="2:23">
      <c r="B384" s="219" t="s">
        <v>745</v>
      </c>
      <c r="C384" s="373" t="s">
        <v>1513</v>
      </c>
      <c r="D384" s="15" t="s">
        <v>1216</v>
      </c>
      <c r="E384" s="122" t="str">
        <f>Main_Parameters!$C$194</f>
        <v>0006</v>
      </c>
      <c r="F384" s="179"/>
      <c r="G384"/>
      <c r="H384"/>
      <c r="I384"/>
      <c r="J384"/>
      <c r="K384"/>
      <c r="L384"/>
      <c r="M384"/>
      <c r="N384"/>
      <c r="O384"/>
      <c r="P384"/>
      <c r="Q384"/>
      <c r="R384"/>
      <c r="S384"/>
      <c r="T384"/>
      <c r="U384"/>
      <c r="V384"/>
      <c r="W384"/>
    </row>
    <row r="385" spans="2:57">
      <c r="B385" s="219" t="s">
        <v>745</v>
      </c>
      <c r="C385" s="373" t="s">
        <v>1514</v>
      </c>
      <c r="D385" s="15" t="s">
        <v>1515</v>
      </c>
      <c r="E385" s="122" t="str">
        <f>Main_Parameters!$C$195</f>
        <v>0AA0</v>
      </c>
      <c r="F385" s="179"/>
      <c r="G385"/>
      <c r="H385"/>
      <c r="I385"/>
      <c r="J385"/>
      <c r="K385"/>
      <c r="L385"/>
      <c r="M385"/>
      <c r="N385"/>
      <c r="O385"/>
      <c r="P385"/>
      <c r="Q385"/>
      <c r="R385"/>
      <c r="S385"/>
      <c r="T385"/>
      <c r="U385"/>
      <c r="V385"/>
      <c r="W385"/>
    </row>
    <row r="386" spans="2:57">
      <c r="B386" s="219" t="s">
        <v>745</v>
      </c>
      <c r="C386" s="373" t="s">
        <v>1516</v>
      </c>
      <c r="D386" s="15" t="s">
        <v>1218</v>
      </c>
      <c r="E386" s="122" t="str">
        <f>Main_Parameters!$C$196</f>
        <v>066E</v>
      </c>
      <c r="F386" s="179"/>
      <c r="G386"/>
      <c r="H386"/>
      <c r="I386"/>
      <c r="J386"/>
      <c r="K386"/>
      <c r="L386"/>
      <c r="M386"/>
      <c r="N386"/>
      <c r="O386"/>
      <c r="P386"/>
      <c r="Q386"/>
      <c r="R386"/>
      <c r="S386"/>
      <c r="T386"/>
      <c r="U386"/>
      <c r="V386"/>
      <c r="W386"/>
    </row>
    <row r="387" spans="2:57">
      <c r="B387" s="219" t="s">
        <v>1085</v>
      </c>
      <c r="C387" s="373" t="s">
        <v>1517</v>
      </c>
      <c r="D387" s="15" t="s">
        <v>1219</v>
      </c>
      <c r="E387" s="122" t="str">
        <f>Main_Parameters!$C$197</f>
        <v>0A00</v>
      </c>
      <c r="F387" s="179"/>
      <c r="G387"/>
      <c r="H387"/>
      <c r="I387"/>
      <c r="J387"/>
      <c r="K387"/>
      <c r="L387"/>
      <c r="M387"/>
      <c r="N387"/>
      <c r="O387"/>
      <c r="P387"/>
      <c r="Q387"/>
      <c r="R387"/>
      <c r="S387"/>
      <c r="T387"/>
      <c r="U387"/>
      <c r="V387"/>
      <c r="W387"/>
    </row>
    <row r="388" spans="2:57">
      <c r="B388" s="219" t="s">
        <v>1085</v>
      </c>
      <c r="C388" s="373" t="s">
        <v>1518</v>
      </c>
      <c r="D388" s="15" t="s">
        <v>1519</v>
      </c>
      <c r="E388" s="122" t="str">
        <f>Main_Parameters!$C$198</f>
        <v>0640</v>
      </c>
      <c r="F388" s="179"/>
      <c r="G388"/>
      <c r="H388"/>
      <c r="I388"/>
      <c r="J388"/>
      <c r="K388"/>
      <c r="L388"/>
      <c r="M388"/>
      <c r="N388"/>
      <c r="O388"/>
      <c r="P388"/>
      <c r="Q388"/>
      <c r="R388"/>
      <c r="S388"/>
      <c r="T388"/>
      <c r="U388"/>
      <c r="V388"/>
      <c r="W388"/>
    </row>
    <row r="389" spans="2:57">
      <c r="B389" s="219" t="s">
        <v>1085</v>
      </c>
      <c r="C389" s="373" t="s">
        <v>1520</v>
      </c>
      <c r="D389" s="15" t="s">
        <v>1221</v>
      </c>
      <c r="E389" s="122" t="str">
        <f>Main_Parameters!$C$199</f>
        <v>0070</v>
      </c>
      <c r="F389" s="179"/>
      <c r="G389"/>
      <c r="H389"/>
      <c r="I389"/>
      <c r="J389"/>
      <c r="K389"/>
      <c r="L389"/>
      <c r="M389"/>
      <c r="N389"/>
      <c r="O389"/>
      <c r="P389"/>
      <c r="Q389"/>
      <c r="R389"/>
      <c r="S389"/>
      <c r="T389"/>
      <c r="U389"/>
      <c r="V389"/>
      <c r="W389"/>
    </row>
    <row r="390" spans="2:57">
      <c r="B390" s="219" t="s">
        <v>1085</v>
      </c>
      <c r="C390" s="373" t="s">
        <v>1521</v>
      </c>
      <c r="D390" s="15" t="s">
        <v>1222</v>
      </c>
      <c r="E390" s="122" t="str">
        <f>Main_Parameters!$C$200</f>
        <v>002B</v>
      </c>
      <c r="F390" s="179"/>
      <c r="G390"/>
      <c r="H390"/>
      <c r="I390"/>
      <c r="J390"/>
      <c r="K390"/>
      <c r="L390"/>
      <c r="M390"/>
      <c r="N390"/>
      <c r="O390"/>
      <c r="P390"/>
      <c r="Q390"/>
      <c r="R390"/>
      <c r="S390"/>
      <c r="T390"/>
      <c r="U390"/>
      <c r="V390"/>
      <c r="W390"/>
    </row>
    <row r="391" spans="2:57">
      <c r="B391" s="86" t="s">
        <v>15</v>
      </c>
      <c r="C391" s="90" t="s">
        <v>1172</v>
      </c>
      <c r="D391" s="91"/>
      <c r="E391" s="124"/>
      <c r="F391" s="103"/>
      <c r="G391"/>
      <c r="H391"/>
      <c r="I391"/>
      <c r="J391"/>
      <c r="K391"/>
      <c r="L391"/>
      <c r="M391"/>
      <c r="N391"/>
      <c r="O391"/>
      <c r="P391"/>
      <c r="Q391"/>
      <c r="R391"/>
      <c r="S391"/>
      <c r="T391"/>
      <c r="U391"/>
      <c r="V391"/>
      <c r="W391"/>
    </row>
    <row r="392" spans="2:57" collapsed="1">
      <c r="B392" s="19" t="s">
        <v>745</v>
      </c>
      <c r="C392" s="5" t="s">
        <v>1170</v>
      </c>
      <c r="D392" s="17" t="s">
        <v>780</v>
      </c>
      <c r="E392" s="109" t="str">
        <f>Main_Parameters!$C$119</f>
        <v>0C37</v>
      </c>
      <c r="F392" s="39"/>
      <c r="G392"/>
      <c r="H392"/>
      <c r="I392"/>
      <c r="J392"/>
      <c r="K392"/>
      <c r="L392"/>
      <c r="M392"/>
      <c r="N392"/>
      <c r="O392"/>
      <c r="P392"/>
      <c r="Q392"/>
      <c r="R392"/>
      <c r="S392"/>
      <c r="T392"/>
      <c r="U392"/>
      <c r="V392"/>
      <c r="W392"/>
    </row>
    <row r="393" spans="2:57">
      <c r="B393" s="136" t="s">
        <v>15</v>
      </c>
      <c r="C393" s="137" t="s">
        <v>1525</v>
      </c>
      <c r="D393" s="176"/>
      <c r="E393" s="177"/>
      <c r="F393" s="178"/>
      <c r="G393"/>
      <c r="H393"/>
      <c r="I393"/>
      <c r="J393"/>
      <c r="K393"/>
      <c r="L393"/>
      <c r="M393"/>
      <c r="N393"/>
      <c r="O393"/>
      <c r="P393"/>
      <c r="Q393"/>
      <c r="R393"/>
      <c r="S393"/>
      <c r="T393"/>
      <c r="U393"/>
    </row>
    <row r="394" spans="2:57" ht="15">
      <c r="B394" s="19" t="s">
        <v>75</v>
      </c>
      <c r="C394" s="254" t="s">
        <v>890</v>
      </c>
      <c r="D394" s="255" t="s">
        <v>891</v>
      </c>
      <c r="E394" s="122" t="str">
        <f>DEC2HEX(Y394*2^31+Z394*2^30+AA394*2^29+AB394*2^28+AC394*2^27+AD394*2^26+AE394*2^25+AF394*2^24+AG394*2^23+AH394*2^22+AI394*2^21+AJ394*2^20+AK394*2^19+AL394*2^18+AM394*2^17+AN394*2^16+AO394*2^15+AP394*2^14+AQ394*2^13+AR394*2^12+AS394*2^11+AT394*2^10+AU394*2^9+AV394*2^8+AW394*2^7+AX394*2^6+AY394*2^5+AZ394*2^4+BA394*2^3+BB394*2^2+BC394*2^1+BD394*2^0,8)</f>
        <v>00000006</v>
      </c>
      <c r="F394" s="179"/>
      <c r="G394"/>
      <c r="H394" s="265"/>
      <c r="I394" s="268"/>
      <c r="J394" s="268"/>
      <c r="K394" s="268"/>
      <c r="L394" s="268"/>
      <c r="M394" s="266"/>
      <c r="N394" s="258" t="s">
        <v>1226</v>
      </c>
      <c r="O394" s="150" t="s">
        <v>1269</v>
      </c>
      <c r="P394" s="258"/>
      <c r="Q394" s="360"/>
      <c r="R394" s="261" t="s">
        <v>1228</v>
      </c>
      <c r="S394" s="302" t="str">
        <f>Main_Parameters!$M$23</f>
        <v>L Active</v>
      </c>
      <c r="T394" s="261" t="s">
        <v>1227</v>
      </c>
      <c r="U394" s="302" t="str">
        <f>Main_Parameters!$M$24</f>
        <v>L Active</v>
      </c>
      <c r="V394" s="277"/>
      <c r="W394" s="261"/>
      <c r="X394" s="376"/>
      <c r="Y394" s="168">
        <v>0</v>
      </c>
      <c r="Z394" s="168">
        <v>0</v>
      </c>
      <c r="AA394" s="168">
        <v>0</v>
      </c>
      <c r="AB394" s="168">
        <v>0</v>
      </c>
      <c r="AC394" s="168">
        <v>0</v>
      </c>
      <c r="AD394" s="168">
        <v>0</v>
      </c>
      <c r="AE394" s="168">
        <v>0</v>
      </c>
      <c r="AF394" s="168">
        <v>0</v>
      </c>
      <c r="AG394" s="168">
        <v>0</v>
      </c>
      <c r="AH394" s="168">
        <v>0</v>
      </c>
      <c r="AI394" s="168">
        <v>0</v>
      </c>
      <c r="AJ394" s="168">
        <v>0</v>
      </c>
      <c r="AK394" s="168">
        <v>0</v>
      </c>
      <c r="AL394" s="168">
        <v>0</v>
      </c>
      <c r="AM394" s="168">
        <v>0</v>
      </c>
      <c r="AN394" s="168">
        <v>0</v>
      </c>
      <c r="AO394" s="168">
        <v>0</v>
      </c>
      <c r="AP394" s="168">
        <v>0</v>
      </c>
      <c r="AQ394" s="168">
        <v>0</v>
      </c>
      <c r="AR394" s="168">
        <v>0</v>
      </c>
      <c r="AS394" s="168">
        <v>0</v>
      </c>
      <c r="AT394" s="168">
        <v>0</v>
      </c>
      <c r="AU394" s="168">
        <v>0</v>
      </c>
      <c r="AV394" s="168">
        <v>0</v>
      </c>
      <c r="AW394" s="168">
        <v>0</v>
      </c>
      <c r="AX394" s="168">
        <v>0</v>
      </c>
      <c r="AY394" s="168">
        <v>0</v>
      </c>
      <c r="AZ394" s="168">
        <f>IF(O394="LP",1,0)</f>
        <v>0</v>
      </c>
      <c r="BA394" s="168">
        <v>0</v>
      </c>
      <c r="BB394" s="168">
        <f>IF(S394="H Active",0,1)</f>
        <v>1</v>
      </c>
      <c r="BC394" s="168">
        <f>IF(U394="H Active",0,1)</f>
        <v>1</v>
      </c>
      <c r="BD394" s="168">
        <v>0</v>
      </c>
      <c r="BE394" s="376"/>
    </row>
    <row r="395" spans="2:57" ht="15">
      <c r="B395" s="19" t="s">
        <v>75</v>
      </c>
      <c r="C395" s="254" t="s">
        <v>890</v>
      </c>
      <c r="D395" s="255" t="s">
        <v>952</v>
      </c>
      <c r="E395" s="122" t="str">
        <f>DEC2HEX(Y395*2^31+Z395*2^30+AA395*2^29+AB395*2^28+AC395*2^27+AD395*2^26+AE395*2^25+AF395*2^24+AG395*2^23+AH395*2^22+AI395*2^21+AJ395*2^20+AK395*2^19+AL395*2^18+AM395*2^17+AN395*2^16+AO395*2^15+AP395*2^14+AQ395*2^13+AR395*2^12+AS395*2^11+AT395*2^10+AU395*2^9+AV395*2^8+AW395*2^7+AX395*2^6+AY395*2^5+AZ395*2^4+BA395*2^3+BB395*2^2+BC395*2^1+BD395*2^0,8)</f>
        <v>00000006</v>
      </c>
      <c r="F395" s="179"/>
      <c r="G395"/>
      <c r="H395" s="265"/>
      <c r="I395" s="268"/>
      <c r="J395" s="268"/>
      <c r="K395" s="268"/>
      <c r="L395" s="268"/>
      <c r="M395" s="266"/>
      <c r="N395" s="261" t="s">
        <v>1226</v>
      </c>
      <c r="O395" s="223" t="s">
        <v>1269</v>
      </c>
      <c r="P395" s="258"/>
      <c r="Q395" s="259"/>
      <c r="R395" s="261" t="s">
        <v>1228</v>
      </c>
      <c r="S395" s="302" t="str">
        <f>Main_Parameters!$M$23</f>
        <v>L Active</v>
      </c>
      <c r="T395" s="261" t="s">
        <v>1227</v>
      </c>
      <c r="U395" s="302" t="str">
        <f>Main_Parameters!$M$24</f>
        <v>L Active</v>
      </c>
      <c r="V395" s="277"/>
      <c r="W395" s="261"/>
      <c r="X395" s="376"/>
      <c r="Y395" s="168">
        <v>0</v>
      </c>
      <c r="Z395" s="168">
        <v>0</v>
      </c>
      <c r="AA395" s="168">
        <v>0</v>
      </c>
      <c r="AB395" s="168">
        <v>0</v>
      </c>
      <c r="AC395" s="168">
        <v>0</v>
      </c>
      <c r="AD395" s="168">
        <v>0</v>
      </c>
      <c r="AE395" s="168">
        <v>0</v>
      </c>
      <c r="AF395" s="168">
        <v>0</v>
      </c>
      <c r="AG395" s="168">
        <v>0</v>
      </c>
      <c r="AH395" s="168">
        <v>0</v>
      </c>
      <c r="AI395" s="168">
        <v>0</v>
      </c>
      <c r="AJ395" s="168">
        <v>0</v>
      </c>
      <c r="AK395" s="168">
        <v>0</v>
      </c>
      <c r="AL395" s="168">
        <v>0</v>
      </c>
      <c r="AM395" s="168">
        <v>0</v>
      </c>
      <c r="AN395" s="168">
        <v>0</v>
      </c>
      <c r="AO395" s="168">
        <v>0</v>
      </c>
      <c r="AP395" s="168">
        <v>0</v>
      </c>
      <c r="AQ395" s="168">
        <v>0</v>
      </c>
      <c r="AR395" s="168">
        <v>0</v>
      </c>
      <c r="AS395" s="168">
        <v>0</v>
      </c>
      <c r="AT395" s="168">
        <v>0</v>
      </c>
      <c r="AU395" s="168">
        <v>0</v>
      </c>
      <c r="AV395" s="168">
        <v>0</v>
      </c>
      <c r="AW395" s="168">
        <v>0</v>
      </c>
      <c r="AX395" s="168">
        <v>0</v>
      </c>
      <c r="AY395" s="168">
        <v>0</v>
      </c>
      <c r="AZ395" s="168">
        <f>IF(O395="LP",1,0)</f>
        <v>0</v>
      </c>
      <c r="BA395" s="168">
        <v>0</v>
      </c>
      <c r="BB395" s="168">
        <f>IF(S395="H Active",0,1)</f>
        <v>1</v>
      </c>
      <c r="BC395" s="168">
        <f>IF(U395="H Active",0,1)</f>
        <v>1</v>
      </c>
      <c r="BD395" s="168">
        <v>0</v>
      </c>
      <c r="BE395" s="376"/>
    </row>
    <row r="396" spans="2:57" outlineLevel="1">
      <c r="B396" s="230" t="s">
        <v>828</v>
      </c>
      <c r="C396" s="231"/>
      <c r="D396" s="233">
        <v>1000000</v>
      </c>
      <c r="E396" s="233"/>
      <c r="F396" s="234"/>
      <c r="G396"/>
      <c r="H396"/>
      <c r="I396"/>
      <c r="J396"/>
      <c r="K396"/>
      <c r="L396"/>
      <c r="M396"/>
      <c r="N396"/>
      <c r="O396"/>
      <c r="P396"/>
      <c r="Q396"/>
      <c r="R396"/>
      <c r="S396"/>
      <c r="T396"/>
      <c r="U396"/>
      <c r="V396"/>
      <c r="W396"/>
    </row>
    <row r="397" spans="2:57" outlineLevel="1">
      <c r="B397" s="230" t="s">
        <v>15</v>
      </c>
      <c r="C397" s="231" t="s">
        <v>1307</v>
      </c>
      <c r="D397" s="232"/>
      <c r="E397" s="233"/>
      <c r="F397" s="234"/>
      <c r="G397"/>
      <c r="H397"/>
      <c r="I397"/>
      <c r="J397"/>
      <c r="K397"/>
      <c r="L397"/>
      <c r="M397"/>
      <c r="N397"/>
      <c r="O397"/>
      <c r="P397"/>
      <c r="Q397"/>
      <c r="R397"/>
      <c r="S397"/>
      <c r="T397"/>
      <c r="U397"/>
      <c r="V397"/>
      <c r="W397"/>
    </row>
    <row r="398" spans="2:57" outlineLevel="1">
      <c r="B398" s="230" t="s">
        <v>73</v>
      </c>
      <c r="C398" s="231" t="s">
        <v>1278</v>
      </c>
      <c r="D398" s="232" t="s">
        <v>1279</v>
      </c>
      <c r="E398" s="233" t="s">
        <v>1303</v>
      </c>
      <c r="F398" s="234"/>
      <c r="G398"/>
      <c r="H398"/>
      <c r="I398"/>
      <c r="J398"/>
      <c r="K398"/>
      <c r="L398"/>
      <c r="M398"/>
      <c r="N398"/>
      <c r="O398"/>
      <c r="P398"/>
      <c r="Q398"/>
      <c r="R398"/>
      <c r="S398"/>
      <c r="T398"/>
      <c r="U398"/>
      <c r="V398"/>
      <c r="W398"/>
    </row>
    <row r="399" spans="2:57" outlineLevel="1">
      <c r="B399" s="230" t="s">
        <v>73</v>
      </c>
      <c r="C399" s="231" t="s">
        <v>1278</v>
      </c>
      <c r="D399" s="232" t="s">
        <v>1279</v>
      </c>
      <c r="E399" s="233" t="s">
        <v>1304</v>
      </c>
      <c r="F399" s="234"/>
      <c r="G399"/>
      <c r="H399"/>
      <c r="I399"/>
      <c r="J399"/>
      <c r="K399"/>
      <c r="L399"/>
      <c r="M399"/>
      <c r="N399"/>
      <c r="O399"/>
      <c r="P399"/>
      <c r="Q399"/>
      <c r="R399"/>
      <c r="S399"/>
      <c r="T399"/>
      <c r="U399"/>
      <c r="V399"/>
      <c r="W399"/>
    </row>
    <row r="400" spans="2:57" outlineLevel="1">
      <c r="B400" s="230" t="s">
        <v>828</v>
      </c>
      <c r="C400" s="231"/>
      <c r="D400" s="233">
        <v>200</v>
      </c>
      <c r="E400" s="233"/>
      <c r="F400" s="234"/>
      <c r="G400"/>
      <c r="H400"/>
      <c r="I400"/>
      <c r="J400"/>
      <c r="K400"/>
      <c r="L400"/>
      <c r="M400"/>
      <c r="N400"/>
      <c r="O400"/>
      <c r="P400"/>
      <c r="Q400"/>
      <c r="R400"/>
      <c r="S400"/>
      <c r="T400"/>
      <c r="U400"/>
      <c r="V400"/>
      <c r="W400"/>
    </row>
    <row r="401" spans="2:23" outlineLevel="1">
      <c r="B401" s="230" t="s">
        <v>15</v>
      </c>
      <c r="C401" s="231" t="s">
        <v>1322</v>
      </c>
      <c r="D401" s="232"/>
      <c r="E401" s="233"/>
      <c r="F401" s="234"/>
      <c r="G401"/>
      <c r="H401"/>
      <c r="I401"/>
      <c r="J401"/>
      <c r="K401"/>
      <c r="L401"/>
      <c r="M401"/>
      <c r="N401"/>
      <c r="O401"/>
      <c r="P401"/>
      <c r="Q401"/>
      <c r="R401"/>
      <c r="S401"/>
      <c r="T401"/>
      <c r="U401"/>
      <c r="V401"/>
      <c r="W401"/>
    </row>
    <row r="402" spans="2:23" outlineLevel="1">
      <c r="B402" s="230" t="s">
        <v>73</v>
      </c>
      <c r="C402" s="231" t="s">
        <v>1278</v>
      </c>
      <c r="D402" s="232" t="s">
        <v>1279</v>
      </c>
      <c r="E402" s="233" t="s">
        <v>1303</v>
      </c>
      <c r="F402" s="234"/>
      <c r="G402"/>
      <c r="H402"/>
      <c r="I402"/>
      <c r="J402"/>
      <c r="K402"/>
      <c r="L402"/>
      <c r="M402"/>
      <c r="N402"/>
      <c r="O402"/>
      <c r="P402"/>
      <c r="Q402"/>
      <c r="R402"/>
      <c r="S402"/>
      <c r="T402"/>
      <c r="U402"/>
      <c r="V402"/>
      <c r="W402"/>
    </row>
    <row r="403" spans="2:23" outlineLevel="1">
      <c r="B403" s="230" t="s">
        <v>73</v>
      </c>
      <c r="C403" s="231" t="s">
        <v>1278</v>
      </c>
      <c r="D403" s="232" t="s">
        <v>1279</v>
      </c>
      <c r="E403" s="233" t="s">
        <v>1321</v>
      </c>
      <c r="F403" s="234"/>
      <c r="G403"/>
      <c r="H403"/>
      <c r="I403"/>
      <c r="J403"/>
      <c r="K403"/>
      <c r="L403"/>
      <c r="M403"/>
      <c r="N403"/>
      <c r="O403"/>
      <c r="P403"/>
      <c r="Q403"/>
      <c r="R403"/>
      <c r="S403"/>
      <c r="T403"/>
      <c r="U403"/>
      <c r="V403"/>
      <c r="W403"/>
    </row>
    <row r="404" spans="2:23" outlineLevel="1">
      <c r="B404" s="230" t="s">
        <v>828</v>
      </c>
      <c r="C404" s="231"/>
      <c r="D404" s="233">
        <v>200</v>
      </c>
      <c r="E404" s="233"/>
      <c r="F404" s="234"/>
      <c r="G404"/>
      <c r="H404"/>
      <c r="I404"/>
      <c r="J404"/>
      <c r="K404"/>
      <c r="L404"/>
      <c r="M404"/>
      <c r="N404"/>
      <c r="O404"/>
      <c r="P404"/>
      <c r="Q404"/>
      <c r="R404"/>
      <c r="S404"/>
      <c r="T404"/>
      <c r="U404"/>
      <c r="V404"/>
      <c r="W404"/>
    </row>
    <row r="405" spans="2:23" outlineLevel="1">
      <c r="B405" s="230" t="s">
        <v>15</v>
      </c>
      <c r="C405" s="231" t="s">
        <v>1307</v>
      </c>
      <c r="D405" s="232"/>
      <c r="E405" s="233"/>
      <c r="F405" s="234"/>
      <c r="G405"/>
      <c r="H405"/>
      <c r="I405"/>
      <c r="J405"/>
      <c r="K405"/>
      <c r="L405"/>
      <c r="M405"/>
      <c r="N405"/>
      <c r="O405"/>
      <c r="P405"/>
      <c r="Q405"/>
      <c r="R405"/>
      <c r="S405"/>
      <c r="T405"/>
      <c r="U405"/>
      <c r="V405"/>
      <c r="W405"/>
    </row>
    <row r="406" spans="2:23" outlineLevel="1">
      <c r="B406" s="230" t="s">
        <v>73</v>
      </c>
      <c r="C406" s="231" t="s">
        <v>1278</v>
      </c>
      <c r="D406" s="232" t="s">
        <v>1279</v>
      </c>
      <c r="E406" s="233" t="s">
        <v>1303</v>
      </c>
      <c r="F406" s="234"/>
      <c r="G406"/>
      <c r="H406"/>
      <c r="I406"/>
      <c r="J406"/>
      <c r="K406"/>
      <c r="L406"/>
      <c r="M406"/>
      <c r="N406"/>
      <c r="O406"/>
      <c r="P406"/>
      <c r="Q406"/>
      <c r="R406"/>
      <c r="S406"/>
      <c r="T406"/>
      <c r="U406"/>
      <c r="V406"/>
      <c r="W406"/>
    </row>
    <row r="407" spans="2:23" outlineLevel="1">
      <c r="B407" s="230" t="s">
        <v>73</v>
      </c>
      <c r="C407" s="231" t="s">
        <v>1278</v>
      </c>
      <c r="D407" s="232" t="s">
        <v>1279</v>
      </c>
      <c r="E407" s="233" t="s">
        <v>1323</v>
      </c>
      <c r="F407" s="234"/>
      <c r="G407"/>
      <c r="H407"/>
      <c r="I407"/>
      <c r="J407"/>
      <c r="K407"/>
      <c r="L407"/>
      <c r="M407"/>
      <c r="N407"/>
      <c r="O407"/>
      <c r="P407"/>
      <c r="Q407"/>
      <c r="R407"/>
      <c r="S407"/>
      <c r="T407"/>
      <c r="U407"/>
      <c r="V407"/>
      <c r="W407"/>
    </row>
    <row r="408" spans="2:23" outlineLevel="1">
      <c r="B408" s="230" t="s">
        <v>828</v>
      </c>
      <c r="C408" s="231"/>
      <c r="D408" s="233">
        <v>200</v>
      </c>
      <c r="E408" s="233"/>
      <c r="F408" s="234"/>
      <c r="G408"/>
      <c r="H408"/>
      <c r="I408"/>
      <c r="J408"/>
      <c r="K408"/>
      <c r="L408"/>
      <c r="M408"/>
      <c r="N408"/>
      <c r="O408"/>
      <c r="P408"/>
      <c r="Q408"/>
      <c r="R408"/>
      <c r="S408"/>
      <c r="T408"/>
      <c r="U408"/>
      <c r="V408"/>
      <c r="W408"/>
    </row>
    <row r="409" spans="2:23" outlineLevel="1">
      <c r="B409" s="230" t="s">
        <v>15</v>
      </c>
      <c r="C409" s="231" t="s">
        <v>1324</v>
      </c>
      <c r="D409" s="232"/>
      <c r="E409" s="233"/>
      <c r="F409" s="234"/>
      <c r="G409"/>
      <c r="H409"/>
      <c r="I409"/>
      <c r="J409"/>
      <c r="K409"/>
      <c r="L409"/>
      <c r="M409"/>
      <c r="N409"/>
      <c r="O409"/>
      <c r="P409"/>
      <c r="Q409"/>
      <c r="R409"/>
      <c r="S409"/>
      <c r="T409"/>
      <c r="U409"/>
      <c r="V409"/>
      <c r="W409"/>
    </row>
    <row r="410" spans="2:23" outlineLevel="1">
      <c r="B410" s="230" t="s">
        <v>73</v>
      </c>
      <c r="C410" s="231" t="s">
        <v>1278</v>
      </c>
      <c r="D410" s="232" t="s">
        <v>1279</v>
      </c>
      <c r="E410" s="233" t="s">
        <v>825</v>
      </c>
      <c r="F410" s="234"/>
      <c r="G410"/>
      <c r="H410"/>
      <c r="I410"/>
      <c r="J410"/>
      <c r="K410"/>
      <c r="L410"/>
      <c r="M410"/>
      <c r="N410"/>
      <c r="O410"/>
      <c r="P410"/>
      <c r="Q410"/>
      <c r="R410"/>
      <c r="S410"/>
      <c r="T410"/>
      <c r="U410"/>
      <c r="V410"/>
      <c r="W410"/>
    </row>
    <row r="411" spans="2:23" outlineLevel="1">
      <c r="B411" s="230" t="s">
        <v>73</v>
      </c>
      <c r="C411" s="231" t="s">
        <v>1278</v>
      </c>
      <c r="D411" s="232" t="s">
        <v>1279</v>
      </c>
      <c r="E411" s="233" t="s">
        <v>1325</v>
      </c>
      <c r="F411" s="234"/>
      <c r="G411"/>
      <c r="H411"/>
      <c r="I411"/>
      <c r="J411"/>
      <c r="K411"/>
      <c r="L411"/>
      <c r="M411"/>
      <c r="N411"/>
      <c r="O411"/>
      <c r="P411"/>
      <c r="Q411"/>
      <c r="R411"/>
      <c r="S411"/>
      <c r="T411"/>
      <c r="U411"/>
      <c r="V411"/>
      <c r="W411"/>
    </row>
    <row r="412" spans="2:23" outlineLevel="1">
      <c r="B412" s="230" t="s">
        <v>828</v>
      </c>
      <c r="C412" s="231"/>
      <c r="D412" s="233">
        <v>200</v>
      </c>
      <c r="E412" s="233"/>
      <c r="F412" s="234"/>
      <c r="G412"/>
      <c r="H412"/>
      <c r="I412"/>
      <c r="J412"/>
      <c r="K412"/>
      <c r="L412"/>
      <c r="M412"/>
      <c r="N412"/>
      <c r="O412"/>
      <c r="P412"/>
      <c r="Q412"/>
      <c r="R412"/>
      <c r="S412"/>
      <c r="T412"/>
      <c r="U412"/>
      <c r="V412"/>
      <c r="W412"/>
    </row>
    <row r="413" spans="2:23" outlineLevel="1">
      <c r="B413" s="230"/>
      <c r="C413" s="231"/>
      <c r="D413" s="232"/>
      <c r="E413" s="233"/>
      <c r="F413" s="234"/>
      <c r="G413"/>
      <c r="H413"/>
      <c r="I413"/>
      <c r="J413"/>
      <c r="K413"/>
      <c r="L413"/>
      <c r="M413"/>
      <c r="N413"/>
      <c r="O413"/>
      <c r="P413"/>
      <c r="Q413"/>
      <c r="R413"/>
      <c r="S413"/>
      <c r="T413"/>
      <c r="U413"/>
      <c r="V413"/>
      <c r="W413"/>
    </row>
    <row r="414" spans="2:23" outlineLevel="1">
      <c r="B414" s="235"/>
      <c r="C414" s="236"/>
      <c r="D414" s="237"/>
      <c r="E414" s="238"/>
      <c r="F414" s="234"/>
      <c r="G414"/>
      <c r="H414"/>
      <c r="I414"/>
      <c r="J414"/>
      <c r="K414"/>
      <c r="L414"/>
      <c r="M414"/>
      <c r="N414"/>
      <c r="O414"/>
      <c r="P414"/>
      <c r="Q414"/>
      <c r="R414"/>
      <c r="S414"/>
      <c r="T414"/>
      <c r="U414"/>
      <c r="V414"/>
      <c r="W414"/>
    </row>
    <row r="415" spans="2:23" outlineLevel="1">
      <c r="B415" s="230"/>
      <c r="C415" s="231"/>
      <c r="D415" s="232"/>
      <c r="E415" s="233"/>
      <c r="F415" s="234"/>
      <c r="G415"/>
      <c r="H415"/>
      <c r="I415"/>
      <c r="J415"/>
      <c r="K415"/>
      <c r="L415"/>
      <c r="M415"/>
      <c r="N415"/>
      <c r="O415"/>
      <c r="P415"/>
      <c r="Q415"/>
      <c r="R415"/>
      <c r="S415"/>
      <c r="T415"/>
      <c r="U415"/>
      <c r="V415"/>
      <c r="W415"/>
    </row>
    <row r="416" spans="2:23" outlineLevel="1">
      <c r="B416" s="235"/>
      <c r="C416" s="236"/>
      <c r="D416" s="237"/>
      <c r="E416" s="238"/>
      <c r="F416" s="234"/>
      <c r="G416"/>
      <c r="H416"/>
      <c r="I416"/>
      <c r="J416"/>
      <c r="K416"/>
      <c r="L416"/>
      <c r="M416"/>
      <c r="N416"/>
      <c r="O416"/>
      <c r="P416"/>
      <c r="Q416"/>
      <c r="R416"/>
      <c r="S416"/>
      <c r="T416"/>
      <c r="U416"/>
      <c r="V416"/>
      <c r="W416"/>
    </row>
    <row r="417" spans="2:23" outlineLevel="1">
      <c r="B417" s="230"/>
      <c r="C417" s="231"/>
      <c r="D417" s="232"/>
      <c r="E417" s="233"/>
      <c r="F417" s="234"/>
      <c r="G417"/>
      <c r="H417"/>
      <c r="I417"/>
      <c r="J417"/>
      <c r="K417"/>
      <c r="L417"/>
      <c r="M417"/>
      <c r="N417"/>
      <c r="O417"/>
      <c r="P417"/>
      <c r="Q417"/>
      <c r="R417"/>
      <c r="S417"/>
      <c r="T417"/>
      <c r="U417"/>
      <c r="V417"/>
      <c r="W417"/>
    </row>
    <row r="418" spans="2:23" outlineLevel="1">
      <c r="B418" s="235"/>
      <c r="C418" s="236"/>
      <c r="D418" s="237"/>
      <c r="E418" s="238"/>
      <c r="F418" s="234"/>
      <c r="G418"/>
      <c r="H418"/>
      <c r="I418"/>
      <c r="J418"/>
      <c r="K418"/>
      <c r="L418"/>
      <c r="M418"/>
      <c r="N418"/>
      <c r="O418"/>
      <c r="P418"/>
      <c r="Q418"/>
      <c r="R418"/>
      <c r="S418"/>
      <c r="T418"/>
      <c r="U418"/>
      <c r="V418"/>
      <c r="W418"/>
    </row>
    <row r="419" spans="2:23" outlineLevel="1">
      <c r="B419" s="230"/>
      <c r="C419" s="231"/>
      <c r="D419" s="232"/>
      <c r="E419" s="233"/>
      <c r="F419" s="234"/>
      <c r="G419"/>
      <c r="H419"/>
      <c r="I419"/>
      <c r="J419"/>
      <c r="K419"/>
      <c r="L419"/>
      <c r="M419"/>
      <c r="N419"/>
      <c r="O419"/>
      <c r="P419"/>
      <c r="Q419"/>
      <c r="R419"/>
      <c r="S419"/>
      <c r="T419"/>
      <c r="U419"/>
      <c r="V419"/>
      <c r="W419"/>
    </row>
    <row r="420" spans="2:23" outlineLevel="1">
      <c r="B420" s="235"/>
      <c r="C420" s="236"/>
      <c r="D420" s="237"/>
      <c r="E420" s="238"/>
      <c r="F420" s="234"/>
      <c r="G420"/>
      <c r="H420"/>
      <c r="I420"/>
      <c r="J420"/>
      <c r="K420"/>
      <c r="L420"/>
      <c r="M420"/>
      <c r="N420"/>
      <c r="O420"/>
      <c r="P420"/>
      <c r="Q420"/>
      <c r="R420"/>
      <c r="S420"/>
      <c r="T420"/>
      <c r="U420"/>
      <c r="V420"/>
      <c r="W420"/>
    </row>
    <row r="421" spans="2:23" outlineLevel="1">
      <c r="B421" s="230"/>
      <c r="C421" s="231"/>
      <c r="D421" s="232"/>
      <c r="E421" s="233"/>
      <c r="F421" s="234"/>
      <c r="G421"/>
      <c r="H421"/>
      <c r="I421"/>
      <c r="J421"/>
      <c r="K421"/>
      <c r="L421"/>
      <c r="M421"/>
      <c r="N421"/>
      <c r="O421"/>
      <c r="P421"/>
      <c r="Q421"/>
      <c r="R421"/>
      <c r="S421"/>
      <c r="T421"/>
      <c r="U421"/>
      <c r="V421"/>
      <c r="W421"/>
    </row>
    <row r="422" spans="2:23" outlineLevel="1">
      <c r="B422" s="235"/>
      <c r="C422" s="236"/>
      <c r="D422" s="237"/>
      <c r="E422" s="238"/>
      <c r="F422" s="234"/>
      <c r="G422"/>
      <c r="H422"/>
      <c r="I422"/>
      <c r="J422"/>
      <c r="K422"/>
      <c r="L422"/>
      <c r="M422"/>
      <c r="N422"/>
      <c r="O422"/>
      <c r="P422"/>
      <c r="Q422"/>
      <c r="R422"/>
      <c r="S422"/>
      <c r="T422"/>
      <c r="U422"/>
      <c r="V422"/>
      <c r="W422"/>
    </row>
    <row r="423" spans="2:23" outlineLevel="1">
      <c r="B423" s="230"/>
      <c r="C423" s="231"/>
      <c r="D423" s="232"/>
      <c r="E423" s="233"/>
      <c r="F423" s="234"/>
      <c r="G423"/>
      <c r="H423"/>
      <c r="I423"/>
      <c r="J423"/>
      <c r="K423"/>
      <c r="L423"/>
      <c r="M423"/>
      <c r="N423"/>
      <c r="O423"/>
      <c r="P423"/>
      <c r="Q423"/>
      <c r="R423"/>
      <c r="S423"/>
      <c r="T423"/>
      <c r="U423"/>
      <c r="V423"/>
      <c r="W423"/>
    </row>
    <row r="424" spans="2:23" outlineLevel="1">
      <c r="B424" s="235"/>
      <c r="C424" s="236"/>
      <c r="D424" s="237"/>
      <c r="E424" s="238"/>
      <c r="F424" s="234"/>
      <c r="G424"/>
      <c r="H424"/>
      <c r="I424"/>
      <c r="J424"/>
      <c r="K424"/>
      <c r="L424"/>
      <c r="M424"/>
      <c r="N424"/>
      <c r="O424"/>
      <c r="P424"/>
      <c r="Q424"/>
      <c r="R424"/>
      <c r="S424"/>
      <c r="T424"/>
      <c r="U424"/>
      <c r="V424"/>
      <c r="W424"/>
    </row>
    <row r="425" spans="2:23" outlineLevel="1">
      <c r="B425" s="230"/>
      <c r="C425" s="231"/>
      <c r="D425" s="232"/>
      <c r="E425" s="233"/>
      <c r="F425" s="234"/>
      <c r="G425"/>
      <c r="H425"/>
      <c r="I425"/>
      <c r="J425"/>
      <c r="K425"/>
      <c r="L425"/>
      <c r="M425"/>
      <c r="N425"/>
      <c r="O425"/>
      <c r="P425"/>
      <c r="Q425"/>
      <c r="R425"/>
      <c r="S425"/>
      <c r="T425"/>
      <c r="U425"/>
      <c r="V425"/>
      <c r="W425"/>
    </row>
    <row r="426" spans="2:23" outlineLevel="1">
      <c r="B426" s="235"/>
      <c r="C426" s="236"/>
      <c r="D426" s="237"/>
      <c r="E426" s="238"/>
      <c r="F426" s="234"/>
      <c r="G426"/>
      <c r="H426"/>
      <c r="I426"/>
      <c r="J426"/>
      <c r="K426"/>
      <c r="L426"/>
      <c r="M426"/>
      <c r="N426"/>
      <c r="O426"/>
      <c r="P426"/>
      <c r="Q426"/>
      <c r="R426"/>
      <c r="S426"/>
      <c r="T426"/>
      <c r="U426"/>
      <c r="V426"/>
      <c r="W426"/>
    </row>
    <row r="427" spans="2:23" outlineLevel="1">
      <c r="B427" s="230"/>
      <c r="C427" s="231"/>
      <c r="D427" s="232"/>
      <c r="E427" s="233"/>
      <c r="F427" s="234"/>
      <c r="G427"/>
      <c r="H427"/>
      <c r="I427"/>
      <c r="J427"/>
      <c r="K427"/>
      <c r="L427"/>
      <c r="M427"/>
      <c r="N427"/>
      <c r="O427"/>
      <c r="P427"/>
      <c r="Q427"/>
      <c r="R427"/>
      <c r="S427"/>
      <c r="T427"/>
      <c r="U427"/>
      <c r="V427"/>
      <c r="W427"/>
    </row>
    <row r="428" spans="2:23" outlineLevel="1">
      <c r="B428" s="235"/>
      <c r="C428" s="236"/>
      <c r="D428" s="237"/>
      <c r="E428" s="238"/>
      <c r="F428" s="234"/>
      <c r="G428"/>
      <c r="H428"/>
      <c r="I428"/>
      <c r="J428"/>
      <c r="K428"/>
      <c r="L428"/>
      <c r="M428"/>
      <c r="N428"/>
      <c r="O428"/>
      <c r="P428"/>
      <c r="Q428"/>
      <c r="R428"/>
      <c r="S428"/>
      <c r="T428"/>
      <c r="U428"/>
      <c r="V428"/>
      <c r="W428"/>
    </row>
    <row r="429" spans="2:23" outlineLevel="1">
      <c r="B429" s="230"/>
      <c r="C429" s="231"/>
      <c r="D429" s="232"/>
      <c r="E429" s="233"/>
      <c r="F429" s="234"/>
      <c r="G429"/>
      <c r="H429"/>
      <c r="I429"/>
      <c r="J429"/>
      <c r="K429"/>
      <c r="L429"/>
      <c r="M429"/>
      <c r="N429"/>
      <c r="O429"/>
      <c r="P429"/>
      <c r="Q429"/>
      <c r="R429"/>
      <c r="S429"/>
      <c r="T429"/>
      <c r="U429"/>
      <c r="V429"/>
      <c r="W429"/>
    </row>
    <row r="430" spans="2:23" outlineLevel="1">
      <c r="B430" s="235"/>
      <c r="C430" s="236"/>
      <c r="D430" s="237"/>
      <c r="E430" s="238"/>
      <c r="F430" s="234"/>
      <c r="G430"/>
      <c r="H430"/>
      <c r="I430"/>
      <c r="J430"/>
      <c r="K430"/>
      <c r="L430"/>
      <c r="M430"/>
      <c r="N430"/>
      <c r="O430"/>
      <c r="P430"/>
      <c r="Q430"/>
      <c r="R430"/>
      <c r="S430"/>
      <c r="T430"/>
      <c r="U430"/>
      <c r="V430"/>
      <c r="W430"/>
    </row>
    <row r="431" spans="2:23" outlineLevel="1">
      <c r="B431" s="230"/>
      <c r="C431" s="231"/>
      <c r="D431" s="232"/>
      <c r="E431" s="233"/>
      <c r="F431" s="234"/>
      <c r="G431"/>
      <c r="H431"/>
      <c r="I431"/>
      <c r="J431"/>
      <c r="K431"/>
      <c r="L431"/>
      <c r="M431"/>
      <c r="N431"/>
      <c r="O431"/>
      <c r="P431"/>
      <c r="Q431"/>
      <c r="R431"/>
      <c r="S431"/>
      <c r="T431"/>
      <c r="U431"/>
      <c r="V431"/>
      <c r="W431"/>
    </row>
    <row r="432" spans="2:23" outlineLevel="1">
      <c r="B432" s="235"/>
      <c r="C432" s="236"/>
      <c r="D432" s="237"/>
      <c r="E432" s="238"/>
      <c r="F432" s="234"/>
      <c r="G432"/>
      <c r="H432"/>
      <c r="I432"/>
      <c r="J432"/>
      <c r="K432"/>
      <c r="L432"/>
      <c r="M432"/>
      <c r="N432"/>
      <c r="O432"/>
      <c r="P432"/>
      <c r="Q432"/>
      <c r="R432"/>
      <c r="S432"/>
      <c r="T432"/>
      <c r="U432"/>
      <c r="V432"/>
      <c r="W432"/>
    </row>
    <row r="433" spans="2:23" outlineLevel="1">
      <c r="B433" s="230"/>
      <c r="C433" s="231"/>
      <c r="D433" s="232"/>
      <c r="E433" s="233"/>
      <c r="F433" s="234"/>
      <c r="G433"/>
      <c r="H433"/>
      <c r="I433"/>
      <c r="J433"/>
      <c r="K433"/>
      <c r="L433"/>
      <c r="M433"/>
      <c r="N433"/>
      <c r="O433"/>
      <c r="P433"/>
      <c r="Q433"/>
      <c r="R433"/>
      <c r="S433"/>
      <c r="T433"/>
      <c r="U433"/>
      <c r="V433"/>
      <c r="W433"/>
    </row>
    <row r="434" spans="2:23" outlineLevel="1">
      <c r="B434" s="235"/>
      <c r="C434" s="236"/>
      <c r="D434" s="237"/>
      <c r="E434" s="238"/>
      <c r="F434" s="234"/>
      <c r="G434"/>
      <c r="H434"/>
      <c r="I434"/>
      <c r="J434"/>
      <c r="K434"/>
      <c r="L434"/>
      <c r="M434"/>
      <c r="N434"/>
      <c r="O434"/>
      <c r="P434"/>
      <c r="Q434"/>
      <c r="R434"/>
      <c r="S434"/>
      <c r="T434"/>
      <c r="U434"/>
      <c r="V434"/>
      <c r="W434"/>
    </row>
    <row r="435" spans="2:23" outlineLevel="1">
      <c r="B435" s="230"/>
      <c r="C435" s="231"/>
      <c r="D435" s="232"/>
      <c r="E435" s="233"/>
      <c r="F435" s="234"/>
      <c r="G435"/>
      <c r="H435"/>
      <c r="I435"/>
      <c r="J435"/>
      <c r="K435"/>
      <c r="L435"/>
      <c r="M435"/>
      <c r="N435"/>
      <c r="O435"/>
      <c r="P435"/>
      <c r="Q435"/>
      <c r="R435"/>
      <c r="S435"/>
      <c r="T435"/>
      <c r="U435"/>
      <c r="V435"/>
      <c r="W435"/>
    </row>
    <row r="436" spans="2:23" outlineLevel="1">
      <c r="B436" s="235"/>
      <c r="C436" s="236"/>
      <c r="D436" s="237"/>
      <c r="E436" s="238"/>
      <c r="F436" s="234"/>
      <c r="G436"/>
      <c r="H436"/>
      <c r="I436"/>
      <c r="J436"/>
      <c r="K436"/>
      <c r="L436"/>
      <c r="M436"/>
      <c r="N436"/>
      <c r="O436"/>
      <c r="P436"/>
      <c r="Q436"/>
      <c r="R436"/>
      <c r="S436"/>
      <c r="T436"/>
      <c r="U436"/>
      <c r="V436"/>
      <c r="W436"/>
    </row>
    <row r="437" spans="2:23" outlineLevel="1">
      <c r="B437" s="230"/>
      <c r="C437" s="231"/>
      <c r="D437" s="232"/>
      <c r="E437" s="233"/>
      <c r="F437" s="234"/>
      <c r="G437"/>
      <c r="H437"/>
      <c r="I437"/>
      <c r="J437"/>
      <c r="K437"/>
      <c r="L437"/>
      <c r="M437"/>
      <c r="N437"/>
      <c r="O437"/>
      <c r="P437"/>
      <c r="Q437"/>
      <c r="R437"/>
      <c r="S437"/>
      <c r="T437"/>
      <c r="U437"/>
      <c r="V437"/>
      <c r="W437"/>
    </row>
    <row r="438" spans="2:23" outlineLevel="1">
      <c r="B438" s="235"/>
      <c r="C438" s="236"/>
      <c r="D438" s="237"/>
      <c r="E438" s="238"/>
      <c r="F438" s="234"/>
      <c r="G438"/>
      <c r="H438"/>
      <c r="I438"/>
      <c r="J438"/>
      <c r="K438"/>
      <c r="L438"/>
      <c r="M438"/>
      <c r="N438"/>
      <c r="O438"/>
      <c r="P438"/>
      <c r="Q438"/>
      <c r="R438"/>
      <c r="S438"/>
      <c r="T438"/>
      <c r="U438"/>
      <c r="V438"/>
      <c r="W438"/>
    </row>
    <row r="439" spans="2:23" outlineLevel="1">
      <c r="B439" s="230"/>
      <c r="C439" s="231"/>
      <c r="D439" s="232"/>
      <c r="E439" s="233"/>
      <c r="F439" s="234"/>
      <c r="G439"/>
      <c r="H439"/>
      <c r="I439"/>
      <c r="J439"/>
      <c r="K439"/>
      <c r="L439"/>
      <c r="M439"/>
      <c r="N439"/>
      <c r="O439"/>
      <c r="P439"/>
      <c r="Q439"/>
      <c r="R439"/>
      <c r="S439"/>
      <c r="T439"/>
      <c r="U439"/>
      <c r="V439"/>
      <c r="W439"/>
    </row>
    <row r="440" spans="2:23" outlineLevel="1">
      <c r="B440" s="235"/>
      <c r="C440" s="236"/>
      <c r="D440" s="237"/>
      <c r="E440" s="238"/>
      <c r="F440" s="234"/>
      <c r="G440"/>
      <c r="H440"/>
      <c r="I440"/>
      <c r="J440"/>
      <c r="K440"/>
      <c r="L440"/>
      <c r="M440"/>
      <c r="N440"/>
      <c r="O440"/>
      <c r="P440"/>
      <c r="Q440"/>
      <c r="R440"/>
      <c r="S440"/>
      <c r="T440"/>
      <c r="U440"/>
      <c r="V440"/>
      <c r="W440"/>
    </row>
    <row r="441" spans="2:23" outlineLevel="1">
      <c r="B441" s="230"/>
      <c r="C441" s="231"/>
      <c r="D441" s="232"/>
      <c r="E441" s="233"/>
      <c r="F441" s="234"/>
      <c r="G441"/>
      <c r="H441"/>
      <c r="I441"/>
      <c r="J441"/>
      <c r="K441"/>
      <c r="L441"/>
      <c r="M441"/>
      <c r="N441"/>
      <c r="O441"/>
      <c r="P441"/>
      <c r="Q441"/>
      <c r="R441"/>
      <c r="S441"/>
      <c r="T441"/>
      <c r="U441"/>
      <c r="V441"/>
      <c r="W441"/>
    </row>
    <row r="442" spans="2:23" outlineLevel="1">
      <c r="B442" s="235"/>
      <c r="C442" s="236"/>
      <c r="D442" s="237"/>
      <c r="E442" s="238"/>
      <c r="F442" s="234"/>
      <c r="G442"/>
      <c r="H442"/>
      <c r="I442"/>
      <c r="J442"/>
      <c r="K442"/>
      <c r="L442"/>
      <c r="M442"/>
      <c r="N442"/>
      <c r="O442"/>
      <c r="P442"/>
      <c r="Q442"/>
      <c r="R442"/>
      <c r="S442"/>
      <c r="T442"/>
      <c r="U442"/>
      <c r="V442"/>
      <c r="W442"/>
    </row>
    <row r="443" spans="2:23" outlineLevel="1">
      <c r="B443" s="230"/>
      <c r="C443" s="231"/>
      <c r="D443" s="232"/>
      <c r="E443" s="233"/>
      <c r="F443" s="234"/>
      <c r="G443"/>
      <c r="H443"/>
      <c r="I443"/>
      <c r="J443"/>
      <c r="K443"/>
      <c r="L443"/>
      <c r="M443"/>
      <c r="N443"/>
      <c r="O443"/>
      <c r="P443"/>
      <c r="Q443"/>
      <c r="R443"/>
      <c r="S443"/>
      <c r="T443"/>
      <c r="U443"/>
      <c r="V443"/>
      <c r="W443"/>
    </row>
    <row r="444" spans="2:23" outlineLevel="1">
      <c r="B444" s="235"/>
      <c r="C444" s="236"/>
      <c r="D444" s="237"/>
      <c r="E444" s="238"/>
      <c r="F444" s="234"/>
      <c r="G444"/>
      <c r="H444"/>
      <c r="I444"/>
      <c r="J444"/>
      <c r="K444"/>
      <c r="L444"/>
      <c r="M444"/>
      <c r="N444"/>
      <c r="O444"/>
      <c r="P444"/>
      <c r="Q444"/>
      <c r="R444"/>
      <c r="S444"/>
      <c r="T444"/>
      <c r="U444"/>
      <c r="V444"/>
      <c r="W444"/>
    </row>
    <row r="445" spans="2:23" outlineLevel="1">
      <c r="B445" s="230"/>
      <c r="C445" s="231"/>
      <c r="D445" s="232"/>
      <c r="E445" s="233"/>
      <c r="F445" s="234"/>
      <c r="G445"/>
      <c r="H445"/>
      <c r="I445"/>
      <c r="J445"/>
      <c r="K445"/>
      <c r="L445"/>
      <c r="M445"/>
      <c r="N445"/>
      <c r="O445"/>
      <c r="P445"/>
      <c r="Q445"/>
      <c r="R445"/>
      <c r="S445"/>
      <c r="T445"/>
      <c r="U445"/>
      <c r="V445"/>
      <c r="W445"/>
    </row>
    <row r="446" spans="2:23" outlineLevel="1">
      <c r="B446" s="235"/>
      <c r="C446" s="236"/>
      <c r="D446" s="237"/>
      <c r="E446" s="238"/>
      <c r="F446" s="234"/>
      <c r="G446"/>
      <c r="H446"/>
      <c r="I446"/>
      <c r="J446"/>
      <c r="K446"/>
      <c r="L446"/>
      <c r="M446"/>
      <c r="N446"/>
      <c r="O446"/>
      <c r="P446"/>
      <c r="Q446"/>
      <c r="R446"/>
      <c r="S446"/>
      <c r="T446"/>
      <c r="U446"/>
      <c r="V446"/>
      <c r="W446"/>
    </row>
    <row r="447" spans="2:23" outlineLevel="1">
      <c r="B447" s="230"/>
      <c r="C447" s="231"/>
      <c r="D447" s="232"/>
      <c r="E447" s="233"/>
      <c r="F447" s="234"/>
      <c r="G447"/>
      <c r="H447"/>
      <c r="I447"/>
      <c r="J447"/>
      <c r="K447"/>
      <c r="L447"/>
      <c r="M447"/>
      <c r="N447"/>
      <c r="O447"/>
      <c r="P447"/>
      <c r="Q447"/>
      <c r="R447"/>
      <c r="S447"/>
      <c r="T447"/>
      <c r="U447"/>
      <c r="V447"/>
      <c r="W447"/>
    </row>
    <row r="448" spans="2:23" outlineLevel="1">
      <c r="B448" s="235"/>
      <c r="C448" s="236"/>
      <c r="D448" s="237"/>
      <c r="E448" s="238"/>
      <c r="F448" s="234"/>
      <c r="G448"/>
      <c r="H448"/>
      <c r="I448"/>
      <c r="J448"/>
      <c r="K448"/>
      <c r="L448"/>
      <c r="M448"/>
      <c r="N448"/>
      <c r="O448"/>
      <c r="P448"/>
      <c r="Q448"/>
      <c r="R448"/>
      <c r="S448"/>
      <c r="T448"/>
      <c r="U448"/>
      <c r="V448"/>
      <c r="W448"/>
    </row>
    <row r="449" spans="2:23" outlineLevel="1">
      <c r="B449" s="230"/>
      <c r="C449" s="231"/>
      <c r="D449" s="232"/>
      <c r="E449" s="233"/>
      <c r="F449" s="234"/>
      <c r="G449"/>
      <c r="H449"/>
      <c r="I449"/>
      <c r="J449"/>
      <c r="K449"/>
      <c r="L449"/>
      <c r="M449"/>
      <c r="N449"/>
      <c r="O449"/>
      <c r="P449"/>
      <c r="Q449"/>
      <c r="R449"/>
      <c r="S449"/>
      <c r="T449"/>
      <c r="U449"/>
      <c r="V449"/>
      <c r="W449"/>
    </row>
    <row r="450" spans="2:23" outlineLevel="1">
      <c r="B450" s="235"/>
      <c r="C450" s="236"/>
      <c r="D450" s="237"/>
      <c r="E450" s="238"/>
      <c r="F450" s="234"/>
      <c r="G450"/>
      <c r="H450"/>
      <c r="I450"/>
      <c r="J450"/>
      <c r="K450"/>
      <c r="L450"/>
      <c r="M450"/>
      <c r="N450"/>
      <c r="O450"/>
      <c r="P450"/>
      <c r="Q450"/>
      <c r="R450"/>
      <c r="S450"/>
      <c r="T450"/>
      <c r="U450"/>
      <c r="V450"/>
      <c r="W450"/>
    </row>
    <row r="451" spans="2:23" outlineLevel="1">
      <c r="B451" s="230"/>
      <c r="C451" s="231"/>
      <c r="D451" s="232"/>
      <c r="E451" s="233"/>
      <c r="F451" s="234"/>
      <c r="G451"/>
      <c r="H451"/>
      <c r="I451"/>
      <c r="J451"/>
      <c r="K451"/>
      <c r="L451"/>
      <c r="M451"/>
      <c r="N451"/>
      <c r="O451"/>
      <c r="P451"/>
      <c r="Q451"/>
      <c r="R451"/>
      <c r="S451"/>
      <c r="T451"/>
      <c r="U451"/>
      <c r="V451"/>
      <c r="W451"/>
    </row>
    <row r="452" spans="2:23" outlineLevel="1">
      <c r="B452" s="235"/>
      <c r="C452" s="236"/>
      <c r="D452" s="237"/>
      <c r="E452" s="238"/>
      <c r="F452" s="234"/>
      <c r="G452"/>
      <c r="H452"/>
      <c r="I452"/>
      <c r="J452"/>
      <c r="K452"/>
      <c r="L452"/>
      <c r="M452"/>
      <c r="N452"/>
      <c r="O452"/>
      <c r="P452"/>
      <c r="Q452"/>
      <c r="R452"/>
      <c r="S452"/>
      <c r="T452"/>
      <c r="U452"/>
      <c r="V452"/>
      <c r="W452"/>
    </row>
    <row r="453" spans="2:23" outlineLevel="1">
      <c r="B453" s="230"/>
      <c r="C453" s="231"/>
      <c r="D453" s="232"/>
      <c r="E453" s="233"/>
      <c r="F453" s="234"/>
      <c r="G453"/>
      <c r="H453"/>
      <c r="I453"/>
      <c r="J453"/>
      <c r="K453"/>
      <c r="L453"/>
      <c r="M453"/>
      <c r="N453"/>
      <c r="O453"/>
      <c r="P453"/>
      <c r="Q453"/>
      <c r="R453"/>
      <c r="S453"/>
      <c r="T453"/>
      <c r="U453"/>
      <c r="V453"/>
      <c r="W453"/>
    </row>
    <row r="454" spans="2:23" outlineLevel="1">
      <c r="B454" s="235"/>
      <c r="C454" s="236"/>
      <c r="D454" s="237"/>
      <c r="E454" s="238"/>
      <c r="F454" s="234"/>
      <c r="G454"/>
      <c r="H454"/>
      <c r="I454"/>
      <c r="J454"/>
      <c r="K454"/>
      <c r="L454"/>
      <c r="M454"/>
      <c r="N454"/>
      <c r="O454"/>
      <c r="P454"/>
      <c r="Q454"/>
      <c r="R454"/>
      <c r="S454"/>
      <c r="T454"/>
      <c r="U454"/>
      <c r="V454"/>
      <c r="W454"/>
    </row>
    <row r="455" spans="2:23" outlineLevel="1">
      <c r="B455" s="230"/>
      <c r="C455" s="231"/>
      <c r="D455" s="232"/>
      <c r="E455" s="233"/>
      <c r="F455" s="234"/>
      <c r="G455"/>
      <c r="H455"/>
      <c r="I455"/>
      <c r="J455"/>
      <c r="K455"/>
      <c r="L455"/>
      <c r="M455"/>
      <c r="N455"/>
      <c r="O455"/>
      <c r="P455"/>
      <c r="Q455"/>
      <c r="R455"/>
      <c r="S455"/>
      <c r="T455"/>
      <c r="U455"/>
      <c r="V455"/>
      <c r="W455"/>
    </row>
    <row r="456" spans="2:23" outlineLevel="1">
      <c r="B456" s="235"/>
      <c r="C456" s="236"/>
      <c r="D456" s="237"/>
      <c r="E456" s="238"/>
      <c r="F456" s="234"/>
      <c r="G456"/>
      <c r="H456"/>
      <c r="I456"/>
      <c r="J456"/>
      <c r="K456"/>
      <c r="L456"/>
      <c r="M456"/>
      <c r="N456"/>
      <c r="O456"/>
      <c r="P456"/>
      <c r="Q456"/>
      <c r="R456"/>
      <c r="S456"/>
      <c r="T456"/>
      <c r="U456"/>
      <c r="V456"/>
      <c r="W456"/>
    </row>
    <row r="457" spans="2:23" outlineLevel="1">
      <c r="B457" s="230"/>
      <c r="C457" s="231"/>
      <c r="D457" s="232"/>
      <c r="E457" s="233"/>
      <c r="F457" s="234"/>
      <c r="G457"/>
      <c r="H457"/>
      <c r="I457"/>
      <c r="J457"/>
      <c r="K457"/>
      <c r="L457"/>
      <c r="M457"/>
      <c r="N457"/>
      <c r="O457"/>
      <c r="P457"/>
      <c r="Q457"/>
      <c r="R457"/>
      <c r="S457"/>
      <c r="T457"/>
      <c r="U457"/>
      <c r="V457"/>
      <c r="W457"/>
    </row>
    <row r="458" spans="2:23" outlineLevel="1">
      <c r="B458" s="235"/>
      <c r="C458" s="236"/>
      <c r="D458" s="237"/>
      <c r="E458" s="238"/>
      <c r="F458" s="234"/>
      <c r="G458"/>
      <c r="H458"/>
      <c r="I458"/>
      <c r="J458"/>
      <c r="K458"/>
      <c r="L458"/>
      <c r="M458"/>
      <c r="N458"/>
      <c r="O458"/>
      <c r="P458"/>
      <c r="Q458"/>
      <c r="R458"/>
      <c r="S458"/>
      <c r="T458"/>
      <c r="U458"/>
      <c r="V458"/>
      <c r="W458"/>
    </row>
    <row r="459" spans="2:23" outlineLevel="1">
      <c r="B459" s="230"/>
      <c r="C459" s="231"/>
      <c r="D459" s="232"/>
      <c r="E459" s="233"/>
      <c r="F459" s="234"/>
      <c r="G459"/>
      <c r="H459"/>
      <c r="I459"/>
      <c r="J459"/>
      <c r="K459"/>
      <c r="L459"/>
      <c r="M459"/>
      <c r="N459"/>
      <c r="O459"/>
      <c r="P459"/>
      <c r="Q459"/>
      <c r="R459"/>
      <c r="S459"/>
      <c r="T459"/>
      <c r="U459"/>
      <c r="V459"/>
      <c r="W459"/>
    </row>
    <row r="460" spans="2:23" outlineLevel="1">
      <c r="B460" s="235"/>
      <c r="C460" s="236"/>
      <c r="D460" s="237"/>
      <c r="E460" s="238"/>
      <c r="F460" s="234"/>
      <c r="G460"/>
      <c r="H460"/>
      <c r="I460"/>
      <c r="J460"/>
      <c r="K460"/>
      <c r="L460"/>
      <c r="M460"/>
      <c r="N460"/>
      <c r="O460"/>
      <c r="P460"/>
      <c r="Q460"/>
      <c r="R460"/>
      <c r="S460"/>
      <c r="T460"/>
      <c r="U460"/>
      <c r="V460"/>
      <c r="W460"/>
    </row>
    <row r="461" spans="2:23" outlineLevel="1">
      <c r="B461" s="230"/>
      <c r="C461" s="231"/>
      <c r="D461" s="232"/>
      <c r="E461" s="233"/>
      <c r="F461" s="234"/>
      <c r="G461"/>
      <c r="H461"/>
      <c r="I461"/>
      <c r="J461"/>
      <c r="K461"/>
      <c r="L461"/>
      <c r="M461"/>
      <c r="N461"/>
      <c r="O461"/>
      <c r="P461"/>
      <c r="Q461"/>
      <c r="R461"/>
      <c r="S461"/>
      <c r="T461"/>
      <c r="U461"/>
      <c r="V461"/>
      <c r="W461"/>
    </row>
    <row r="462" spans="2:23" outlineLevel="1">
      <c r="B462" s="235"/>
      <c r="C462" s="236"/>
      <c r="D462" s="237"/>
      <c r="E462" s="238"/>
      <c r="F462" s="234"/>
      <c r="G462"/>
      <c r="H462"/>
      <c r="I462"/>
      <c r="J462"/>
      <c r="K462"/>
      <c r="L462"/>
      <c r="M462"/>
      <c r="N462"/>
      <c r="O462"/>
      <c r="P462"/>
      <c r="Q462"/>
      <c r="R462"/>
      <c r="S462"/>
      <c r="T462"/>
      <c r="U462"/>
      <c r="V462"/>
      <c r="W462"/>
    </row>
    <row r="463" spans="2:23" outlineLevel="1">
      <c r="B463" s="230"/>
      <c r="C463" s="231"/>
      <c r="D463" s="232"/>
      <c r="E463" s="233"/>
      <c r="F463" s="234"/>
      <c r="G463"/>
      <c r="H463"/>
      <c r="I463"/>
      <c r="J463"/>
      <c r="K463"/>
      <c r="L463"/>
      <c r="M463"/>
      <c r="N463"/>
      <c r="O463"/>
      <c r="P463"/>
      <c r="Q463"/>
      <c r="R463"/>
      <c r="S463"/>
      <c r="T463"/>
      <c r="U463"/>
      <c r="V463"/>
      <c r="W463"/>
    </row>
    <row r="464" spans="2:23" outlineLevel="1">
      <c r="B464" s="235"/>
      <c r="C464" s="236"/>
      <c r="D464" s="237"/>
      <c r="E464" s="238"/>
      <c r="F464" s="234"/>
      <c r="G464"/>
      <c r="H464"/>
      <c r="I464"/>
      <c r="J464"/>
      <c r="K464"/>
      <c r="L464"/>
      <c r="M464"/>
      <c r="N464"/>
      <c r="O464"/>
      <c r="P464"/>
      <c r="Q464"/>
      <c r="R464"/>
      <c r="S464"/>
      <c r="T464"/>
      <c r="U464"/>
      <c r="V464"/>
      <c r="W464"/>
    </row>
    <row r="465" spans="2:23" outlineLevel="1">
      <c r="B465" s="230"/>
      <c r="C465" s="231"/>
      <c r="D465" s="232"/>
      <c r="E465" s="233"/>
      <c r="F465" s="234"/>
      <c r="G465"/>
      <c r="H465"/>
      <c r="I465"/>
      <c r="J465"/>
      <c r="K465"/>
      <c r="L465"/>
      <c r="M465"/>
      <c r="N465"/>
      <c r="O465"/>
      <c r="P465"/>
      <c r="Q465"/>
      <c r="R465"/>
      <c r="S465"/>
      <c r="T465"/>
      <c r="U465"/>
      <c r="V465"/>
      <c r="W465"/>
    </row>
    <row r="466" spans="2:23" outlineLevel="1">
      <c r="B466" s="235"/>
      <c r="C466" s="236"/>
      <c r="D466" s="237"/>
      <c r="E466" s="238"/>
      <c r="F466" s="234"/>
      <c r="G466"/>
      <c r="H466"/>
      <c r="I466"/>
      <c r="J466"/>
      <c r="K466"/>
      <c r="L466"/>
      <c r="M466"/>
      <c r="N466"/>
      <c r="O466"/>
      <c r="P466"/>
      <c r="Q466"/>
      <c r="R466"/>
      <c r="S466"/>
      <c r="T466"/>
      <c r="U466"/>
      <c r="V466"/>
      <c r="W466"/>
    </row>
    <row r="467" spans="2:23" outlineLevel="1">
      <c r="B467" s="230"/>
      <c r="C467" s="231"/>
      <c r="D467" s="232"/>
      <c r="E467" s="233"/>
      <c r="F467" s="234"/>
      <c r="G467"/>
      <c r="H467"/>
      <c r="I467"/>
      <c r="J467"/>
      <c r="K467"/>
      <c r="L467"/>
      <c r="M467"/>
      <c r="N467"/>
      <c r="O467"/>
      <c r="P467"/>
      <c r="Q467"/>
      <c r="R467"/>
      <c r="S467"/>
      <c r="T467"/>
      <c r="U467"/>
      <c r="V467"/>
      <c r="W467"/>
    </row>
    <row r="468" spans="2:23" outlineLevel="1">
      <c r="B468" s="235"/>
      <c r="C468" s="236"/>
      <c r="D468" s="237"/>
      <c r="E468" s="238"/>
      <c r="F468" s="234"/>
      <c r="G468"/>
      <c r="H468"/>
      <c r="I468"/>
      <c r="J468"/>
      <c r="K468"/>
      <c r="L468"/>
      <c r="M468"/>
      <c r="N468"/>
      <c r="O468"/>
      <c r="P468"/>
      <c r="Q468"/>
      <c r="R468"/>
      <c r="S468"/>
      <c r="T468"/>
      <c r="U468"/>
      <c r="V468"/>
      <c r="W468"/>
    </row>
    <row r="469" spans="2:23" outlineLevel="1">
      <c r="B469" s="230"/>
      <c r="C469" s="231"/>
      <c r="D469" s="232"/>
      <c r="E469" s="233"/>
      <c r="F469" s="234"/>
      <c r="G469"/>
      <c r="H469"/>
      <c r="I469"/>
      <c r="J469"/>
      <c r="K469"/>
      <c r="L469"/>
      <c r="M469"/>
      <c r="N469"/>
      <c r="O469"/>
      <c r="P469"/>
      <c r="Q469"/>
      <c r="R469"/>
      <c r="S469"/>
      <c r="T469"/>
      <c r="U469"/>
      <c r="V469"/>
      <c r="W469"/>
    </row>
    <row r="470" spans="2:23" outlineLevel="1">
      <c r="B470" s="235"/>
      <c r="C470" s="236"/>
      <c r="D470" s="237"/>
      <c r="E470" s="238"/>
      <c r="F470" s="234"/>
      <c r="G470"/>
      <c r="H470"/>
      <c r="I470"/>
      <c r="J470"/>
      <c r="K470"/>
      <c r="L470"/>
      <c r="M470"/>
      <c r="N470"/>
      <c r="O470"/>
      <c r="P470"/>
      <c r="Q470"/>
      <c r="R470"/>
      <c r="S470"/>
      <c r="T470"/>
      <c r="U470"/>
      <c r="V470"/>
      <c r="W470"/>
    </row>
    <row r="471" spans="2:23" outlineLevel="1">
      <c r="B471" s="230"/>
      <c r="C471" s="231"/>
      <c r="D471" s="232"/>
      <c r="E471" s="233"/>
      <c r="F471" s="234"/>
      <c r="G471"/>
      <c r="H471"/>
      <c r="I471"/>
      <c r="J471"/>
      <c r="K471"/>
      <c r="L471"/>
      <c r="M471"/>
      <c r="N471"/>
      <c r="O471"/>
      <c r="P471"/>
      <c r="Q471"/>
      <c r="R471"/>
      <c r="S471"/>
      <c r="T471"/>
      <c r="U471"/>
      <c r="V471"/>
      <c r="W471"/>
    </row>
    <row r="472" spans="2:23" outlineLevel="1">
      <c r="B472" s="235"/>
      <c r="C472" s="236"/>
      <c r="D472" s="237"/>
      <c r="E472" s="238"/>
      <c r="F472" s="234"/>
      <c r="G472"/>
      <c r="H472"/>
      <c r="I472"/>
      <c r="J472"/>
      <c r="K472"/>
      <c r="L472"/>
      <c r="M472"/>
      <c r="N472"/>
      <c r="O472"/>
      <c r="P472"/>
      <c r="Q472"/>
      <c r="R472"/>
      <c r="S472"/>
      <c r="T472"/>
      <c r="U472"/>
      <c r="V472"/>
      <c r="W472"/>
    </row>
    <row r="473" spans="2:23" outlineLevel="1">
      <c r="B473" s="230"/>
      <c r="C473" s="231"/>
      <c r="D473" s="232"/>
      <c r="E473" s="233"/>
      <c r="F473" s="234"/>
      <c r="G473"/>
      <c r="H473"/>
      <c r="I473"/>
      <c r="J473"/>
      <c r="K473"/>
      <c r="L473"/>
      <c r="M473"/>
      <c r="N473"/>
      <c r="O473"/>
      <c r="P473"/>
      <c r="Q473"/>
      <c r="R473"/>
      <c r="S473"/>
      <c r="T473"/>
      <c r="U473"/>
      <c r="V473"/>
      <c r="W473"/>
    </row>
    <row r="474" spans="2:23" outlineLevel="1">
      <c r="B474" s="235"/>
      <c r="C474" s="236"/>
      <c r="D474" s="237"/>
      <c r="E474" s="238"/>
      <c r="F474" s="234"/>
      <c r="G474"/>
      <c r="H474"/>
      <c r="I474"/>
      <c r="J474"/>
      <c r="K474"/>
      <c r="L474"/>
      <c r="M474"/>
      <c r="N474"/>
      <c r="O474"/>
      <c r="P474"/>
      <c r="Q474"/>
      <c r="R474"/>
      <c r="S474"/>
      <c r="T474"/>
      <c r="U474"/>
      <c r="V474"/>
      <c r="W474"/>
    </row>
    <row r="475" spans="2:23" outlineLevel="1">
      <c r="B475" s="230"/>
      <c r="C475" s="231"/>
      <c r="D475" s="232"/>
      <c r="E475" s="233"/>
      <c r="F475" s="234"/>
      <c r="G475"/>
      <c r="H475"/>
      <c r="I475"/>
      <c r="J475"/>
      <c r="K475"/>
      <c r="L475"/>
      <c r="M475"/>
      <c r="N475"/>
      <c r="O475"/>
      <c r="P475"/>
      <c r="Q475"/>
      <c r="R475"/>
      <c r="S475"/>
      <c r="T475"/>
      <c r="U475"/>
      <c r="V475"/>
      <c r="W475"/>
    </row>
    <row r="476" spans="2:23" outlineLevel="1">
      <c r="B476" s="235"/>
      <c r="C476" s="236"/>
      <c r="D476" s="237"/>
      <c r="E476" s="238"/>
      <c r="F476" s="234"/>
      <c r="G476"/>
      <c r="H476"/>
      <c r="I476"/>
      <c r="J476"/>
      <c r="K476"/>
      <c r="L476"/>
      <c r="M476"/>
      <c r="N476"/>
      <c r="O476"/>
      <c r="P476"/>
      <c r="Q476"/>
      <c r="R476"/>
      <c r="S476"/>
      <c r="T476"/>
      <c r="U476"/>
      <c r="V476"/>
      <c r="W476"/>
    </row>
    <row r="477" spans="2:23" outlineLevel="1">
      <c r="B477" s="230"/>
      <c r="C477" s="231"/>
      <c r="D477" s="232"/>
      <c r="E477" s="233"/>
      <c r="F477" s="234"/>
      <c r="G477"/>
      <c r="H477"/>
      <c r="I477"/>
      <c r="J477"/>
      <c r="K477"/>
      <c r="L477"/>
      <c r="M477"/>
      <c r="N477"/>
      <c r="O477"/>
      <c r="P477"/>
      <c r="Q477"/>
      <c r="R477"/>
      <c r="S477"/>
      <c r="T477"/>
      <c r="U477"/>
      <c r="V477"/>
      <c r="W477"/>
    </row>
    <row r="478" spans="2:23" outlineLevel="1">
      <c r="B478" s="235"/>
      <c r="C478" s="236"/>
      <c r="D478" s="237"/>
      <c r="E478" s="238"/>
      <c r="F478" s="234"/>
      <c r="G478"/>
      <c r="H478"/>
      <c r="I478"/>
      <c r="J478"/>
      <c r="K478"/>
      <c r="L478"/>
      <c r="M478"/>
      <c r="N478"/>
      <c r="O478"/>
      <c r="P478"/>
      <c r="Q478"/>
      <c r="R478"/>
      <c r="S478"/>
      <c r="T478"/>
      <c r="U478"/>
      <c r="V478"/>
      <c r="W478"/>
    </row>
    <row r="479" spans="2:23" outlineLevel="1">
      <c r="B479" s="230"/>
      <c r="C479" s="231"/>
      <c r="D479" s="232"/>
      <c r="E479" s="233"/>
      <c r="F479" s="234"/>
      <c r="G479"/>
      <c r="H479"/>
      <c r="I479"/>
      <c r="J479"/>
      <c r="K479"/>
      <c r="L479"/>
      <c r="M479"/>
      <c r="N479"/>
      <c r="O479"/>
      <c r="P479"/>
      <c r="Q479"/>
      <c r="R479"/>
      <c r="S479"/>
      <c r="T479"/>
      <c r="U479"/>
      <c r="V479"/>
      <c r="W479"/>
    </row>
    <row r="480" spans="2:23" outlineLevel="1">
      <c r="B480" s="235"/>
      <c r="C480" s="236"/>
      <c r="D480" s="237"/>
      <c r="E480" s="238"/>
      <c r="F480" s="234"/>
      <c r="G480"/>
      <c r="H480"/>
      <c r="I480"/>
      <c r="J480"/>
      <c r="K480"/>
      <c r="L480"/>
      <c r="M480"/>
      <c r="N480"/>
      <c r="O480"/>
      <c r="P480"/>
      <c r="Q480"/>
      <c r="R480"/>
      <c r="S480"/>
      <c r="T480"/>
      <c r="U480"/>
      <c r="V480"/>
      <c r="W480"/>
    </row>
    <row r="481" spans="2:23" outlineLevel="1">
      <c r="B481" s="230"/>
      <c r="C481" s="231"/>
      <c r="D481" s="232"/>
      <c r="E481" s="233"/>
      <c r="F481" s="234"/>
      <c r="G481"/>
      <c r="H481"/>
      <c r="I481"/>
      <c r="J481"/>
      <c r="K481"/>
      <c r="L481"/>
      <c r="M481"/>
      <c r="N481"/>
      <c r="O481"/>
      <c r="P481"/>
      <c r="Q481"/>
      <c r="R481"/>
      <c r="S481"/>
      <c r="T481"/>
      <c r="U481"/>
      <c r="V481"/>
      <c r="W481"/>
    </row>
    <row r="482" spans="2:23" outlineLevel="1">
      <c r="B482" s="235"/>
      <c r="C482" s="236"/>
      <c r="D482" s="237"/>
      <c r="E482" s="238"/>
      <c r="F482" s="234"/>
      <c r="G482"/>
      <c r="H482"/>
      <c r="I482"/>
      <c r="J482"/>
      <c r="K482"/>
      <c r="L482"/>
      <c r="M482"/>
      <c r="N482"/>
      <c r="O482"/>
      <c r="P482"/>
      <c r="Q482"/>
      <c r="R482"/>
      <c r="S482"/>
      <c r="T482"/>
      <c r="U482"/>
      <c r="V482"/>
      <c r="W482"/>
    </row>
    <row r="483" spans="2:23" outlineLevel="1">
      <c r="B483" s="230"/>
      <c r="C483" s="231"/>
      <c r="D483" s="232"/>
      <c r="E483" s="233"/>
      <c r="F483" s="234"/>
      <c r="G483"/>
      <c r="H483"/>
      <c r="I483"/>
      <c r="J483"/>
      <c r="K483"/>
      <c r="L483"/>
      <c r="M483"/>
      <c r="N483"/>
      <c r="O483"/>
      <c r="P483"/>
      <c r="Q483"/>
      <c r="R483"/>
      <c r="S483"/>
      <c r="T483"/>
      <c r="U483"/>
      <c r="V483"/>
      <c r="W483"/>
    </row>
    <row r="484" spans="2:23" outlineLevel="1">
      <c r="B484" s="235"/>
      <c r="C484" s="236"/>
      <c r="D484" s="237"/>
      <c r="E484" s="238"/>
      <c r="F484" s="234"/>
      <c r="G484"/>
      <c r="H484"/>
      <c r="I484"/>
      <c r="J484"/>
      <c r="K484"/>
      <c r="L484"/>
      <c r="M484"/>
      <c r="N484"/>
      <c r="O484"/>
      <c r="P484"/>
      <c r="Q484"/>
      <c r="R484"/>
      <c r="S484"/>
      <c r="T484"/>
      <c r="U484"/>
      <c r="V484"/>
      <c r="W484"/>
    </row>
    <row r="485" spans="2:23" outlineLevel="1">
      <c r="B485" s="230"/>
      <c r="C485" s="231"/>
      <c r="D485" s="232"/>
      <c r="E485" s="233"/>
      <c r="F485" s="234"/>
      <c r="G485"/>
      <c r="H485"/>
      <c r="I485"/>
      <c r="J485"/>
      <c r="K485"/>
      <c r="L485"/>
      <c r="M485"/>
      <c r="N485"/>
      <c r="O485"/>
      <c r="P485"/>
      <c r="Q485"/>
      <c r="R485"/>
      <c r="S485"/>
      <c r="T485"/>
      <c r="U485"/>
      <c r="V485"/>
      <c r="W485"/>
    </row>
    <row r="486" spans="2:23" outlineLevel="1">
      <c r="B486" s="235"/>
      <c r="C486" s="236"/>
      <c r="D486" s="237"/>
      <c r="E486" s="238"/>
      <c r="F486" s="234"/>
      <c r="G486"/>
      <c r="H486"/>
      <c r="I486"/>
      <c r="J486"/>
      <c r="K486"/>
      <c r="L486"/>
      <c r="M486"/>
      <c r="N486"/>
      <c r="O486"/>
      <c r="P486"/>
      <c r="Q486"/>
      <c r="R486"/>
      <c r="S486"/>
      <c r="T486"/>
      <c r="U486"/>
      <c r="V486"/>
      <c r="W486"/>
    </row>
    <row r="487" spans="2:23" outlineLevel="1">
      <c r="B487" s="230"/>
      <c r="C487" s="231"/>
      <c r="D487" s="232"/>
      <c r="E487" s="233"/>
      <c r="F487" s="234"/>
      <c r="G487"/>
      <c r="H487"/>
      <c r="I487"/>
      <c r="J487"/>
      <c r="K487"/>
      <c r="L487"/>
      <c r="M487"/>
      <c r="N487"/>
      <c r="O487"/>
      <c r="P487"/>
      <c r="Q487"/>
      <c r="R487"/>
      <c r="S487"/>
      <c r="T487"/>
      <c r="U487"/>
      <c r="V487"/>
      <c r="W487"/>
    </row>
    <row r="488" spans="2:23" outlineLevel="1">
      <c r="B488" s="235"/>
      <c r="C488" s="236"/>
      <c r="D488" s="237"/>
      <c r="E488" s="238"/>
      <c r="F488" s="234"/>
      <c r="G488"/>
      <c r="H488"/>
      <c r="I488"/>
      <c r="J488"/>
      <c r="K488"/>
      <c r="L488"/>
      <c r="M488"/>
      <c r="N488"/>
      <c r="O488"/>
      <c r="P488"/>
      <c r="Q488"/>
      <c r="R488"/>
      <c r="S488"/>
      <c r="T488"/>
      <c r="U488"/>
      <c r="V488"/>
      <c r="W488"/>
    </row>
    <row r="489" spans="2:23" outlineLevel="1">
      <c r="B489" s="230"/>
      <c r="C489" s="231"/>
      <c r="D489" s="232"/>
      <c r="E489" s="233"/>
      <c r="F489" s="234"/>
      <c r="G489"/>
      <c r="H489"/>
      <c r="I489"/>
      <c r="J489"/>
      <c r="K489"/>
      <c r="L489"/>
      <c r="M489"/>
      <c r="N489"/>
      <c r="O489"/>
      <c r="P489"/>
      <c r="Q489"/>
      <c r="R489"/>
      <c r="S489"/>
      <c r="T489"/>
      <c r="U489"/>
      <c r="V489"/>
      <c r="W489"/>
    </row>
    <row r="490" spans="2:23" outlineLevel="1">
      <c r="B490" s="235"/>
      <c r="C490" s="236"/>
      <c r="D490" s="237"/>
      <c r="E490" s="238"/>
      <c r="F490" s="234"/>
      <c r="G490"/>
      <c r="H490"/>
      <c r="I490"/>
      <c r="J490"/>
      <c r="K490"/>
      <c r="L490"/>
      <c r="M490"/>
      <c r="N490"/>
      <c r="O490"/>
      <c r="P490"/>
      <c r="Q490"/>
      <c r="R490"/>
      <c r="S490"/>
      <c r="T490"/>
      <c r="U490"/>
      <c r="V490"/>
      <c r="W490"/>
    </row>
    <row r="491" spans="2:23" outlineLevel="1">
      <c r="B491" s="230"/>
      <c r="C491" s="231"/>
      <c r="D491" s="232"/>
      <c r="E491" s="233"/>
      <c r="F491" s="234"/>
      <c r="G491"/>
      <c r="H491"/>
      <c r="I491"/>
      <c r="J491"/>
      <c r="K491"/>
      <c r="L491"/>
      <c r="M491"/>
      <c r="N491"/>
      <c r="O491"/>
      <c r="P491"/>
      <c r="Q491"/>
      <c r="R491"/>
      <c r="S491"/>
      <c r="T491"/>
      <c r="U491"/>
      <c r="V491"/>
      <c r="W491"/>
    </row>
    <row r="492" spans="2:23" outlineLevel="1">
      <c r="B492" s="235"/>
      <c r="C492" s="236"/>
      <c r="D492" s="237"/>
      <c r="E492" s="238"/>
      <c r="F492" s="234"/>
      <c r="G492"/>
      <c r="H492"/>
      <c r="I492"/>
      <c r="J492"/>
      <c r="K492"/>
      <c r="L492"/>
      <c r="M492"/>
      <c r="N492"/>
      <c r="O492"/>
      <c r="P492"/>
      <c r="Q492"/>
      <c r="R492"/>
      <c r="S492"/>
      <c r="T492"/>
      <c r="U492"/>
      <c r="V492"/>
      <c r="W492"/>
    </row>
    <row r="493" spans="2:23" outlineLevel="1">
      <c r="B493" s="230"/>
      <c r="C493" s="231"/>
      <c r="D493" s="232"/>
      <c r="E493" s="233"/>
      <c r="F493" s="234"/>
      <c r="G493"/>
      <c r="H493"/>
      <c r="I493"/>
      <c r="J493"/>
      <c r="K493"/>
      <c r="L493"/>
      <c r="M493"/>
      <c r="N493"/>
      <c r="O493"/>
      <c r="P493"/>
      <c r="Q493"/>
      <c r="R493"/>
      <c r="S493"/>
      <c r="T493"/>
      <c r="U493"/>
      <c r="V493"/>
      <c r="W493"/>
    </row>
    <row r="494" spans="2:23" outlineLevel="1">
      <c r="B494" s="235"/>
      <c r="C494" s="236"/>
      <c r="D494" s="237"/>
      <c r="E494" s="238"/>
      <c r="F494" s="234"/>
      <c r="G494"/>
      <c r="H494"/>
      <c r="I494"/>
      <c r="J494"/>
      <c r="K494"/>
      <c r="L494"/>
      <c r="M494"/>
      <c r="N494"/>
      <c r="O494"/>
      <c r="P494"/>
      <c r="Q494"/>
      <c r="R494"/>
      <c r="S494"/>
      <c r="T494"/>
      <c r="U494"/>
      <c r="V494"/>
      <c r="W494"/>
    </row>
    <row r="495" spans="2:23" outlineLevel="1">
      <c r="B495" s="230"/>
      <c r="C495" s="231"/>
      <c r="D495" s="232"/>
      <c r="E495" s="233"/>
      <c r="F495" s="234"/>
      <c r="G495"/>
      <c r="H495"/>
      <c r="I495"/>
      <c r="J495"/>
      <c r="K495"/>
      <c r="L495"/>
      <c r="M495"/>
      <c r="N495"/>
      <c r="O495"/>
      <c r="P495"/>
      <c r="Q495"/>
      <c r="R495"/>
      <c r="S495"/>
      <c r="T495"/>
      <c r="U495"/>
      <c r="V495"/>
      <c r="W495"/>
    </row>
    <row r="496" spans="2:23" outlineLevel="1">
      <c r="B496" s="235"/>
      <c r="C496" s="236"/>
      <c r="D496" s="237"/>
      <c r="E496" s="238"/>
      <c r="F496" s="234"/>
      <c r="G496"/>
      <c r="H496"/>
      <c r="I496"/>
      <c r="J496"/>
      <c r="K496"/>
      <c r="L496"/>
      <c r="M496"/>
      <c r="N496"/>
      <c r="O496"/>
      <c r="P496"/>
      <c r="Q496"/>
      <c r="R496"/>
      <c r="S496"/>
      <c r="T496"/>
      <c r="U496"/>
      <c r="V496"/>
      <c r="W496"/>
    </row>
    <row r="497" spans="2:23" outlineLevel="1">
      <c r="B497" s="230"/>
      <c r="C497" s="231"/>
      <c r="D497" s="232"/>
      <c r="E497" s="233"/>
      <c r="F497" s="234"/>
      <c r="G497"/>
      <c r="H497"/>
      <c r="I497"/>
      <c r="J497"/>
      <c r="K497"/>
      <c r="L497"/>
      <c r="M497"/>
      <c r="N497"/>
      <c r="O497"/>
      <c r="P497"/>
      <c r="Q497"/>
      <c r="R497"/>
      <c r="S497"/>
      <c r="T497"/>
      <c r="U497"/>
      <c r="V497"/>
      <c r="W497"/>
    </row>
    <row r="498" spans="2:23" outlineLevel="1">
      <c r="B498" s="235"/>
      <c r="C498" s="236"/>
      <c r="D498" s="237"/>
      <c r="E498" s="238"/>
      <c r="F498" s="234"/>
      <c r="G498"/>
      <c r="H498"/>
      <c r="I498"/>
      <c r="J498"/>
      <c r="K498"/>
      <c r="L498"/>
      <c r="M498"/>
      <c r="N498"/>
      <c r="O498"/>
      <c r="P498"/>
      <c r="Q498"/>
      <c r="R498"/>
      <c r="S498"/>
      <c r="T498"/>
      <c r="U498"/>
      <c r="V498"/>
      <c r="W498"/>
    </row>
    <row r="499" spans="2:23" outlineLevel="1">
      <c r="B499" s="230"/>
      <c r="C499" s="231"/>
      <c r="D499" s="232"/>
      <c r="E499" s="233"/>
      <c r="F499" s="234"/>
      <c r="G499"/>
      <c r="H499"/>
      <c r="I499"/>
      <c r="J499"/>
      <c r="K499"/>
      <c r="L499"/>
      <c r="M499"/>
      <c r="N499"/>
      <c r="O499"/>
      <c r="P499"/>
      <c r="Q499"/>
      <c r="R499"/>
      <c r="S499"/>
      <c r="T499"/>
      <c r="U499"/>
      <c r="V499"/>
      <c r="W499"/>
    </row>
    <row r="500" spans="2:23" outlineLevel="1">
      <c r="B500" s="235"/>
      <c r="C500" s="236"/>
      <c r="D500" s="237"/>
      <c r="E500" s="238"/>
      <c r="F500" s="234"/>
      <c r="G500"/>
      <c r="H500"/>
      <c r="I500"/>
      <c r="J500"/>
      <c r="K500"/>
      <c r="L500"/>
      <c r="M500"/>
      <c r="N500"/>
      <c r="O500"/>
      <c r="P500"/>
      <c r="Q500"/>
      <c r="R500"/>
      <c r="S500"/>
      <c r="T500"/>
      <c r="U500"/>
      <c r="V500"/>
      <c r="W500"/>
    </row>
    <row r="501" spans="2:23" outlineLevel="1">
      <c r="B501" s="230"/>
      <c r="C501" s="231"/>
      <c r="D501" s="232"/>
      <c r="E501" s="233"/>
      <c r="F501" s="234"/>
      <c r="G501"/>
      <c r="H501"/>
      <c r="I501"/>
      <c r="J501"/>
      <c r="K501"/>
      <c r="L501"/>
      <c r="M501"/>
      <c r="N501"/>
      <c r="O501"/>
      <c r="P501"/>
      <c r="Q501"/>
      <c r="R501"/>
      <c r="S501"/>
      <c r="T501"/>
      <c r="U501"/>
      <c r="V501"/>
      <c r="W501"/>
    </row>
    <row r="502" spans="2:23" outlineLevel="1">
      <c r="B502" s="235"/>
      <c r="C502" s="236"/>
      <c r="D502" s="237"/>
      <c r="E502" s="238"/>
      <c r="F502" s="234"/>
      <c r="G502"/>
      <c r="H502"/>
      <c r="I502"/>
      <c r="J502"/>
      <c r="K502"/>
      <c r="L502"/>
      <c r="M502"/>
      <c r="N502"/>
      <c r="O502"/>
      <c r="P502"/>
      <c r="Q502"/>
      <c r="R502"/>
      <c r="S502"/>
      <c r="T502"/>
      <c r="U502"/>
      <c r="V502"/>
      <c r="W502"/>
    </row>
    <row r="503" spans="2:23" outlineLevel="1">
      <c r="B503" s="230"/>
      <c r="C503" s="231"/>
      <c r="D503" s="232"/>
      <c r="E503" s="233"/>
      <c r="F503" s="234"/>
      <c r="G503"/>
      <c r="H503"/>
      <c r="I503"/>
      <c r="J503"/>
      <c r="K503"/>
      <c r="L503"/>
      <c r="M503"/>
      <c r="N503"/>
      <c r="O503"/>
      <c r="P503"/>
      <c r="Q503"/>
      <c r="R503"/>
      <c r="S503"/>
      <c r="T503"/>
      <c r="U503"/>
      <c r="V503"/>
      <c r="W503"/>
    </row>
    <row r="504" spans="2:23" outlineLevel="1">
      <c r="B504" s="235"/>
      <c r="C504" s="236"/>
      <c r="D504" s="237"/>
      <c r="E504" s="238"/>
      <c r="F504" s="234"/>
      <c r="G504"/>
      <c r="H504"/>
      <c r="I504"/>
      <c r="J504"/>
      <c r="K504"/>
      <c r="L504"/>
      <c r="M504"/>
      <c r="N504"/>
      <c r="O504"/>
      <c r="P504"/>
      <c r="Q504"/>
      <c r="R504"/>
      <c r="S504"/>
      <c r="T504"/>
      <c r="U504"/>
      <c r="V504"/>
      <c r="W504"/>
    </row>
    <row r="505" spans="2:23" outlineLevel="1">
      <c r="B505" s="230"/>
      <c r="C505" s="231"/>
      <c r="D505" s="232"/>
      <c r="E505" s="233"/>
      <c r="F505" s="234"/>
      <c r="G505"/>
      <c r="H505"/>
      <c r="I505"/>
      <c r="J505"/>
      <c r="K505"/>
      <c r="L505"/>
      <c r="M505"/>
      <c r="N505"/>
      <c r="O505"/>
      <c r="P505"/>
      <c r="Q505"/>
      <c r="R505"/>
      <c r="S505"/>
      <c r="T505"/>
      <c r="U505"/>
      <c r="V505"/>
      <c r="W505"/>
    </row>
    <row r="506" spans="2:23" outlineLevel="1">
      <c r="B506" s="235"/>
      <c r="C506" s="236"/>
      <c r="D506" s="237"/>
      <c r="E506" s="238"/>
      <c r="F506" s="234"/>
      <c r="G506"/>
      <c r="H506"/>
      <c r="I506"/>
      <c r="J506"/>
      <c r="K506"/>
      <c r="L506"/>
      <c r="M506"/>
      <c r="N506"/>
      <c r="O506"/>
      <c r="P506"/>
      <c r="Q506"/>
      <c r="R506"/>
      <c r="S506"/>
      <c r="T506"/>
      <c r="U506"/>
      <c r="V506"/>
      <c r="W506"/>
    </row>
    <row r="507" spans="2:23" outlineLevel="1">
      <c r="B507" s="230"/>
      <c r="C507" s="231"/>
      <c r="D507" s="232"/>
      <c r="E507" s="233"/>
      <c r="F507" s="234"/>
      <c r="G507"/>
      <c r="H507"/>
      <c r="I507"/>
      <c r="J507"/>
      <c r="K507"/>
      <c r="L507"/>
      <c r="M507"/>
      <c r="N507"/>
      <c r="O507"/>
      <c r="P507"/>
      <c r="Q507"/>
      <c r="R507"/>
      <c r="S507"/>
      <c r="T507"/>
      <c r="U507"/>
      <c r="V507"/>
      <c r="W507"/>
    </row>
    <row r="508" spans="2:23" outlineLevel="1">
      <c r="B508" s="235"/>
      <c r="C508" s="236"/>
      <c r="D508" s="237"/>
      <c r="E508" s="238"/>
      <c r="F508" s="234"/>
      <c r="G508"/>
      <c r="H508"/>
      <c r="I508"/>
      <c r="J508"/>
      <c r="K508"/>
      <c r="L508"/>
      <c r="M508"/>
      <c r="N508"/>
      <c r="O508"/>
      <c r="P508"/>
      <c r="Q508"/>
      <c r="R508"/>
      <c r="S508"/>
      <c r="T508"/>
      <c r="U508"/>
      <c r="V508"/>
      <c r="W508"/>
    </row>
    <row r="509" spans="2:23" outlineLevel="1">
      <c r="B509" s="230"/>
      <c r="C509" s="231"/>
      <c r="D509" s="232"/>
      <c r="E509" s="233"/>
      <c r="F509" s="234"/>
      <c r="G509"/>
      <c r="H509"/>
      <c r="I509"/>
      <c r="J509"/>
      <c r="K509"/>
      <c r="L509"/>
      <c r="M509"/>
      <c r="N509"/>
      <c r="O509"/>
      <c r="P509"/>
      <c r="Q509"/>
      <c r="R509"/>
      <c r="S509"/>
      <c r="T509"/>
      <c r="U509"/>
      <c r="V509"/>
      <c r="W509"/>
    </row>
    <row r="510" spans="2:23" outlineLevel="1">
      <c r="B510" s="235"/>
      <c r="C510" s="236"/>
      <c r="D510" s="237"/>
      <c r="E510" s="238"/>
      <c r="F510" s="234"/>
      <c r="G510"/>
      <c r="H510"/>
      <c r="I510"/>
      <c r="J510"/>
      <c r="K510"/>
      <c r="L510"/>
      <c r="M510"/>
      <c r="N510"/>
      <c r="O510"/>
      <c r="P510"/>
      <c r="Q510"/>
      <c r="R510"/>
      <c r="S510"/>
      <c r="T510"/>
      <c r="U510"/>
      <c r="V510"/>
      <c r="W510"/>
    </row>
    <row r="511" spans="2:23" outlineLevel="1">
      <c r="B511" s="230"/>
      <c r="C511" s="231"/>
      <c r="D511" s="232"/>
      <c r="E511" s="233"/>
      <c r="F511" s="234"/>
      <c r="G511"/>
      <c r="H511"/>
      <c r="I511"/>
      <c r="J511"/>
      <c r="K511"/>
      <c r="L511"/>
      <c r="M511"/>
      <c r="N511"/>
      <c r="O511"/>
      <c r="P511"/>
      <c r="Q511"/>
      <c r="R511"/>
      <c r="S511"/>
      <c r="T511"/>
      <c r="U511"/>
      <c r="V511"/>
      <c r="W511"/>
    </row>
    <row r="512" spans="2:23" outlineLevel="1">
      <c r="B512" s="235"/>
      <c r="C512" s="236"/>
      <c r="D512" s="237"/>
      <c r="E512" s="238"/>
      <c r="F512" s="234"/>
      <c r="G512"/>
      <c r="H512"/>
      <c r="I512"/>
      <c r="J512"/>
      <c r="K512"/>
      <c r="L512"/>
      <c r="M512"/>
      <c r="N512"/>
      <c r="O512"/>
      <c r="P512"/>
      <c r="Q512"/>
      <c r="R512"/>
      <c r="S512"/>
      <c r="T512"/>
      <c r="U512"/>
      <c r="V512"/>
      <c r="W512"/>
    </row>
    <row r="513" spans="2:23" outlineLevel="1">
      <c r="B513" s="230"/>
      <c r="C513" s="231"/>
      <c r="D513" s="232"/>
      <c r="E513" s="233"/>
      <c r="F513" s="234"/>
      <c r="G513"/>
      <c r="H513"/>
      <c r="I513"/>
      <c r="J513"/>
      <c r="K513"/>
      <c r="L513"/>
      <c r="M513"/>
      <c r="N513"/>
      <c r="O513"/>
      <c r="P513"/>
      <c r="Q513"/>
      <c r="R513"/>
      <c r="S513"/>
      <c r="T513"/>
      <c r="U513"/>
      <c r="V513"/>
      <c r="W513"/>
    </row>
    <row r="514" spans="2:23" outlineLevel="1">
      <c r="B514" s="235"/>
      <c r="C514" s="236"/>
      <c r="D514" s="237"/>
      <c r="E514" s="238"/>
      <c r="F514" s="234"/>
      <c r="G514"/>
      <c r="H514"/>
      <c r="I514"/>
      <c r="J514"/>
      <c r="K514"/>
      <c r="L514"/>
      <c r="M514"/>
      <c r="N514"/>
      <c r="O514"/>
      <c r="P514"/>
      <c r="Q514"/>
      <c r="R514"/>
      <c r="S514"/>
      <c r="T514"/>
      <c r="U514"/>
      <c r="V514"/>
      <c r="W514"/>
    </row>
    <row r="515" spans="2:23" outlineLevel="1">
      <c r="B515" s="230"/>
      <c r="C515" s="231"/>
      <c r="D515" s="232"/>
      <c r="E515" s="233"/>
      <c r="F515" s="234"/>
      <c r="G515"/>
      <c r="H515"/>
      <c r="I515"/>
      <c r="J515"/>
      <c r="K515"/>
      <c r="L515"/>
      <c r="M515"/>
      <c r="N515"/>
      <c r="O515"/>
      <c r="P515"/>
      <c r="Q515"/>
      <c r="R515"/>
      <c r="S515"/>
      <c r="T515"/>
      <c r="U515"/>
      <c r="V515"/>
      <c r="W515"/>
    </row>
    <row r="516" spans="2:23" outlineLevel="1">
      <c r="B516" s="235"/>
      <c r="C516" s="236"/>
      <c r="D516" s="237"/>
      <c r="E516" s="238"/>
      <c r="F516" s="234"/>
      <c r="G516"/>
      <c r="H516"/>
      <c r="I516"/>
      <c r="J516"/>
      <c r="K516"/>
      <c r="L516"/>
      <c r="M516"/>
      <c r="N516"/>
      <c r="O516"/>
      <c r="P516"/>
      <c r="Q516"/>
      <c r="R516"/>
      <c r="S516"/>
      <c r="T516"/>
      <c r="U516"/>
      <c r="V516"/>
      <c r="W516"/>
    </row>
    <row r="517" spans="2:23" outlineLevel="1">
      <c r="B517" s="230"/>
      <c r="C517" s="231"/>
      <c r="D517" s="232"/>
      <c r="E517" s="233"/>
      <c r="F517" s="234"/>
      <c r="G517"/>
      <c r="H517"/>
      <c r="I517"/>
      <c r="J517"/>
      <c r="K517"/>
      <c r="L517"/>
      <c r="M517"/>
      <c r="N517"/>
      <c r="O517"/>
      <c r="P517"/>
      <c r="Q517"/>
      <c r="R517"/>
      <c r="S517"/>
      <c r="T517"/>
      <c r="U517"/>
      <c r="V517"/>
      <c r="W517"/>
    </row>
    <row r="518" spans="2:23" outlineLevel="1">
      <c r="B518" s="235"/>
      <c r="C518" s="236"/>
      <c r="D518" s="237"/>
      <c r="E518" s="238"/>
      <c r="F518" s="234"/>
      <c r="G518"/>
      <c r="H518"/>
      <c r="I518"/>
      <c r="J518"/>
      <c r="K518"/>
      <c r="L518"/>
      <c r="M518"/>
      <c r="N518"/>
      <c r="O518"/>
      <c r="P518"/>
      <c r="Q518"/>
      <c r="R518"/>
      <c r="S518"/>
      <c r="T518"/>
      <c r="U518"/>
      <c r="V518"/>
      <c r="W518"/>
    </row>
    <row r="519" spans="2:23" outlineLevel="1">
      <c r="B519" s="230"/>
      <c r="C519" s="231"/>
      <c r="D519" s="232"/>
      <c r="E519" s="233"/>
      <c r="F519" s="234"/>
      <c r="G519"/>
      <c r="H519"/>
      <c r="I519"/>
      <c r="J519"/>
      <c r="K519"/>
      <c r="L519"/>
      <c r="M519"/>
      <c r="N519"/>
      <c r="O519"/>
      <c r="P519"/>
      <c r="Q519"/>
      <c r="R519"/>
      <c r="S519"/>
      <c r="T519"/>
      <c r="U519"/>
      <c r="V519"/>
      <c r="W519"/>
    </row>
    <row r="520" spans="2:23" outlineLevel="1">
      <c r="B520" s="235"/>
      <c r="C520" s="236"/>
      <c r="D520" s="237"/>
      <c r="E520" s="238"/>
      <c r="F520" s="234"/>
      <c r="G520"/>
      <c r="H520"/>
      <c r="I520"/>
      <c r="J520"/>
      <c r="K520"/>
      <c r="L520"/>
      <c r="M520"/>
      <c r="N520"/>
      <c r="O520"/>
      <c r="P520"/>
      <c r="Q520"/>
      <c r="R520"/>
      <c r="S520"/>
      <c r="T520"/>
      <c r="U520"/>
      <c r="V520"/>
      <c r="W520"/>
    </row>
    <row r="521" spans="2:23" outlineLevel="1">
      <c r="B521" s="230"/>
      <c r="C521" s="231"/>
      <c r="D521" s="232"/>
      <c r="E521" s="233"/>
      <c r="F521" s="234"/>
      <c r="G521"/>
      <c r="H521"/>
      <c r="I521"/>
      <c r="J521"/>
      <c r="K521"/>
      <c r="L521"/>
      <c r="M521"/>
      <c r="N521"/>
      <c r="O521"/>
      <c r="P521"/>
      <c r="Q521"/>
      <c r="R521"/>
      <c r="S521"/>
      <c r="T521"/>
      <c r="U521"/>
      <c r="V521"/>
      <c r="W521"/>
    </row>
    <row r="522" spans="2:23" outlineLevel="1">
      <c r="B522" s="235"/>
      <c r="C522" s="236"/>
      <c r="D522" s="237"/>
      <c r="E522" s="238"/>
      <c r="F522" s="234"/>
      <c r="G522"/>
      <c r="H522"/>
      <c r="I522"/>
      <c r="J522"/>
      <c r="K522"/>
      <c r="L522"/>
      <c r="M522"/>
      <c r="N522"/>
      <c r="O522"/>
      <c r="P522"/>
      <c r="Q522"/>
      <c r="R522"/>
      <c r="S522"/>
      <c r="T522"/>
      <c r="U522"/>
      <c r="V522"/>
      <c r="W522"/>
    </row>
    <row r="523" spans="2:23" outlineLevel="1">
      <c r="B523" s="230"/>
      <c r="C523" s="231"/>
      <c r="D523" s="232"/>
      <c r="E523" s="233"/>
      <c r="F523" s="234"/>
      <c r="G523"/>
      <c r="H523"/>
      <c r="I523"/>
      <c r="J523"/>
      <c r="K523"/>
      <c r="L523"/>
      <c r="M523"/>
      <c r="N523"/>
      <c r="O523"/>
      <c r="P523"/>
      <c r="Q523"/>
      <c r="R523"/>
      <c r="S523"/>
      <c r="T523"/>
      <c r="U523"/>
      <c r="V523"/>
      <c r="W523"/>
    </row>
    <row r="524" spans="2:23" outlineLevel="1">
      <c r="B524" s="235"/>
      <c r="C524" s="236"/>
      <c r="D524" s="237"/>
      <c r="E524" s="238"/>
      <c r="F524" s="234"/>
      <c r="G524"/>
      <c r="H524"/>
      <c r="I524"/>
      <c r="J524"/>
      <c r="K524"/>
      <c r="L524"/>
      <c r="M524"/>
      <c r="N524"/>
      <c r="O524"/>
      <c r="P524"/>
      <c r="Q524"/>
      <c r="R524"/>
      <c r="S524"/>
      <c r="T524"/>
      <c r="U524"/>
      <c r="V524"/>
      <c r="W524"/>
    </row>
    <row r="525" spans="2:23" outlineLevel="1">
      <c r="B525" s="230"/>
      <c r="C525" s="231"/>
      <c r="D525" s="232"/>
      <c r="E525" s="233"/>
      <c r="F525" s="234"/>
      <c r="G525"/>
      <c r="H525"/>
      <c r="I525"/>
      <c r="J525"/>
      <c r="K525"/>
      <c r="L525"/>
      <c r="M525"/>
      <c r="N525"/>
      <c r="O525"/>
      <c r="P525"/>
      <c r="Q525"/>
      <c r="R525"/>
      <c r="S525"/>
      <c r="T525"/>
      <c r="U525"/>
      <c r="V525"/>
      <c r="W525"/>
    </row>
    <row r="526" spans="2:23" outlineLevel="1">
      <c r="B526" s="235"/>
      <c r="C526" s="236"/>
      <c r="D526" s="237"/>
      <c r="E526" s="238"/>
      <c r="F526" s="234"/>
      <c r="G526"/>
      <c r="H526"/>
      <c r="I526"/>
      <c r="J526"/>
      <c r="K526"/>
      <c r="L526"/>
      <c r="M526"/>
      <c r="N526"/>
      <c r="O526"/>
      <c r="P526"/>
      <c r="Q526"/>
      <c r="R526"/>
      <c r="S526"/>
      <c r="T526"/>
      <c r="U526"/>
      <c r="V526"/>
      <c r="W526"/>
    </row>
    <row r="527" spans="2:23" outlineLevel="1">
      <c r="B527" s="230"/>
      <c r="C527" s="231"/>
      <c r="D527" s="232"/>
      <c r="E527" s="233"/>
      <c r="F527" s="234"/>
      <c r="G527"/>
      <c r="H527"/>
      <c r="I527"/>
      <c r="J527"/>
      <c r="K527"/>
      <c r="L527"/>
      <c r="M527"/>
      <c r="N527"/>
      <c r="O527"/>
      <c r="P527"/>
      <c r="Q527"/>
      <c r="R527"/>
      <c r="S527"/>
      <c r="T527"/>
      <c r="U527"/>
      <c r="V527"/>
      <c r="W527"/>
    </row>
    <row r="528" spans="2:23" outlineLevel="1">
      <c r="B528" s="235"/>
      <c r="C528" s="236"/>
      <c r="D528" s="237"/>
      <c r="E528" s="238"/>
      <c r="F528" s="234"/>
      <c r="G528"/>
      <c r="H528"/>
      <c r="I528"/>
      <c r="J528"/>
      <c r="K528"/>
      <c r="L528"/>
      <c r="M528"/>
      <c r="N528"/>
      <c r="O528"/>
      <c r="P528"/>
      <c r="Q528"/>
      <c r="R528"/>
      <c r="S528"/>
      <c r="T528"/>
      <c r="U528"/>
      <c r="V528"/>
      <c r="W528"/>
    </row>
    <row r="529" spans="2:23" outlineLevel="1">
      <c r="B529" s="230"/>
      <c r="C529" s="231"/>
      <c r="D529" s="232"/>
      <c r="E529" s="233"/>
      <c r="F529" s="234"/>
      <c r="G529"/>
      <c r="H529"/>
      <c r="I529"/>
      <c r="J529"/>
      <c r="K529"/>
      <c r="L529"/>
      <c r="M529"/>
      <c r="N529"/>
      <c r="O529"/>
      <c r="P529"/>
      <c r="Q529"/>
      <c r="R529"/>
      <c r="S529"/>
      <c r="T529"/>
      <c r="U529"/>
      <c r="V529"/>
      <c r="W529"/>
    </row>
    <row r="530" spans="2:23" outlineLevel="1">
      <c r="B530" s="235"/>
      <c r="C530" s="236"/>
      <c r="D530" s="237"/>
      <c r="E530" s="238"/>
      <c r="F530" s="234"/>
      <c r="G530"/>
      <c r="H530"/>
      <c r="I530"/>
      <c r="J530"/>
      <c r="K530"/>
      <c r="L530"/>
      <c r="M530"/>
      <c r="N530"/>
      <c r="O530"/>
      <c r="P530"/>
      <c r="Q530"/>
      <c r="R530"/>
      <c r="S530"/>
      <c r="T530"/>
      <c r="U530"/>
      <c r="V530"/>
      <c r="W530"/>
    </row>
    <row r="531" spans="2:23" outlineLevel="1">
      <c r="B531" s="230"/>
      <c r="C531" s="231"/>
      <c r="D531" s="232"/>
      <c r="E531" s="233"/>
      <c r="F531" s="234"/>
      <c r="G531"/>
      <c r="H531"/>
      <c r="I531"/>
      <c r="J531"/>
      <c r="K531"/>
      <c r="L531"/>
      <c r="M531"/>
      <c r="N531"/>
      <c r="O531"/>
      <c r="P531"/>
      <c r="Q531"/>
      <c r="R531"/>
      <c r="S531"/>
      <c r="T531"/>
      <c r="U531"/>
      <c r="V531"/>
      <c r="W531"/>
    </row>
    <row r="532" spans="2:23" outlineLevel="1">
      <c r="B532" s="235"/>
      <c r="C532" s="236"/>
      <c r="D532" s="237"/>
      <c r="E532" s="238"/>
      <c r="F532" s="234"/>
      <c r="G532"/>
      <c r="H532"/>
      <c r="I532"/>
      <c r="J532"/>
      <c r="K532"/>
      <c r="L532"/>
      <c r="M532"/>
      <c r="N532"/>
      <c r="O532"/>
      <c r="P532"/>
      <c r="Q532"/>
      <c r="R532"/>
      <c r="S532"/>
      <c r="T532"/>
      <c r="U532"/>
      <c r="V532"/>
      <c r="W532"/>
    </row>
    <row r="533" spans="2:23" outlineLevel="1">
      <c r="B533" s="230"/>
      <c r="C533" s="231"/>
      <c r="D533" s="232"/>
      <c r="E533" s="233"/>
      <c r="F533" s="234"/>
      <c r="G533"/>
      <c r="H533"/>
      <c r="I533"/>
      <c r="J533"/>
      <c r="K533"/>
      <c r="L533"/>
      <c r="M533"/>
      <c r="N533"/>
      <c r="O533"/>
      <c r="P533"/>
      <c r="Q533"/>
      <c r="R533"/>
      <c r="S533"/>
      <c r="T533"/>
      <c r="U533"/>
      <c r="V533"/>
      <c r="W533"/>
    </row>
    <row r="534" spans="2:23" outlineLevel="1">
      <c r="B534" s="235"/>
      <c r="C534" s="236"/>
      <c r="D534" s="237"/>
      <c r="E534" s="238"/>
      <c r="F534" s="234"/>
      <c r="G534"/>
      <c r="H534"/>
      <c r="I534"/>
      <c r="J534"/>
      <c r="K534"/>
      <c r="L534"/>
      <c r="M534"/>
      <c r="N534"/>
      <c r="O534"/>
      <c r="P534"/>
      <c r="Q534"/>
      <c r="R534"/>
      <c r="S534"/>
      <c r="T534"/>
      <c r="U534"/>
      <c r="V534"/>
      <c r="W534"/>
    </row>
    <row r="535" spans="2:23" outlineLevel="1">
      <c r="B535" s="230"/>
      <c r="C535" s="231"/>
      <c r="D535" s="232"/>
      <c r="E535" s="233"/>
      <c r="F535" s="234"/>
      <c r="G535"/>
      <c r="H535"/>
      <c r="I535"/>
      <c r="J535"/>
      <c r="K535"/>
      <c r="L535"/>
      <c r="M535"/>
      <c r="N535"/>
      <c r="O535"/>
      <c r="P535"/>
      <c r="Q535"/>
      <c r="R535"/>
      <c r="S535"/>
      <c r="T535"/>
      <c r="U535"/>
      <c r="V535"/>
      <c r="W535"/>
    </row>
    <row r="536" spans="2:23" outlineLevel="1">
      <c r="B536" s="235"/>
      <c r="C536" s="236"/>
      <c r="D536" s="237"/>
      <c r="E536" s="238"/>
      <c r="F536" s="234"/>
      <c r="G536"/>
      <c r="H536"/>
      <c r="I536"/>
      <c r="J536"/>
      <c r="K536"/>
      <c r="L536"/>
      <c r="M536"/>
      <c r="N536"/>
      <c r="O536"/>
      <c r="P536"/>
      <c r="Q536"/>
      <c r="R536"/>
      <c r="S536"/>
      <c r="T536"/>
      <c r="U536"/>
      <c r="V536"/>
      <c r="W536"/>
    </row>
    <row r="537" spans="2:23" outlineLevel="1">
      <c r="B537" s="230"/>
      <c r="C537" s="231"/>
      <c r="D537" s="232"/>
      <c r="E537" s="233"/>
      <c r="F537" s="234"/>
      <c r="G537"/>
      <c r="H537"/>
      <c r="I537"/>
      <c r="J537"/>
      <c r="K537"/>
      <c r="L537"/>
      <c r="M537"/>
      <c r="N537"/>
      <c r="O537"/>
      <c r="P537"/>
      <c r="Q537"/>
      <c r="R537"/>
      <c r="S537"/>
      <c r="T537"/>
      <c r="U537"/>
      <c r="V537"/>
      <c r="W537"/>
    </row>
    <row r="538" spans="2:23" outlineLevel="1">
      <c r="B538" s="235"/>
      <c r="C538" s="236"/>
      <c r="D538" s="237"/>
      <c r="E538" s="238"/>
      <c r="F538" s="234"/>
      <c r="G538"/>
      <c r="H538"/>
      <c r="I538"/>
      <c r="J538"/>
      <c r="K538"/>
      <c r="L538"/>
      <c r="M538"/>
      <c r="N538"/>
      <c r="O538"/>
      <c r="P538"/>
      <c r="Q538"/>
      <c r="R538"/>
      <c r="S538"/>
      <c r="T538"/>
      <c r="U538"/>
      <c r="V538"/>
      <c r="W538"/>
    </row>
    <row r="539" spans="2:23" outlineLevel="1">
      <c r="B539" s="230"/>
      <c r="C539" s="231"/>
      <c r="D539" s="232"/>
      <c r="E539" s="233"/>
      <c r="F539" s="234"/>
      <c r="G539"/>
      <c r="H539"/>
      <c r="I539"/>
      <c r="J539"/>
      <c r="K539"/>
      <c r="L539"/>
      <c r="M539"/>
      <c r="N539"/>
      <c r="O539"/>
      <c r="P539"/>
      <c r="Q539"/>
      <c r="R539"/>
      <c r="S539"/>
      <c r="T539"/>
      <c r="U539"/>
      <c r="V539"/>
      <c r="W539"/>
    </row>
    <row r="540" spans="2:23" outlineLevel="1">
      <c r="B540" s="235"/>
      <c r="C540" s="236"/>
      <c r="D540" s="237"/>
      <c r="E540" s="238"/>
      <c r="F540" s="234"/>
      <c r="G540"/>
      <c r="H540"/>
      <c r="I540"/>
      <c r="J540"/>
      <c r="K540"/>
      <c r="L540"/>
      <c r="M540"/>
      <c r="N540"/>
      <c r="O540"/>
      <c r="P540"/>
      <c r="Q540"/>
      <c r="R540"/>
      <c r="S540"/>
      <c r="T540"/>
      <c r="U540"/>
      <c r="V540"/>
      <c r="W540"/>
    </row>
    <row r="541" spans="2:23" outlineLevel="1">
      <c r="B541" s="230"/>
      <c r="C541" s="231"/>
      <c r="D541" s="232"/>
      <c r="E541" s="233"/>
      <c r="F541" s="234"/>
      <c r="G541"/>
      <c r="H541"/>
      <c r="I541"/>
      <c r="J541"/>
      <c r="K541"/>
      <c r="L541"/>
      <c r="M541"/>
      <c r="N541"/>
      <c r="O541"/>
      <c r="P541"/>
      <c r="Q541"/>
      <c r="R541"/>
      <c r="S541"/>
      <c r="T541"/>
      <c r="U541"/>
      <c r="V541"/>
      <c r="W541"/>
    </row>
    <row r="542" spans="2:23" outlineLevel="1">
      <c r="B542" s="235"/>
      <c r="C542" s="236"/>
      <c r="D542" s="237"/>
      <c r="E542" s="238"/>
      <c r="F542" s="234"/>
      <c r="G542"/>
      <c r="H542"/>
      <c r="I542"/>
      <c r="J542"/>
      <c r="K542"/>
      <c r="L542"/>
      <c r="M542"/>
      <c r="N542"/>
      <c r="O542"/>
      <c r="P542"/>
      <c r="Q542"/>
      <c r="R542"/>
      <c r="S542"/>
      <c r="T542"/>
      <c r="U542"/>
      <c r="V542"/>
      <c r="W542"/>
    </row>
    <row r="543" spans="2:23" outlineLevel="1">
      <c r="B543" s="230"/>
      <c r="C543" s="231"/>
      <c r="D543" s="232"/>
      <c r="E543" s="233"/>
      <c r="F543" s="234"/>
      <c r="G543"/>
      <c r="H543"/>
      <c r="I543"/>
      <c r="J543"/>
      <c r="K543"/>
      <c r="L543"/>
      <c r="M543"/>
      <c r="N543"/>
      <c r="O543"/>
      <c r="P543"/>
      <c r="Q543"/>
      <c r="R543"/>
      <c r="S543"/>
      <c r="T543"/>
      <c r="U543"/>
      <c r="V543"/>
      <c r="W543"/>
    </row>
    <row r="544" spans="2:23" outlineLevel="1">
      <c r="B544" s="235"/>
      <c r="C544" s="236"/>
      <c r="D544" s="237"/>
      <c r="E544" s="238"/>
      <c r="F544" s="234"/>
      <c r="G544"/>
      <c r="H544"/>
      <c r="I544"/>
      <c r="J544"/>
      <c r="K544"/>
      <c r="L544"/>
      <c r="M544"/>
      <c r="N544"/>
      <c r="O544"/>
      <c r="P544"/>
      <c r="Q544"/>
      <c r="R544"/>
      <c r="S544"/>
      <c r="T544"/>
      <c r="U544"/>
      <c r="V544"/>
      <c r="W544"/>
    </row>
    <row r="545" spans="2:23" outlineLevel="1">
      <c r="B545" s="230"/>
      <c r="C545" s="231"/>
      <c r="D545" s="232"/>
      <c r="E545" s="233"/>
      <c r="F545" s="234"/>
      <c r="G545"/>
      <c r="H545"/>
      <c r="I545"/>
      <c r="J545"/>
      <c r="K545"/>
      <c r="L545"/>
      <c r="M545"/>
      <c r="N545"/>
      <c r="O545"/>
      <c r="P545"/>
      <c r="Q545"/>
      <c r="R545"/>
      <c r="S545"/>
      <c r="T545"/>
      <c r="U545"/>
      <c r="V545"/>
      <c r="W545"/>
    </row>
    <row r="546" spans="2:23" outlineLevel="1">
      <c r="B546" s="235"/>
      <c r="C546" s="236"/>
      <c r="D546" s="237"/>
      <c r="E546" s="238"/>
      <c r="F546" s="234"/>
      <c r="G546"/>
      <c r="H546"/>
      <c r="I546"/>
      <c r="J546"/>
      <c r="K546"/>
      <c r="L546"/>
      <c r="M546"/>
      <c r="N546"/>
      <c r="O546"/>
      <c r="P546"/>
      <c r="Q546"/>
      <c r="R546"/>
      <c r="S546"/>
      <c r="T546"/>
      <c r="U546"/>
      <c r="V546"/>
      <c r="W546"/>
    </row>
    <row r="547" spans="2:23" outlineLevel="1">
      <c r="B547" s="230"/>
      <c r="C547" s="231"/>
      <c r="D547" s="232"/>
      <c r="E547" s="233"/>
      <c r="F547" s="234"/>
      <c r="G547"/>
      <c r="H547"/>
      <c r="I547"/>
      <c r="J547"/>
      <c r="K547"/>
      <c r="L547"/>
      <c r="M547"/>
      <c r="N547"/>
      <c r="O547"/>
      <c r="P547"/>
      <c r="Q547"/>
      <c r="R547"/>
      <c r="S547"/>
      <c r="T547"/>
      <c r="U547"/>
      <c r="V547"/>
      <c r="W547"/>
    </row>
    <row r="548" spans="2:23" outlineLevel="1">
      <c r="B548" s="235"/>
      <c r="C548" s="236"/>
      <c r="D548" s="237"/>
      <c r="E548" s="238"/>
      <c r="F548" s="234"/>
      <c r="G548"/>
      <c r="H548"/>
      <c r="I548"/>
      <c r="J548"/>
      <c r="K548"/>
      <c r="L548"/>
      <c r="M548"/>
      <c r="N548"/>
      <c r="O548"/>
      <c r="P548"/>
      <c r="Q548"/>
      <c r="R548"/>
      <c r="S548"/>
      <c r="T548"/>
      <c r="U548"/>
      <c r="V548"/>
      <c r="W548"/>
    </row>
    <row r="549" spans="2:23" outlineLevel="1">
      <c r="B549" s="230"/>
      <c r="C549" s="231"/>
      <c r="D549" s="232"/>
      <c r="E549" s="233"/>
      <c r="F549" s="234"/>
      <c r="G549"/>
      <c r="H549"/>
      <c r="I549"/>
      <c r="J549"/>
      <c r="K549"/>
      <c r="L549"/>
      <c r="M549"/>
      <c r="N549"/>
      <c r="O549"/>
      <c r="P549"/>
      <c r="Q549"/>
      <c r="R549"/>
      <c r="S549"/>
      <c r="T549"/>
      <c r="U549"/>
      <c r="V549"/>
      <c r="W549"/>
    </row>
    <row r="550" spans="2:23" outlineLevel="1">
      <c r="B550" s="235"/>
      <c r="C550" s="236"/>
      <c r="D550" s="237"/>
      <c r="E550" s="238"/>
      <c r="F550" s="234"/>
      <c r="G550"/>
      <c r="H550"/>
      <c r="I550"/>
      <c r="J550"/>
      <c r="K550"/>
      <c r="L550"/>
      <c r="M550"/>
      <c r="N550"/>
      <c r="O550"/>
      <c r="P550"/>
      <c r="Q550"/>
      <c r="R550"/>
      <c r="S550"/>
      <c r="T550"/>
      <c r="U550"/>
      <c r="V550"/>
      <c r="W550"/>
    </row>
    <row r="551" spans="2:23" outlineLevel="1">
      <c r="B551" s="230"/>
      <c r="C551" s="231"/>
      <c r="D551" s="232"/>
      <c r="E551" s="233"/>
      <c r="F551" s="234"/>
      <c r="G551"/>
      <c r="H551"/>
      <c r="I551"/>
      <c r="J551"/>
      <c r="K551"/>
      <c r="L551"/>
      <c r="M551"/>
      <c r="N551"/>
      <c r="O551"/>
      <c r="P551"/>
      <c r="Q551"/>
      <c r="R551"/>
      <c r="S551"/>
      <c r="T551"/>
      <c r="U551"/>
      <c r="V551"/>
      <c r="W551"/>
    </row>
    <row r="552" spans="2:23" outlineLevel="1">
      <c r="B552" s="235"/>
      <c r="C552" s="236"/>
      <c r="D552" s="237"/>
      <c r="E552" s="238"/>
      <c r="F552" s="234"/>
      <c r="G552"/>
      <c r="H552"/>
      <c r="I552"/>
      <c r="J552"/>
      <c r="K552"/>
      <c r="L552"/>
      <c r="M552"/>
      <c r="N552"/>
      <c r="O552"/>
      <c r="P552"/>
      <c r="Q552"/>
      <c r="R552"/>
      <c r="S552"/>
      <c r="T552"/>
      <c r="U552"/>
      <c r="V552"/>
      <c r="W552"/>
    </row>
    <row r="553" spans="2:23" outlineLevel="1">
      <c r="B553" s="230"/>
      <c r="C553" s="231"/>
      <c r="D553" s="232"/>
      <c r="E553" s="233"/>
      <c r="F553" s="234"/>
      <c r="G553"/>
      <c r="H553"/>
      <c r="I553"/>
      <c r="J553"/>
      <c r="K553"/>
      <c r="L553"/>
      <c r="M553"/>
      <c r="N553"/>
      <c r="O553"/>
      <c r="P553"/>
      <c r="Q553"/>
      <c r="R553"/>
      <c r="S553"/>
      <c r="T553"/>
      <c r="U553"/>
      <c r="V553"/>
      <c r="W553"/>
    </row>
    <row r="554" spans="2:23" outlineLevel="1">
      <c r="B554" s="235"/>
      <c r="C554" s="236"/>
      <c r="D554" s="237"/>
      <c r="E554" s="238"/>
      <c r="F554" s="234"/>
      <c r="G554"/>
      <c r="H554"/>
      <c r="I554"/>
      <c r="J554"/>
      <c r="K554"/>
      <c r="L554"/>
      <c r="M554"/>
      <c r="N554"/>
      <c r="O554"/>
      <c r="P554"/>
      <c r="Q554"/>
      <c r="R554"/>
      <c r="S554"/>
      <c r="T554"/>
      <c r="U554"/>
      <c r="V554"/>
      <c r="W554"/>
    </row>
    <row r="555" spans="2:23" outlineLevel="1">
      <c r="B555" s="230"/>
      <c r="C555" s="231"/>
      <c r="D555" s="232"/>
      <c r="E555" s="233"/>
      <c r="F555" s="234"/>
      <c r="G555"/>
      <c r="H555"/>
      <c r="I555"/>
      <c r="J555"/>
      <c r="K555"/>
      <c r="L555"/>
      <c r="M555"/>
      <c r="N555"/>
      <c r="O555"/>
      <c r="P555"/>
      <c r="Q555"/>
      <c r="R555"/>
      <c r="S555"/>
      <c r="T555"/>
      <c r="U555"/>
      <c r="V555"/>
      <c r="W555"/>
    </row>
    <row r="556" spans="2:23" outlineLevel="1">
      <c r="B556" s="235"/>
      <c r="C556" s="236"/>
      <c r="D556" s="237"/>
      <c r="E556" s="238"/>
      <c r="F556" s="234"/>
      <c r="G556"/>
      <c r="H556"/>
      <c r="I556"/>
      <c r="J556"/>
      <c r="K556"/>
      <c r="L556"/>
      <c r="M556"/>
      <c r="N556"/>
      <c r="O556"/>
      <c r="P556"/>
      <c r="Q556"/>
      <c r="R556"/>
      <c r="S556"/>
      <c r="T556"/>
      <c r="U556"/>
      <c r="V556"/>
      <c r="W556"/>
    </row>
    <row r="557" spans="2:23" outlineLevel="1">
      <c r="B557" s="230"/>
      <c r="C557" s="231"/>
      <c r="D557" s="232"/>
      <c r="E557" s="233"/>
      <c r="F557" s="234"/>
      <c r="G557"/>
      <c r="H557"/>
      <c r="I557"/>
      <c r="J557"/>
      <c r="K557"/>
      <c r="L557"/>
      <c r="M557"/>
      <c r="N557"/>
      <c r="O557"/>
      <c r="P557"/>
      <c r="Q557"/>
      <c r="R557"/>
      <c r="S557"/>
      <c r="T557"/>
      <c r="U557"/>
      <c r="V557"/>
      <c r="W557"/>
    </row>
    <row r="558" spans="2:23" outlineLevel="1">
      <c r="B558" s="235"/>
      <c r="C558" s="236"/>
      <c r="D558" s="237"/>
      <c r="E558" s="238"/>
      <c r="F558" s="234"/>
      <c r="G558"/>
      <c r="H558"/>
      <c r="I558"/>
      <c r="J558"/>
      <c r="K558"/>
      <c r="L558"/>
      <c r="M558"/>
      <c r="N558"/>
      <c r="O558"/>
      <c r="P558"/>
      <c r="Q558"/>
      <c r="R558"/>
      <c r="S558"/>
      <c r="T558"/>
      <c r="U558"/>
      <c r="V558"/>
      <c r="W558"/>
    </row>
    <row r="559" spans="2:23" outlineLevel="1">
      <c r="B559" s="230"/>
      <c r="C559" s="231"/>
      <c r="D559" s="232"/>
      <c r="E559" s="233"/>
      <c r="F559" s="234"/>
      <c r="G559"/>
      <c r="H559"/>
      <c r="I559"/>
      <c r="J559"/>
      <c r="K559"/>
      <c r="L559"/>
      <c r="M559"/>
      <c r="N559"/>
      <c r="O559"/>
      <c r="P559"/>
      <c r="Q559"/>
      <c r="R559"/>
      <c r="S559"/>
      <c r="T559"/>
      <c r="U559"/>
      <c r="V559"/>
      <c r="W559"/>
    </row>
    <row r="560" spans="2:23" outlineLevel="1">
      <c r="B560" s="235"/>
      <c r="C560" s="236"/>
      <c r="D560" s="237"/>
      <c r="E560" s="238"/>
      <c r="F560" s="234"/>
      <c r="G560"/>
      <c r="H560"/>
      <c r="I560"/>
      <c r="J560"/>
      <c r="K560"/>
      <c r="L560"/>
      <c r="M560"/>
      <c r="N560"/>
      <c r="O560"/>
      <c r="P560"/>
      <c r="Q560"/>
      <c r="R560"/>
      <c r="S560"/>
      <c r="T560"/>
      <c r="U560"/>
      <c r="V560"/>
      <c r="W560"/>
    </row>
    <row r="561" spans="2:23" outlineLevel="1">
      <c r="B561" s="230"/>
      <c r="C561" s="231"/>
      <c r="D561" s="232"/>
      <c r="E561" s="233"/>
      <c r="F561" s="234"/>
      <c r="G561"/>
      <c r="H561"/>
      <c r="I561"/>
      <c r="J561"/>
      <c r="K561"/>
      <c r="L561"/>
      <c r="M561"/>
      <c r="N561"/>
      <c r="O561"/>
      <c r="P561"/>
      <c r="Q561"/>
      <c r="R561"/>
      <c r="S561"/>
      <c r="T561"/>
      <c r="U561"/>
      <c r="V561"/>
      <c r="W561"/>
    </row>
    <row r="562" spans="2:23" outlineLevel="1">
      <c r="B562" s="235"/>
      <c r="C562" s="236"/>
      <c r="D562" s="237"/>
      <c r="E562" s="238"/>
      <c r="F562" s="234"/>
      <c r="G562"/>
      <c r="H562"/>
      <c r="I562"/>
      <c r="J562"/>
      <c r="K562"/>
      <c r="L562"/>
      <c r="M562"/>
      <c r="N562"/>
      <c r="O562"/>
      <c r="P562"/>
      <c r="Q562"/>
      <c r="R562"/>
      <c r="S562"/>
      <c r="T562"/>
      <c r="U562"/>
      <c r="V562"/>
      <c r="W562"/>
    </row>
    <row r="563" spans="2:23" outlineLevel="1">
      <c r="B563" s="230"/>
      <c r="C563" s="231"/>
      <c r="D563" s="232"/>
      <c r="E563" s="233"/>
      <c r="F563" s="234"/>
      <c r="G563"/>
      <c r="H563"/>
      <c r="I563"/>
      <c r="J563"/>
      <c r="K563"/>
      <c r="L563"/>
      <c r="M563"/>
      <c r="N563"/>
      <c r="O563"/>
      <c r="P563"/>
      <c r="Q563"/>
      <c r="R563"/>
      <c r="S563"/>
      <c r="T563"/>
      <c r="U563"/>
      <c r="V563"/>
      <c r="W563"/>
    </row>
    <row r="564" spans="2:23" outlineLevel="1">
      <c r="B564" s="235"/>
      <c r="C564" s="236"/>
      <c r="D564" s="237"/>
      <c r="E564" s="238"/>
      <c r="F564" s="234"/>
      <c r="G564"/>
      <c r="H564"/>
      <c r="I564"/>
      <c r="J564"/>
      <c r="K564"/>
      <c r="L564"/>
      <c r="M564"/>
      <c r="N564"/>
      <c r="O564"/>
      <c r="P564"/>
      <c r="Q564"/>
      <c r="R564"/>
      <c r="S564"/>
      <c r="T564"/>
      <c r="U564"/>
      <c r="V564"/>
      <c r="W564"/>
    </row>
    <row r="565" spans="2:23" outlineLevel="1">
      <c r="B565" s="230"/>
      <c r="C565" s="231"/>
      <c r="D565" s="232"/>
      <c r="E565" s="233"/>
      <c r="F565" s="234"/>
      <c r="G565"/>
      <c r="H565"/>
      <c r="I565"/>
      <c r="J565"/>
      <c r="K565"/>
      <c r="L565"/>
      <c r="M565"/>
      <c r="N565"/>
      <c r="O565"/>
      <c r="P565"/>
      <c r="Q565"/>
      <c r="R565"/>
      <c r="S565"/>
      <c r="T565"/>
      <c r="U565"/>
      <c r="V565"/>
      <c r="W565"/>
    </row>
    <row r="566" spans="2:23" outlineLevel="1">
      <c r="B566" s="235"/>
      <c r="C566" s="236"/>
      <c r="D566" s="237"/>
      <c r="E566" s="238"/>
      <c r="F566" s="234"/>
      <c r="G566"/>
      <c r="H566"/>
      <c r="I566"/>
      <c r="J566"/>
      <c r="K566"/>
      <c r="L566"/>
      <c r="M566"/>
      <c r="N566"/>
      <c r="O566"/>
      <c r="P566"/>
      <c r="Q566"/>
      <c r="R566"/>
      <c r="S566"/>
      <c r="T566"/>
      <c r="U566"/>
      <c r="V566"/>
      <c r="W566"/>
    </row>
    <row r="567" spans="2:23" outlineLevel="1">
      <c r="B567" s="230"/>
      <c r="C567" s="231"/>
      <c r="D567" s="232"/>
      <c r="E567" s="233"/>
      <c r="F567" s="234"/>
      <c r="G567"/>
      <c r="H567"/>
      <c r="I567"/>
      <c r="J567"/>
      <c r="K567"/>
      <c r="L567"/>
      <c r="M567"/>
      <c r="N567"/>
      <c r="O567"/>
      <c r="P567"/>
      <c r="Q567"/>
      <c r="R567"/>
      <c r="S567"/>
      <c r="T567"/>
      <c r="U567"/>
      <c r="V567"/>
      <c r="W567"/>
    </row>
    <row r="568" spans="2:23" outlineLevel="1">
      <c r="B568" s="235"/>
      <c r="C568" s="236"/>
      <c r="D568" s="237"/>
      <c r="E568" s="238"/>
      <c r="F568" s="234"/>
      <c r="G568"/>
      <c r="H568"/>
      <c r="I568"/>
      <c r="J568"/>
      <c r="K568"/>
      <c r="L568"/>
      <c r="M568"/>
      <c r="N568"/>
      <c r="O568"/>
      <c r="P568"/>
      <c r="Q568"/>
      <c r="R568"/>
      <c r="S568"/>
      <c r="T568"/>
      <c r="U568"/>
      <c r="V568"/>
      <c r="W568"/>
    </row>
    <row r="569" spans="2:23" outlineLevel="1">
      <c r="B569" s="230"/>
      <c r="C569" s="231"/>
      <c r="D569" s="232"/>
      <c r="E569" s="233"/>
      <c r="F569" s="234"/>
      <c r="G569"/>
      <c r="H569"/>
      <c r="I569"/>
      <c r="J569"/>
      <c r="K569"/>
      <c r="L569"/>
      <c r="M569"/>
      <c r="N569"/>
      <c r="O569"/>
      <c r="P569"/>
      <c r="Q569"/>
      <c r="R569"/>
      <c r="S569"/>
      <c r="T569"/>
      <c r="U569"/>
      <c r="V569"/>
      <c r="W569"/>
    </row>
    <row r="570" spans="2:23" outlineLevel="1">
      <c r="B570" s="235"/>
      <c r="C570" s="236"/>
      <c r="D570" s="237"/>
      <c r="E570" s="238"/>
      <c r="F570" s="234"/>
      <c r="G570"/>
      <c r="H570"/>
      <c r="I570"/>
      <c r="J570"/>
      <c r="K570"/>
      <c r="L570"/>
      <c r="M570"/>
      <c r="N570"/>
      <c r="O570"/>
      <c r="P570"/>
      <c r="Q570"/>
      <c r="R570"/>
      <c r="S570"/>
      <c r="T570"/>
      <c r="U570"/>
      <c r="V570"/>
      <c r="W570"/>
    </row>
    <row r="571" spans="2:23" outlineLevel="1">
      <c r="B571" s="230"/>
      <c r="C571" s="231"/>
      <c r="D571" s="232"/>
      <c r="E571" s="233"/>
      <c r="F571" s="234"/>
      <c r="G571"/>
      <c r="H571"/>
      <c r="I571"/>
      <c r="J571"/>
      <c r="K571"/>
      <c r="L571"/>
      <c r="M571"/>
      <c r="N571"/>
      <c r="O571"/>
      <c r="P571"/>
      <c r="Q571"/>
      <c r="R571"/>
      <c r="S571"/>
      <c r="T571"/>
      <c r="U571"/>
      <c r="V571"/>
      <c r="W571"/>
    </row>
    <row r="572" spans="2:23" outlineLevel="1">
      <c r="B572" s="235"/>
      <c r="C572" s="236"/>
      <c r="D572" s="237"/>
      <c r="E572" s="238"/>
      <c r="F572" s="234"/>
      <c r="G572"/>
      <c r="H572"/>
      <c r="I572"/>
      <c r="J572"/>
      <c r="K572"/>
      <c r="L572"/>
      <c r="M572"/>
      <c r="N572"/>
      <c r="O572"/>
      <c r="P572"/>
      <c r="Q572"/>
      <c r="R572"/>
      <c r="S572"/>
      <c r="T572"/>
      <c r="U572"/>
      <c r="V572"/>
      <c r="W572"/>
    </row>
    <row r="573" spans="2:23" outlineLevel="1">
      <c r="B573" s="230"/>
      <c r="C573" s="231"/>
      <c r="D573" s="232"/>
      <c r="E573" s="233"/>
      <c r="F573" s="234"/>
      <c r="G573"/>
      <c r="H573"/>
      <c r="I573"/>
      <c r="J573"/>
      <c r="K573"/>
      <c r="L573"/>
      <c r="M573"/>
      <c r="N573"/>
      <c r="O573"/>
      <c r="P573"/>
      <c r="Q573"/>
      <c r="R573"/>
      <c r="S573"/>
      <c r="T573"/>
      <c r="U573"/>
      <c r="V573"/>
      <c r="W573"/>
    </row>
    <row r="574" spans="2:23" outlineLevel="1">
      <c r="B574" s="235"/>
      <c r="C574" s="236"/>
      <c r="D574" s="237"/>
      <c r="E574" s="238"/>
      <c r="F574" s="234"/>
      <c r="G574"/>
      <c r="H574"/>
      <c r="I574"/>
      <c r="J574"/>
      <c r="K574"/>
      <c r="L574"/>
      <c r="M574"/>
      <c r="N574"/>
      <c r="O574"/>
      <c r="P574"/>
      <c r="Q574"/>
      <c r="R574"/>
      <c r="S574"/>
      <c r="T574"/>
      <c r="U574"/>
      <c r="V574"/>
      <c r="W574"/>
    </row>
    <row r="575" spans="2:23" outlineLevel="1">
      <c r="B575" s="230"/>
      <c r="C575" s="231"/>
      <c r="D575" s="232"/>
      <c r="E575" s="233"/>
      <c r="F575" s="234"/>
      <c r="G575"/>
      <c r="H575"/>
      <c r="I575"/>
      <c r="J575"/>
      <c r="K575"/>
      <c r="L575"/>
      <c r="M575"/>
      <c r="N575"/>
      <c r="O575"/>
      <c r="P575"/>
      <c r="Q575"/>
      <c r="R575"/>
      <c r="S575"/>
      <c r="T575"/>
      <c r="U575"/>
      <c r="V575"/>
      <c r="W575"/>
    </row>
    <row r="576" spans="2:23" outlineLevel="1">
      <c r="B576" s="235"/>
      <c r="C576" s="236"/>
      <c r="D576" s="237"/>
      <c r="E576" s="238"/>
      <c r="F576" s="234"/>
      <c r="G576"/>
      <c r="H576"/>
      <c r="I576"/>
      <c r="J576"/>
      <c r="K576"/>
      <c r="L576"/>
      <c r="M576"/>
      <c r="N576"/>
      <c r="O576"/>
      <c r="P576"/>
      <c r="Q576"/>
      <c r="R576"/>
      <c r="S576"/>
      <c r="T576"/>
      <c r="U576"/>
      <c r="V576"/>
      <c r="W576"/>
    </row>
    <row r="577" spans="2:23" outlineLevel="1">
      <c r="B577" s="230"/>
      <c r="C577" s="231"/>
      <c r="D577" s="232"/>
      <c r="E577" s="233"/>
      <c r="F577" s="234"/>
      <c r="G577"/>
      <c r="H577"/>
      <c r="I577"/>
      <c r="J577"/>
      <c r="K577"/>
      <c r="L577"/>
      <c r="M577"/>
      <c r="N577"/>
      <c r="O577"/>
      <c r="P577"/>
      <c r="Q577"/>
      <c r="R577"/>
      <c r="S577"/>
      <c r="T577"/>
      <c r="U577"/>
      <c r="V577"/>
      <c r="W577"/>
    </row>
    <row r="578" spans="2:23" outlineLevel="1">
      <c r="B578" s="235"/>
      <c r="C578" s="236"/>
      <c r="D578" s="237"/>
      <c r="E578" s="238"/>
      <c r="F578" s="234"/>
      <c r="G578"/>
      <c r="H578"/>
      <c r="I578"/>
      <c r="J578"/>
      <c r="K578"/>
      <c r="L578"/>
      <c r="M578"/>
      <c r="N578"/>
      <c r="O578"/>
      <c r="P578"/>
      <c r="Q578"/>
      <c r="R578"/>
      <c r="S578"/>
      <c r="T578"/>
      <c r="U578"/>
      <c r="V578"/>
      <c r="W578"/>
    </row>
    <row r="579" spans="2:23" outlineLevel="1">
      <c r="B579" s="230"/>
      <c r="C579" s="231"/>
      <c r="D579" s="232"/>
      <c r="E579" s="233"/>
      <c r="F579" s="234"/>
      <c r="G579"/>
      <c r="H579"/>
      <c r="I579"/>
      <c r="J579"/>
      <c r="K579"/>
      <c r="L579"/>
      <c r="M579"/>
      <c r="N579"/>
      <c r="O579"/>
      <c r="P579"/>
      <c r="Q579"/>
      <c r="R579"/>
      <c r="S579"/>
      <c r="T579"/>
      <c r="U579"/>
      <c r="V579"/>
      <c r="W579"/>
    </row>
    <row r="580" spans="2:23" outlineLevel="1">
      <c r="B580" s="235"/>
      <c r="C580" s="236"/>
      <c r="D580" s="237"/>
      <c r="E580" s="238"/>
      <c r="F580" s="234"/>
      <c r="G580"/>
      <c r="H580"/>
      <c r="I580"/>
      <c r="J580"/>
      <c r="K580"/>
      <c r="L580"/>
      <c r="M580"/>
      <c r="N580"/>
      <c r="O580"/>
      <c r="P580"/>
      <c r="Q580"/>
      <c r="R580"/>
      <c r="S580"/>
      <c r="T580"/>
      <c r="U580"/>
      <c r="V580"/>
      <c r="W580"/>
    </row>
    <row r="581" spans="2:23" outlineLevel="1">
      <c r="B581" s="230"/>
      <c r="C581" s="231"/>
      <c r="D581" s="232"/>
      <c r="E581" s="233"/>
      <c r="F581" s="234"/>
      <c r="G581"/>
      <c r="H581"/>
      <c r="I581"/>
      <c r="J581"/>
      <c r="K581"/>
      <c r="L581"/>
      <c r="M581"/>
      <c r="N581"/>
      <c r="O581"/>
      <c r="P581"/>
      <c r="Q581"/>
      <c r="R581"/>
      <c r="S581"/>
      <c r="T581"/>
      <c r="U581"/>
      <c r="V581"/>
      <c r="W581"/>
    </row>
    <row r="582" spans="2:23" outlineLevel="1">
      <c r="B582" s="235"/>
      <c r="C582" s="236"/>
      <c r="D582" s="237"/>
      <c r="E582" s="238"/>
      <c r="F582" s="234"/>
      <c r="G582"/>
      <c r="H582"/>
      <c r="I582"/>
      <c r="J582"/>
      <c r="K582"/>
      <c r="L582"/>
      <c r="M582"/>
      <c r="N582"/>
      <c r="O582"/>
      <c r="P582"/>
      <c r="Q582"/>
      <c r="R582"/>
      <c r="S582"/>
      <c r="T582"/>
      <c r="U582"/>
      <c r="V582"/>
      <c r="W582"/>
    </row>
    <row r="583" spans="2:23" outlineLevel="1">
      <c r="B583" s="230"/>
      <c r="C583" s="231"/>
      <c r="D583" s="232"/>
      <c r="E583" s="233"/>
      <c r="F583" s="234"/>
      <c r="G583"/>
      <c r="H583"/>
      <c r="I583"/>
      <c r="J583"/>
      <c r="K583"/>
      <c r="L583"/>
      <c r="M583"/>
      <c r="N583"/>
      <c r="O583"/>
      <c r="P583"/>
      <c r="Q583"/>
      <c r="R583"/>
      <c r="S583"/>
      <c r="T583"/>
      <c r="U583"/>
      <c r="V583"/>
      <c r="W583"/>
    </row>
    <row r="584" spans="2:23" outlineLevel="1">
      <c r="B584" s="235"/>
      <c r="C584" s="236"/>
      <c r="D584" s="237"/>
      <c r="E584" s="238"/>
      <c r="F584" s="234"/>
      <c r="G584"/>
      <c r="H584"/>
      <c r="I584"/>
      <c r="J584"/>
      <c r="K584"/>
      <c r="L584"/>
      <c r="M584"/>
      <c r="N584"/>
      <c r="O584"/>
      <c r="P584"/>
      <c r="Q584"/>
      <c r="R584"/>
      <c r="S584"/>
      <c r="T584"/>
      <c r="U584"/>
      <c r="V584"/>
      <c r="W584"/>
    </row>
    <row r="585" spans="2:23" outlineLevel="1">
      <c r="B585" s="230"/>
      <c r="C585" s="231"/>
      <c r="D585" s="232"/>
      <c r="E585" s="233"/>
      <c r="F585" s="234"/>
      <c r="G585"/>
      <c r="H585"/>
      <c r="I585"/>
      <c r="J585"/>
      <c r="K585"/>
      <c r="L585"/>
      <c r="M585"/>
      <c r="N585"/>
      <c r="O585"/>
      <c r="P585"/>
      <c r="Q585"/>
      <c r="R585"/>
      <c r="S585"/>
      <c r="T585"/>
      <c r="U585"/>
      <c r="V585"/>
      <c r="W585"/>
    </row>
    <row r="586" spans="2:23" outlineLevel="1">
      <c r="B586" s="235"/>
      <c r="C586" s="236"/>
      <c r="D586" s="237"/>
      <c r="E586" s="238"/>
      <c r="F586" s="234"/>
      <c r="G586"/>
      <c r="H586"/>
      <c r="I586"/>
      <c r="J586"/>
      <c r="K586"/>
      <c r="L586"/>
      <c r="M586"/>
      <c r="N586"/>
      <c r="O586"/>
      <c r="P586"/>
      <c r="Q586"/>
      <c r="R586"/>
      <c r="S586"/>
      <c r="T586"/>
      <c r="U586"/>
      <c r="V586"/>
      <c r="W586"/>
    </row>
    <row r="587" spans="2:23" outlineLevel="1">
      <c r="B587" s="230"/>
      <c r="C587" s="231"/>
      <c r="D587" s="232"/>
      <c r="E587" s="233"/>
      <c r="F587" s="234"/>
      <c r="G587"/>
      <c r="H587"/>
      <c r="I587"/>
      <c r="J587"/>
      <c r="K587"/>
      <c r="L587"/>
      <c r="M587"/>
      <c r="N587"/>
      <c r="O587"/>
      <c r="P587"/>
      <c r="Q587"/>
      <c r="R587"/>
      <c r="S587"/>
      <c r="T587"/>
      <c r="U587"/>
      <c r="V587"/>
      <c r="W587"/>
    </row>
    <row r="588" spans="2:23" outlineLevel="1">
      <c r="B588" s="235"/>
      <c r="C588" s="236"/>
      <c r="D588" s="237"/>
      <c r="E588" s="238"/>
      <c r="F588" s="234"/>
      <c r="G588"/>
      <c r="H588"/>
      <c r="I588"/>
      <c r="J588"/>
      <c r="K588"/>
      <c r="L588"/>
      <c r="M588"/>
      <c r="N588"/>
      <c r="O588"/>
      <c r="P588"/>
      <c r="Q588"/>
      <c r="R588"/>
      <c r="S588"/>
      <c r="T588"/>
      <c r="U588"/>
      <c r="V588"/>
      <c r="W588"/>
    </row>
    <row r="589" spans="2:23" outlineLevel="1">
      <c r="B589" s="230"/>
      <c r="C589" s="231"/>
      <c r="D589" s="232"/>
      <c r="E589" s="233"/>
      <c r="F589" s="234"/>
      <c r="G589"/>
      <c r="H589"/>
      <c r="I589"/>
      <c r="J589"/>
      <c r="K589"/>
      <c r="L589"/>
      <c r="M589"/>
      <c r="N589"/>
      <c r="O589"/>
      <c r="P589"/>
      <c r="Q589"/>
      <c r="R589"/>
      <c r="S589"/>
      <c r="T589"/>
      <c r="U589"/>
      <c r="V589"/>
      <c r="W589"/>
    </row>
    <row r="590" spans="2:23" outlineLevel="1">
      <c r="B590" s="235"/>
      <c r="C590" s="236"/>
      <c r="D590" s="237"/>
      <c r="E590" s="238"/>
      <c r="F590" s="234"/>
      <c r="G590"/>
      <c r="H590"/>
      <c r="I590"/>
      <c r="J590"/>
      <c r="K590"/>
      <c r="L590"/>
      <c r="M590"/>
      <c r="N590"/>
      <c r="O590"/>
      <c r="P590"/>
      <c r="Q590"/>
      <c r="R590"/>
      <c r="S590"/>
      <c r="T590"/>
      <c r="U590"/>
      <c r="V590"/>
      <c r="W590"/>
    </row>
    <row r="591" spans="2:23" outlineLevel="1">
      <c r="B591" s="230"/>
      <c r="C591" s="231"/>
      <c r="D591" s="232"/>
      <c r="E591" s="233"/>
      <c r="F591" s="234"/>
      <c r="G591"/>
      <c r="H591"/>
      <c r="I591"/>
      <c r="J591"/>
      <c r="K591"/>
      <c r="L591"/>
      <c r="M591"/>
      <c r="N591"/>
      <c r="O591"/>
      <c r="P591"/>
      <c r="Q591"/>
      <c r="R591"/>
      <c r="S591"/>
      <c r="T591"/>
      <c r="U591"/>
      <c r="V591"/>
      <c r="W591"/>
    </row>
    <row r="592" spans="2:23" outlineLevel="1">
      <c r="B592" s="235"/>
      <c r="C592" s="236"/>
      <c r="D592" s="237"/>
      <c r="E592" s="238"/>
      <c r="F592" s="234"/>
      <c r="G592"/>
      <c r="H592"/>
      <c r="I592"/>
      <c r="J592"/>
      <c r="K592"/>
      <c r="L592"/>
      <c r="M592"/>
      <c r="N592"/>
      <c r="O592"/>
      <c r="P592"/>
      <c r="Q592"/>
      <c r="R592"/>
      <c r="S592"/>
      <c r="T592"/>
      <c r="U592"/>
      <c r="V592"/>
      <c r="W592"/>
    </row>
    <row r="593" spans="2:23" outlineLevel="1">
      <c r="B593" s="230"/>
      <c r="C593" s="231"/>
      <c r="D593" s="232"/>
      <c r="E593" s="233"/>
      <c r="F593" s="234"/>
      <c r="G593"/>
      <c r="H593"/>
      <c r="I593"/>
      <c r="J593"/>
      <c r="K593"/>
      <c r="L593"/>
      <c r="M593"/>
      <c r="N593"/>
      <c r="O593"/>
      <c r="P593"/>
      <c r="Q593"/>
      <c r="R593"/>
      <c r="S593"/>
      <c r="T593"/>
      <c r="U593"/>
      <c r="V593"/>
      <c r="W593"/>
    </row>
    <row r="594" spans="2:23" outlineLevel="1">
      <c r="B594" s="235"/>
      <c r="C594" s="236"/>
      <c r="D594" s="237"/>
      <c r="E594" s="238"/>
      <c r="F594" s="234"/>
      <c r="G594"/>
      <c r="H594"/>
      <c r="I594"/>
      <c r="J594"/>
      <c r="K594"/>
      <c r="L594"/>
      <c r="M594"/>
      <c r="N594"/>
      <c r="O594"/>
      <c r="P594"/>
      <c r="Q594"/>
      <c r="R594"/>
      <c r="S594"/>
      <c r="T594"/>
      <c r="U594"/>
      <c r="V594"/>
      <c r="W594"/>
    </row>
    <row r="595" spans="2:23" outlineLevel="1">
      <c r="B595" s="230"/>
      <c r="C595" s="231"/>
      <c r="D595" s="232"/>
      <c r="E595" s="233"/>
      <c r="F595" s="234"/>
      <c r="G595"/>
      <c r="H595"/>
      <c r="I595"/>
      <c r="J595"/>
      <c r="K595"/>
      <c r="L595"/>
      <c r="M595"/>
      <c r="N595"/>
      <c r="O595"/>
      <c r="P595"/>
      <c r="Q595"/>
      <c r="R595"/>
      <c r="S595"/>
      <c r="T595"/>
      <c r="U595"/>
      <c r="V595"/>
      <c r="W595"/>
    </row>
    <row r="596" spans="2:23" outlineLevel="1">
      <c r="B596" s="235"/>
      <c r="C596" s="236"/>
      <c r="D596" s="237"/>
      <c r="E596" s="238"/>
      <c r="F596" s="234"/>
      <c r="G596"/>
      <c r="H596"/>
      <c r="I596"/>
      <c r="J596"/>
      <c r="K596"/>
      <c r="L596"/>
      <c r="M596"/>
      <c r="N596"/>
      <c r="O596"/>
      <c r="P596"/>
      <c r="Q596"/>
      <c r="R596"/>
      <c r="S596"/>
      <c r="T596"/>
      <c r="U596"/>
      <c r="V596"/>
      <c r="W596"/>
    </row>
    <row r="597" spans="2:23" outlineLevel="1">
      <c r="B597" s="230"/>
      <c r="C597" s="231"/>
      <c r="D597" s="232"/>
      <c r="E597" s="233"/>
      <c r="F597" s="234"/>
      <c r="G597"/>
      <c r="H597"/>
      <c r="I597"/>
      <c r="J597"/>
      <c r="K597"/>
      <c r="L597"/>
      <c r="M597"/>
      <c r="N597"/>
      <c r="O597"/>
      <c r="P597"/>
      <c r="Q597"/>
      <c r="R597"/>
      <c r="S597"/>
      <c r="T597"/>
      <c r="U597"/>
      <c r="V597"/>
      <c r="W597"/>
    </row>
    <row r="598" spans="2:23" outlineLevel="1">
      <c r="B598" s="235"/>
      <c r="C598" s="236"/>
      <c r="D598" s="237"/>
      <c r="E598" s="238"/>
      <c r="F598" s="234"/>
      <c r="G598"/>
      <c r="H598"/>
      <c r="I598"/>
      <c r="J598"/>
      <c r="K598"/>
      <c r="L598"/>
      <c r="M598"/>
      <c r="N598"/>
      <c r="O598"/>
      <c r="P598"/>
      <c r="Q598"/>
      <c r="R598"/>
      <c r="S598"/>
      <c r="T598"/>
      <c r="U598"/>
      <c r="V598"/>
      <c r="W598"/>
    </row>
    <row r="599" spans="2:23" outlineLevel="1">
      <c r="B599" s="230"/>
      <c r="C599" s="231"/>
      <c r="D599" s="232"/>
      <c r="E599" s="233"/>
      <c r="F599" s="234"/>
      <c r="G599"/>
      <c r="H599"/>
      <c r="I599"/>
      <c r="J599"/>
      <c r="K599"/>
      <c r="L599"/>
      <c r="M599"/>
      <c r="N599"/>
      <c r="O599"/>
      <c r="P599"/>
      <c r="Q599"/>
      <c r="R599"/>
      <c r="S599"/>
      <c r="T599"/>
      <c r="U599"/>
      <c r="V599"/>
      <c r="W599"/>
    </row>
    <row r="600" spans="2:23" outlineLevel="1">
      <c r="B600" s="235"/>
      <c r="C600" s="236"/>
      <c r="D600" s="237"/>
      <c r="E600" s="238"/>
      <c r="F600" s="234"/>
      <c r="G600"/>
      <c r="H600"/>
      <c r="I600"/>
      <c r="J600"/>
      <c r="K600"/>
      <c r="L600"/>
      <c r="M600"/>
      <c r="N600"/>
      <c r="O600"/>
      <c r="P600"/>
      <c r="Q600"/>
      <c r="R600"/>
      <c r="S600"/>
      <c r="T600"/>
      <c r="U600"/>
      <c r="V600"/>
      <c r="W600"/>
    </row>
    <row r="601" spans="2:23" outlineLevel="1">
      <c r="B601" s="230"/>
      <c r="C601" s="231"/>
      <c r="D601" s="232"/>
      <c r="E601" s="233"/>
      <c r="F601" s="234"/>
      <c r="G601"/>
      <c r="H601"/>
      <c r="I601"/>
      <c r="J601"/>
      <c r="K601"/>
      <c r="L601"/>
      <c r="M601"/>
      <c r="N601"/>
      <c r="O601"/>
      <c r="P601"/>
      <c r="Q601"/>
      <c r="R601"/>
      <c r="S601"/>
      <c r="T601"/>
      <c r="U601"/>
      <c r="V601"/>
      <c r="W601"/>
    </row>
    <row r="602" spans="2:23" outlineLevel="1">
      <c r="B602" s="235"/>
      <c r="C602" s="236"/>
      <c r="D602" s="237"/>
      <c r="E602" s="238"/>
      <c r="F602" s="234"/>
      <c r="G602"/>
      <c r="H602"/>
      <c r="I602"/>
      <c r="J602"/>
      <c r="K602"/>
      <c r="L602"/>
      <c r="M602"/>
      <c r="N602"/>
      <c r="O602"/>
      <c r="P602"/>
      <c r="Q602"/>
      <c r="R602"/>
      <c r="S602"/>
      <c r="T602"/>
      <c r="U602"/>
      <c r="V602"/>
      <c r="W602"/>
    </row>
    <row r="603" spans="2:23" outlineLevel="1">
      <c r="B603" s="230"/>
      <c r="C603" s="231"/>
      <c r="D603" s="232"/>
      <c r="E603" s="233"/>
      <c r="F603" s="234"/>
      <c r="G603"/>
      <c r="H603"/>
      <c r="I603"/>
      <c r="J603"/>
      <c r="K603"/>
      <c r="L603"/>
      <c r="M603"/>
      <c r="N603"/>
      <c r="O603"/>
      <c r="P603"/>
      <c r="Q603"/>
      <c r="R603"/>
      <c r="S603"/>
      <c r="T603"/>
      <c r="U603"/>
      <c r="V603"/>
      <c r="W603"/>
    </row>
    <row r="604" spans="2:23" outlineLevel="1">
      <c r="B604" s="235"/>
      <c r="C604" s="236"/>
      <c r="D604" s="237"/>
      <c r="E604" s="238"/>
      <c r="F604" s="234"/>
      <c r="G604"/>
      <c r="H604"/>
      <c r="I604"/>
      <c r="J604"/>
      <c r="K604"/>
      <c r="L604"/>
      <c r="M604"/>
      <c r="N604"/>
      <c r="O604"/>
      <c r="P604"/>
      <c r="Q604"/>
      <c r="R604"/>
      <c r="S604"/>
      <c r="T604"/>
      <c r="U604"/>
      <c r="V604"/>
      <c r="W604"/>
    </row>
    <row r="605" spans="2:23" outlineLevel="1">
      <c r="B605" s="230"/>
      <c r="C605" s="231"/>
      <c r="D605" s="232"/>
      <c r="E605" s="233"/>
      <c r="F605" s="234"/>
      <c r="G605"/>
      <c r="H605"/>
      <c r="I605"/>
      <c r="J605"/>
      <c r="K605"/>
      <c r="L605"/>
      <c r="M605"/>
      <c r="N605"/>
      <c r="O605"/>
      <c r="P605"/>
      <c r="Q605"/>
      <c r="R605"/>
      <c r="S605"/>
      <c r="T605"/>
      <c r="U605"/>
      <c r="V605"/>
      <c r="W605"/>
    </row>
    <row r="606" spans="2:23" outlineLevel="1">
      <c r="B606" s="235"/>
      <c r="C606" s="236"/>
      <c r="D606" s="237"/>
      <c r="E606" s="238"/>
      <c r="F606" s="234"/>
      <c r="G606"/>
      <c r="H606"/>
      <c r="I606"/>
      <c r="J606"/>
      <c r="K606"/>
      <c r="L606"/>
      <c r="M606"/>
      <c r="N606"/>
      <c r="O606"/>
      <c r="P606"/>
      <c r="Q606"/>
      <c r="R606"/>
      <c r="S606"/>
      <c r="T606"/>
      <c r="U606"/>
      <c r="V606"/>
      <c r="W606"/>
    </row>
    <row r="607" spans="2:23" outlineLevel="1">
      <c r="B607" s="230"/>
      <c r="C607" s="231"/>
      <c r="D607" s="232"/>
      <c r="E607" s="233"/>
      <c r="F607" s="234"/>
      <c r="G607"/>
      <c r="H607"/>
      <c r="I607"/>
      <c r="J607"/>
      <c r="K607"/>
      <c r="L607"/>
      <c r="M607"/>
      <c r="N607"/>
      <c r="O607"/>
      <c r="P607"/>
      <c r="Q607"/>
      <c r="R607"/>
      <c r="S607"/>
      <c r="T607"/>
      <c r="U607"/>
      <c r="V607"/>
      <c r="W607"/>
    </row>
    <row r="608" spans="2:23" outlineLevel="1">
      <c r="B608" s="235"/>
      <c r="C608" s="236"/>
      <c r="D608" s="237"/>
      <c r="E608" s="238"/>
      <c r="F608" s="234"/>
      <c r="G608"/>
      <c r="H608"/>
      <c r="I608"/>
      <c r="J608"/>
      <c r="K608"/>
      <c r="L608"/>
      <c r="M608"/>
      <c r="N608"/>
      <c r="O608"/>
      <c r="P608"/>
      <c r="Q608"/>
      <c r="R608"/>
      <c r="S608"/>
      <c r="T608"/>
      <c r="U608"/>
      <c r="V608"/>
      <c r="W608"/>
    </row>
    <row r="609" spans="2:23" outlineLevel="1">
      <c r="B609" s="230"/>
      <c r="C609" s="231"/>
      <c r="D609" s="232"/>
      <c r="E609" s="233"/>
      <c r="F609" s="234"/>
      <c r="G609"/>
      <c r="H609"/>
      <c r="I609"/>
      <c r="J609"/>
      <c r="K609"/>
      <c r="L609"/>
      <c r="M609"/>
      <c r="N609"/>
      <c r="O609"/>
      <c r="P609"/>
      <c r="Q609"/>
      <c r="R609"/>
      <c r="S609"/>
      <c r="T609"/>
      <c r="U609"/>
      <c r="V609"/>
      <c r="W609"/>
    </row>
    <row r="610" spans="2:23" outlineLevel="1">
      <c r="B610" s="235"/>
      <c r="C610" s="236"/>
      <c r="D610" s="237"/>
      <c r="E610" s="238"/>
      <c r="F610" s="234"/>
      <c r="G610"/>
      <c r="H610"/>
      <c r="I610"/>
      <c r="J610"/>
      <c r="K610"/>
      <c r="L610"/>
      <c r="M610"/>
      <c r="N610"/>
      <c r="O610"/>
      <c r="P610"/>
      <c r="Q610"/>
      <c r="R610"/>
      <c r="S610"/>
      <c r="T610"/>
      <c r="U610"/>
      <c r="V610"/>
      <c r="W610"/>
    </row>
    <row r="611" spans="2:23" outlineLevel="1">
      <c r="B611" s="230"/>
      <c r="C611" s="231"/>
      <c r="D611" s="232"/>
      <c r="E611" s="233"/>
      <c r="F611" s="234"/>
      <c r="G611"/>
      <c r="H611"/>
      <c r="I611"/>
      <c r="J611"/>
      <c r="K611"/>
      <c r="L611"/>
      <c r="M611"/>
      <c r="N611"/>
      <c r="O611"/>
      <c r="P611"/>
      <c r="Q611"/>
      <c r="R611"/>
      <c r="S611"/>
      <c r="T611"/>
      <c r="U611"/>
      <c r="V611"/>
      <c r="W611"/>
    </row>
    <row r="612" spans="2:23" outlineLevel="1">
      <c r="B612" s="235"/>
      <c r="C612" s="236"/>
      <c r="D612" s="237"/>
      <c r="E612" s="238"/>
      <c r="F612" s="234"/>
      <c r="G612"/>
      <c r="H612"/>
      <c r="I612"/>
      <c r="J612"/>
      <c r="K612"/>
      <c r="L612"/>
      <c r="M612"/>
      <c r="N612"/>
      <c r="O612"/>
      <c r="P612"/>
      <c r="Q612"/>
      <c r="R612"/>
      <c r="S612"/>
      <c r="T612"/>
      <c r="U612"/>
      <c r="V612"/>
      <c r="W612"/>
    </row>
    <row r="613" spans="2:23" outlineLevel="1">
      <c r="B613" s="230"/>
      <c r="C613" s="231"/>
      <c r="D613" s="232"/>
      <c r="E613" s="233"/>
      <c r="F613" s="234"/>
      <c r="G613"/>
      <c r="H613"/>
      <c r="I613"/>
      <c r="J613"/>
      <c r="K613"/>
      <c r="L613"/>
      <c r="M613"/>
      <c r="N613"/>
      <c r="O613"/>
      <c r="P613"/>
      <c r="Q613"/>
      <c r="R613"/>
      <c r="S613"/>
      <c r="T613"/>
      <c r="U613"/>
      <c r="V613"/>
      <c r="W613"/>
    </row>
    <row r="614" spans="2:23" outlineLevel="1">
      <c r="B614" s="235"/>
      <c r="C614" s="236"/>
      <c r="D614" s="237"/>
      <c r="E614" s="238"/>
      <c r="F614" s="234"/>
      <c r="G614"/>
      <c r="H614"/>
      <c r="I614"/>
      <c r="J614"/>
      <c r="K614"/>
      <c r="L614"/>
      <c r="M614"/>
      <c r="N614"/>
      <c r="O614"/>
      <c r="P614"/>
      <c r="Q614"/>
      <c r="R614"/>
      <c r="S614"/>
      <c r="T614"/>
      <c r="U614"/>
      <c r="V614"/>
      <c r="W614"/>
    </row>
    <row r="615" spans="2:23" outlineLevel="1">
      <c r="B615" s="230"/>
      <c r="C615" s="231"/>
      <c r="D615" s="232"/>
      <c r="E615" s="233"/>
      <c r="F615" s="234"/>
      <c r="G615"/>
      <c r="H615"/>
      <c r="I615"/>
      <c r="J615"/>
      <c r="K615"/>
      <c r="L615"/>
      <c r="M615"/>
      <c r="N615"/>
      <c r="O615"/>
      <c r="P615"/>
      <c r="Q615"/>
      <c r="R615"/>
      <c r="S615"/>
      <c r="T615"/>
      <c r="U615"/>
      <c r="V615"/>
      <c r="W615"/>
    </row>
    <row r="616" spans="2:23" outlineLevel="1">
      <c r="B616" s="235"/>
      <c r="C616" s="236"/>
      <c r="D616" s="237"/>
      <c r="E616" s="238"/>
      <c r="F616" s="234"/>
      <c r="G616"/>
      <c r="H616"/>
      <c r="I616"/>
      <c r="J616"/>
      <c r="K616"/>
      <c r="L616"/>
      <c r="M616"/>
      <c r="N616"/>
      <c r="O616"/>
      <c r="P616"/>
      <c r="Q616"/>
      <c r="R616"/>
      <c r="S616"/>
      <c r="T616"/>
      <c r="U616"/>
      <c r="V616"/>
      <c r="W616"/>
    </row>
    <row r="617" spans="2:23" outlineLevel="1">
      <c r="B617" s="230"/>
      <c r="C617" s="231"/>
      <c r="D617" s="232"/>
      <c r="E617" s="233"/>
      <c r="F617" s="234"/>
      <c r="G617"/>
      <c r="H617"/>
      <c r="I617"/>
      <c r="J617"/>
      <c r="K617"/>
      <c r="L617"/>
      <c r="M617"/>
      <c r="N617"/>
      <c r="O617"/>
      <c r="P617"/>
      <c r="Q617"/>
      <c r="R617"/>
      <c r="S617"/>
      <c r="T617"/>
      <c r="U617"/>
      <c r="V617"/>
      <c r="W617"/>
    </row>
    <row r="618" spans="2:23" outlineLevel="1">
      <c r="B618" s="235"/>
      <c r="C618" s="236"/>
      <c r="D618" s="237"/>
      <c r="E618" s="238"/>
      <c r="F618" s="234"/>
      <c r="G618"/>
      <c r="H618"/>
      <c r="I618"/>
      <c r="J618"/>
      <c r="K618"/>
      <c r="L618"/>
      <c r="M618"/>
      <c r="N618"/>
      <c r="O618"/>
      <c r="P618"/>
      <c r="Q618"/>
      <c r="R618"/>
      <c r="S618"/>
      <c r="T618"/>
      <c r="U618"/>
      <c r="V618"/>
      <c r="W618"/>
    </row>
    <row r="619" spans="2:23" outlineLevel="1">
      <c r="B619" s="230"/>
      <c r="C619" s="231"/>
      <c r="D619" s="232"/>
      <c r="E619" s="233"/>
      <c r="F619" s="234"/>
      <c r="G619"/>
      <c r="H619"/>
      <c r="I619"/>
      <c r="J619"/>
      <c r="K619"/>
      <c r="L619"/>
      <c r="M619"/>
      <c r="N619"/>
      <c r="O619"/>
      <c r="P619"/>
      <c r="Q619"/>
      <c r="R619"/>
      <c r="S619"/>
      <c r="T619"/>
      <c r="U619"/>
      <c r="V619"/>
      <c r="W619"/>
    </row>
    <row r="620" spans="2:23" outlineLevel="1">
      <c r="B620" s="235"/>
      <c r="C620" s="236"/>
      <c r="D620" s="237"/>
      <c r="E620" s="238"/>
      <c r="F620" s="234"/>
      <c r="G620"/>
      <c r="H620"/>
      <c r="I620"/>
      <c r="J620"/>
      <c r="K620"/>
      <c r="L620"/>
      <c r="M620"/>
      <c r="N620"/>
      <c r="O620"/>
      <c r="P620"/>
      <c r="Q620"/>
      <c r="R620"/>
      <c r="S620"/>
      <c r="T620"/>
      <c r="U620"/>
      <c r="V620"/>
      <c r="W620"/>
    </row>
    <row r="621" spans="2:23" outlineLevel="1">
      <c r="B621" s="230"/>
      <c r="C621" s="231"/>
      <c r="D621" s="232"/>
      <c r="E621" s="233"/>
      <c r="F621" s="234"/>
      <c r="G621"/>
      <c r="H621"/>
      <c r="I621"/>
      <c r="J621"/>
      <c r="K621"/>
      <c r="L621"/>
      <c r="M621"/>
      <c r="N621"/>
      <c r="O621"/>
      <c r="P621"/>
      <c r="Q621"/>
      <c r="R621"/>
      <c r="S621"/>
      <c r="T621"/>
      <c r="U621"/>
      <c r="V621"/>
      <c r="W621"/>
    </row>
    <row r="622" spans="2:23" outlineLevel="1">
      <c r="B622" s="235"/>
      <c r="C622" s="236"/>
      <c r="D622" s="237"/>
      <c r="E622" s="238"/>
      <c r="F622" s="234"/>
      <c r="G622"/>
      <c r="H622"/>
      <c r="I622"/>
      <c r="J622"/>
      <c r="K622"/>
      <c r="L622"/>
      <c r="M622"/>
      <c r="N622"/>
      <c r="O622"/>
      <c r="P622"/>
      <c r="Q622"/>
      <c r="R622"/>
      <c r="S622"/>
      <c r="T622"/>
      <c r="U622"/>
      <c r="V622"/>
      <c r="W622"/>
    </row>
    <row r="623" spans="2:23" outlineLevel="1">
      <c r="B623" s="230"/>
      <c r="C623" s="231"/>
      <c r="D623" s="232"/>
      <c r="E623" s="233"/>
      <c r="F623" s="234"/>
      <c r="G623"/>
      <c r="H623"/>
      <c r="I623"/>
      <c r="J623"/>
      <c r="K623"/>
      <c r="L623"/>
      <c r="M623"/>
      <c r="N623"/>
      <c r="O623"/>
      <c r="P623"/>
      <c r="Q623"/>
      <c r="R623"/>
      <c r="S623"/>
      <c r="T623"/>
      <c r="U623"/>
      <c r="V623"/>
      <c r="W623"/>
    </row>
    <row r="624" spans="2:23" outlineLevel="1">
      <c r="B624" s="235"/>
      <c r="C624" s="236"/>
      <c r="D624" s="237"/>
      <c r="E624" s="238"/>
      <c r="F624" s="234"/>
      <c r="G624"/>
      <c r="H624"/>
      <c r="I624"/>
      <c r="J624"/>
      <c r="K624"/>
      <c r="L624"/>
      <c r="M624"/>
      <c r="N624"/>
      <c r="O624"/>
      <c r="P624"/>
      <c r="Q624"/>
      <c r="R624"/>
      <c r="S624"/>
      <c r="T624"/>
      <c r="U624"/>
      <c r="V624"/>
      <c r="W624"/>
    </row>
    <row r="625" spans="2:23" outlineLevel="1">
      <c r="B625" s="230"/>
      <c r="C625" s="231"/>
      <c r="D625" s="232"/>
      <c r="E625" s="233"/>
      <c r="F625" s="234"/>
      <c r="G625"/>
      <c r="H625"/>
      <c r="I625"/>
      <c r="J625"/>
      <c r="K625"/>
      <c r="L625"/>
      <c r="M625"/>
      <c r="N625"/>
      <c r="O625"/>
      <c r="P625"/>
      <c r="Q625"/>
      <c r="R625"/>
      <c r="S625"/>
      <c r="T625"/>
      <c r="U625"/>
      <c r="V625"/>
      <c r="W625"/>
    </row>
    <row r="626" spans="2:23" outlineLevel="1">
      <c r="B626" s="235"/>
      <c r="C626" s="236"/>
      <c r="D626" s="237"/>
      <c r="E626" s="238"/>
      <c r="F626" s="234"/>
      <c r="G626"/>
      <c r="H626"/>
      <c r="I626"/>
      <c r="J626"/>
      <c r="K626"/>
      <c r="L626"/>
      <c r="M626"/>
      <c r="N626"/>
      <c r="O626"/>
      <c r="P626"/>
      <c r="Q626"/>
      <c r="R626"/>
      <c r="S626"/>
      <c r="T626"/>
      <c r="U626"/>
      <c r="V626"/>
      <c r="W626"/>
    </row>
    <row r="627" spans="2:23" outlineLevel="1">
      <c r="B627" s="230"/>
      <c r="C627" s="231"/>
      <c r="D627" s="232"/>
      <c r="E627" s="233"/>
      <c r="F627" s="234"/>
      <c r="G627"/>
      <c r="H627"/>
      <c r="I627"/>
      <c r="J627"/>
      <c r="K627"/>
      <c r="L627"/>
      <c r="M627"/>
      <c r="N627"/>
      <c r="O627"/>
      <c r="P627"/>
      <c r="Q627"/>
      <c r="R627"/>
      <c r="S627"/>
      <c r="T627"/>
      <c r="U627"/>
      <c r="V627"/>
      <c r="W627"/>
    </row>
    <row r="628" spans="2:23" outlineLevel="1">
      <c r="B628" s="235"/>
      <c r="C628" s="236"/>
      <c r="D628" s="237"/>
      <c r="E628" s="238"/>
      <c r="F628" s="234"/>
      <c r="G628"/>
      <c r="H628"/>
      <c r="I628"/>
      <c r="J628"/>
      <c r="K628"/>
      <c r="L628"/>
      <c r="M628"/>
      <c r="N628"/>
      <c r="O628"/>
      <c r="P628"/>
      <c r="Q628"/>
      <c r="R628"/>
      <c r="S628"/>
      <c r="T628"/>
      <c r="U628"/>
      <c r="V628"/>
      <c r="W628"/>
    </row>
    <row r="629" spans="2:23" outlineLevel="1">
      <c r="B629" s="230"/>
      <c r="C629" s="231"/>
      <c r="D629" s="232"/>
      <c r="E629" s="233"/>
      <c r="F629" s="234"/>
      <c r="G629"/>
      <c r="H629"/>
      <c r="I629"/>
      <c r="J629"/>
      <c r="K629"/>
      <c r="L629"/>
      <c r="M629"/>
      <c r="N629"/>
      <c r="O629"/>
      <c r="P629"/>
      <c r="Q629"/>
      <c r="R629"/>
      <c r="S629"/>
      <c r="T629"/>
      <c r="U629"/>
      <c r="V629"/>
      <c r="W629"/>
    </row>
    <row r="630" spans="2:23" outlineLevel="1">
      <c r="B630" s="235"/>
      <c r="C630" s="236"/>
      <c r="D630" s="237"/>
      <c r="E630" s="238"/>
      <c r="F630" s="234"/>
      <c r="G630"/>
      <c r="H630"/>
      <c r="I630"/>
      <c r="J630"/>
      <c r="K630"/>
      <c r="L630"/>
      <c r="M630"/>
      <c r="N630"/>
      <c r="O630"/>
      <c r="P630"/>
      <c r="Q630"/>
      <c r="R630"/>
      <c r="S630"/>
      <c r="T630"/>
      <c r="U630"/>
      <c r="V630"/>
      <c r="W630"/>
    </row>
    <row r="631" spans="2:23" outlineLevel="1">
      <c r="B631" s="230"/>
      <c r="C631" s="231"/>
      <c r="D631" s="232"/>
      <c r="E631" s="233"/>
      <c r="F631" s="234"/>
      <c r="G631"/>
      <c r="H631"/>
      <c r="I631"/>
      <c r="J631"/>
      <c r="K631"/>
      <c r="L631"/>
      <c r="M631"/>
      <c r="N631"/>
      <c r="O631"/>
      <c r="P631"/>
      <c r="Q631"/>
      <c r="R631"/>
      <c r="S631"/>
      <c r="T631"/>
      <c r="U631"/>
      <c r="V631"/>
      <c r="W631"/>
    </row>
    <row r="632" spans="2:23" outlineLevel="1">
      <c r="B632" s="235"/>
      <c r="C632" s="236"/>
      <c r="D632" s="237"/>
      <c r="E632" s="238"/>
      <c r="F632" s="234"/>
      <c r="G632"/>
      <c r="H632"/>
      <c r="I632"/>
      <c r="J632"/>
      <c r="K632"/>
      <c r="L632"/>
      <c r="M632"/>
      <c r="N632"/>
      <c r="O632"/>
      <c r="P632"/>
      <c r="Q632"/>
      <c r="R632"/>
      <c r="S632"/>
      <c r="T632"/>
      <c r="U632"/>
      <c r="V632"/>
      <c r="W632"/>
    </row>
    <row r="633" spans="2:23" outlineLevel="1">
      <c r="B633" s="230"/>
      <c r="C633" s="231"/>
      <c r="D633" s="232"/>
      <c r="E633" s="233"/>
      <c r="F633" s="234"/>
      <c r="G633"/>
      <c r="H633"/>
      <c r="I633"/>
      <c r="J633"/>
      <c r="K633"/>
      <c r="L633"/>
      <c r="M633"/>
      <c r="N633"/>
      <c r="O633"/>
      <c r="P633"/>
      <c r="Q633"/>
      <c r="R633"/>
      <c r="S633"/>
      <c r="T633"/>
      <c r="U633"/>
      <c r="V633"/>
      <c r="W633"/>
    </row>
    <row r="634" spans="2:23" outlineLevel="1">
      <c r="B634" s="235"/>
      <c r="C634" s="236"/>
      <c r="D634" s="237"/>
      <c r="E634" s="238"/>
      <c r="F634" s="234"/>
      <c r="G634"/>
      <c r="H634"/>
      <c r="I634"/>
      <c r="J634"/>
      <c r="K634"/>
      <c r="L634"/>
      <c r="M634"/>
      <c r="N634"/>
      <c r="O634"/>
      <c r="P634"/>
      <c r="Q634"/>
      <c r="R634"/>
      <c r="S634"/>
      <c r="T634"/>
      <c r="U634"/>
      <c r="V634"/>
      <c r="W634"/>
    </row>
    <row r="635" spans="2:23" outlineLevel="1">
      <c r="B635" s="230"/>
      <c r="C635" s="231"/>
      <c r="D635" s="232"/>
      <c r="E635" s="233"/>
      <c r="F635" s="234"/>
      <c r="G635"/>
      <c r="H635"/>
      <c r="I635"/>
      <c r="J635"/>
      <c r="K635"/>
      <c r="L635"/>
      <c r="M635"/>
      <c r="N635"/>
      <c r="O635"/>
      <c r="P635"/>
      <c r="Q635"/>
      <c r="R635"/>
      <c r="S635"/>
      <c r="T635"/>
      <c r="U635"/>
      <c r="V635"/>
      <c r="W635"/>
    </row>
    <row r="636" spans="2:23" outlineLevel="1">
      <c r="B636" s="235"/>
      <c r="C636" s="236"/>
      <c r="D636" s="237"/>
      <c r="E636" s="238"/>
      <c r="F636" s="234"/>
      <c r="G636"/>
      <c r="H636"/>
      <c r="I636"/>
      <c r="J636"/>
      <c r="K636"/>
      <c r="L636"/>
      <c r="M636"/>
      <c r="N636"/>
      <c r="O636"/>
      <c r="P636"/>
      <c r="Q636"/>
      <c r="R636"/>
      <c r="S636"/>
      <c r="T636"/>
      <c r="U636"/>
      <c r="V636"/>
      <c r="W636"/>
    </row>
    <row r="637" spans="2:23" outlineLevel="1">
      <c r="B637" s="230"/>
      <c r="C637" s="231"/>
      <c r="D637" s="232"/>
      <c r="E637" s="233"/>
      <c r="F637" s="234"/>
      <c r="G637"/>
      <c r="H637"/>
      <c r="I637"/>
      <c r="J637"/>
      <c r="K637"/>
      <c r="L637"/>
      <c r="M637"/>
      <c r="N637"/>
      <c r="O637"/>
      <c r="P637"/>
      <c r="Q637"/>
      <c r="R637"/>
      <c r="S637"/>
      <c r="T637"/>
      <c r="U637"/>
      <c r="V637"/>
      <c r="W637"/>
    </row>
    <row r="638" spans="2:23" outlineLevel="1">
      <c r="B638" s="235"/>
      <c r="C638" s="236"/>
      <c r="D638" s="237"/>
      <c r="E638" s="238"/>
      <c r="F638" s="234"/>
      <c r="G638"/>
      <c r="H638"/>
      <c r="I638"/>
      <c r="J638"/>
      <c r="K638"/>
      <c r="L638"/>
      <c r="M638"/>
      <c r="N638"/>
      <c r="O638"/>
      <c r="P638"/>
      <c r="Q638"/>
      <c r="R638"/>
      <c r="S638"/>
      <c r="T638"/>
      <c r="U638"/>
      <c r="V638"/>
      <c r="W638"/>
    </row>
    <row r="639" spans="2:23" outlineLevel="1">
      <c r="B639" s="230"/>
      <c r="C639" s="231"/>
      <c r="D639" s="232"/>
      <c r="E639" s="233"/>
      <c r="F639" s="234"/>
      <c r="G639"/>
      <c r="H639"/>
      <c r="I639"/>
      <c r="J639"/>
      <c r="K639"/>
      <c r="L639"/>
      <c r="M639"/>
      <c r="N639"/>
      <c r="O639"/>
      <c r="P639"/>
      <c r="Q639"/>
      <c r="R639"/>
      <c r="S639"/>
      <c r="T639"/>
      <c r="U639"/>
      <c r="V639"/>
      <c r="W639"/>
    </row>
    <row r="640" spans="2:23" outlineLevel="1">
      <c r="B640" s="235"/>
      <c r="C640" s="236"/>
      <c r="D640" s="237"/>
      <c r="E640" s="238"/>
      <c r="F640" s="234"/>
      <c r="G640"/>
      <c r="H640"/>
      <c r="I640"/>
      <c r="J640"/>
      <c r="K640"/>
      <c r="L640"/>
      <c r="M640"/>
      <c r="N640"/>
      <c r="O640"/>
      <c r="P640"/>
      <c r="Q640"/>
      <c r="R640"/>
      <c r="S640"/>
      <c r="T640"/>
      <c r="U640"/>
      <c r="V640"/>
      <c r="W640"/>
    </row>
    <row r="641" spans="2:23" outlineLevel="1">
      <c r="B641" s="230"/>
      <c r="C641" s="231"/>
      <c r="D641" s="232"/>
      <c r="E641" s="233"/>
      <c r="F641" s="234"/>
      <c r="G641"/>
      <c r="H641"/>
      <c r="I641"/>
      <c r="J641"/>
      <c r="K641"/>
      <c r="L641"/>
      <c r="M641"/>
      <c r="N641"/>
      <c r="O641"/>
      <c r="P641"/>
      <c r="Q641"/>
      <c r="R641"/>
      <c r="S641"/>
      <c r="T641"/>
      <c r="U641"/>
      <c r="V641"/>
      <c r="W641"/>
    </row>
    <row r="642" spans="2:23" outlineLevel="1">
      <c r="B642" s="235"/>
      <c r="C642" s="236"/>
      <c r="D642" s="237"/>
      <c r="E642" s="238"/>
      <c r="F642" s="234"/>
      <c r="G642"/>
      <c r="H642"/>
      <c r="I642"/>
      <c r="J642"/>
      <c r="K642"/>
      <c r="L642"/>
      <c r="M642"/>
      <c r="N642"/>
      <c r="O642"/>
      <c r="P642"/>
      <c r="Q642"/>
      <c r="R642"/>
      <c r="S642"/>
      <c r="T642"/>
      <c r="U642"/>
      <c r="V642"/>
      <c r="W642"/>
    </row>
    <row r="643" spans="2:23" outlineLevel="1">
      <c r="B643" s="230"/>
      <c r="C643" s="231"/>
      <c r="D643" s="232"/>
      <c r="E643" s="233"/>
      <c r="F643" s="234"/>
      <c r="G643"/>
      <c r="H643"/>
      <c r="I643"/>
      <c r="J643"/>
      <c r="K643"/>
      <c r="L643"/>
      <c r="M643"/>
      <c r="N643"/>
      <c r="O643"/>
      <c r="P643"/>
      <c r="Q643"/>
      <c r="R643"/>
      <c r="S643"/>
      <c r="T643"/>
      <c r="U643"/>
      <c r="V643"/>
      <c r="W643"/>
    </row>
    <row r="644" spans="2:23" outlineLevel="1">
      <c r="B644" s="235"/>
      <c r="C644" s="236"/>
      <c r="D644" s="237"/>
      <c r="E644" s="238"/>
      <c r="F644" s="234"/>
      <c r="G644"/>
      <c r="H644"/>
      <c r="I644"/>
      <c r="J644"/>
      <c r="K644"/>
      <c r="L644"/>
      <c r="M644"/>
      <c r="N644"/>
      <c r="O644"/>
      <c r="P644"/>
      <c r="Q644"/>
      <c r="R644"/>
      <c r="S644"/>
      <c r="T644"/>
      <c r="U644"/>
      <c r="V644"/>
      <c r="W644"/>
    </row>
    <row r="645" spans="2:23" outlineLevel="1">
      <c r="B645" s="230"/>
      <c r="C645" s="231"/>
      <c r="D645" s="232"/>
      <c r="E645" s="233"/>
      <c r="F645" s="234"/>
      <c r="G645"/>
      <c r="H645"/>
      <c r="I645"/>
      <c r="J645"/>
      <c r="K645"/>
      <c r="L645"/>
      <c r="M645"/>
      <c r="N645"/>
      <c r="O645"/>
      <c r="P645"/>
      <c r="Q645"/>
      <c r="R645"/>
      <c r="S645"/>
      <c r="T645"/>
      <c r="U645"/>
      <c r="V645"/>
      <c r="W645"/>
    </row>
    <row r="646" spans="2:23" outlineLevel="1">
      <c r="B646" s="235"/>
      <c r="C646" s="236"/>
      <c r="D646" s="237"/>
      <c r="E646" s="238"/>
      <c r="F646" s="234"/>
      <c r="G646"/>
      <c r="H646"/>
      <c r="I646"/>
      <c r="J646"/>
      <c r="K646"/>
      <c r="L646"/>
      <c r="M646"/>
      <c r="N646"/>
      <c r="O646"/>
      <c r="P646"/>
      <c r="Q646"/>
      <c r="R646"/>
      <c r="S646"/>
      <c r="T646"/>
      <c r="U646"/>
      <c r="V646"/>
      <c r="W646"/>
    </row>
    <row r="647" spans="2:23" outlineLevel="1">
      <c r="B647" s="230"/>
      <c r="C647" s="231"/>
      <c r="D647" s="232"/>
      <c r="E647" s="233"/>
      <c r="F647" s="234"/>
      <c r="G647"/>
      <c r="H647"/>
      <c r="I647"/>
      <c r="J647"/>
      <c r="K647"/>
      <c r="L647"/>
      <c r="M647"/>
      <c r="N647"/>
      <c r="O647"/>
      <c r="P647"/>
      <c r="Q647"/>
      <c r="R647"/>
      <c r="S647"/>
      <c r="T647"/>
      <c r="U647"/>
      <c r="V647"/>
      <c r="W647"/>
    </row>
    <row r="648" spans="2:23" outlineLevel="1">
      <c r="B648" s="235"/>
      <c r="C648" s="236"/>
      <c r="D648" s="237"/>
      <c r="E648" s="238"/>
      <c r="F648" s="234"/>
      <c r="G648"/>
      <c r="H648"/>
      <c r="I648"/>
      <c r="J648"/>
      <c r="K648"/>
      <c r="L648"/>
      <c r="M648"/>
      <c r="N648"/>
      <c r="O648"/>
      <c r="P648"/>
      <c r="Q648"/>
      <c r="R648"/>
      <c r="S648"/>
      <c r="T648"/>
      <c r="U648"/>
      <c r="V648"/>
      <c r="W648"/>
    </row>
    <row r="649" spans="2:23" outlineLevel="1">
      <c r="B649" s="230"/>
      <c r="C649" s="231"/>
      <c r="D649" s="232"/>
      <c r="E649" s="233"/>
      <c r="F649" s="234"/>
      <c r="G649"/>
      <c r="H649"/>
      <c r="I649"/>
      <c r="J649"/>
      <c r="K649"/>
      <c r="L649"/>
      <c r="M649"/>
      <c r="N649"/>
      <c r="O649"/>
      <c r="P649"/>
      <c r="Q649"/>
      <c r="R649"/>
      <c r="S649"/>
      <c r="T649"/>
      <c r="U649"/>
      <c r="V649"/>
      <c r="W649"/>
    </row>
    <row r="650" spans="2:23" outlineLevel="1">
      <c r="B650" s="235"/>
      <c r="C650" s="236"/>
      <c r="D650" s="237"/>
      <c r="E650" s="238"/>
      <c r="F650" s="234"/>
      <c r="G650"/>
      <c r="H650"/>
      <c r="I650"/>
      <c r="J650"/>
      <c r="K650"/>
      <c r="L650"/>
      <c r="M650"/>
      <c r="N650"/>
      <c r="O650"/>
      <c r="P650"/>
      <c r="Q650"/>
      <c r="R650"/>
      <c r="S650"/>
      <c r="T650"/>
      <c r="U650"/>
      <c r="V650"/>
      <c r="W650"/>
    </row>
    <row r="651" spans="2:23" outlineLevel="1">
      <c r="B651" s="230"/>
      <c r="C651" s="231"/>
      <c r="D651" s="232"/>
      <c r="E651" s="233"/>
      <c r="F651" s="234"/>
      <c r="G651"/>
      <c r="H651"/>
      <c r="I651"/>
      <c r="J651"/>
      <c r="K651"/>
      <c r="L651"/>
      <c r="M651"/>
      <c r="N651"/>
      <c r="O651"/>
      <c r="P651"/>
      <c r="Q651"/>
      <c r="R651"/>
      <c r="S651"/>
      <c r="T651"/>
      <c r="U651"/>
      <c r="V651"/>
      <c r="W651"/>
    </row>
    <row r="652" spans="2:23">
      <c r="B652" s="19" t="s">
        <v>16</v>
      </c>
      <c r="C652" s="5"/>
      <c r="D652" s="17"/>
      <c r="E652" s="125"/>
      <c r="F652" s="39"/>
      <c r="G652"/>
    </row>
    <row r="653" spans="2:23">
      <c r="B653"/>
    </row>
  </sheetData>
  <sheetProtection password="EE8F" sheet="1" objects="1" scenarios="1"/>
  <mergeCells count="26">
    <mergeCell ref="H88:J88"/>
    <mergeCell ref="H96:J96"/>
    <mergeCell ref="H99:I99"/>
    <mergeCell ref="H22:J22"/>
    <mergeCell ref="H25:J25"/>
    <mergeCell ref="H26:J26"/>
    <mergeCell ref="H27:J27"/>
    <mergeCell ref="H45:J45"/>
    <mergeCell ref="H48:I48"/>
    <mergeCell ref="H29:J29"/>
    <mergeCell ref="H30:J30"/>
    <mergeCell ref="H31:J31"/>
    <mergeCell ref="H32:J32"/>
    <mergeCell ref="H35:J35"/>
    <mergeCell ref="H37:J37"/>
    <mergeCell ref="H28:J28"/>
    <mergeCell ref="H81:J81"/>
    <mergeCell ref="H82:J82"/>
    <mergeCell ref="H83:J83"/>
    <mergeCell ref="H86:J86"/>
    <mergeCell ref="H80:J80"/>
    <mergeCell ref="H73:J73"/>
    <mergeCell ref="H76:J76"/>
    <mergeCell ref="H77:J77"/>
    <mergeCell ref="H78:J78"/>
    <mergeCell ref="H79:J79"/>
  </mergeCells>
  <phoneticPr fontId="53"/>
  <dataValidations count="24">
    <dataValidation type="list" allowBlank="1" showInputMessage="1" showErrorMessage="1" sqref="W101 U101 S101 Q101 O101 U50 S50 Q50 O50 W50">
      <formula1>"0,1,2,3,4,5,6,7,8,9,10,11,12,13,14,15"</formula1>
    </dataValidation>
    <dataValidation type="list" allowBlank="1" showInputMessage="1" showErrorMessage="1" sqref="B39 B94:B101 B112:B113 B75 B87 B90 B36 B61:B62 B43:B50 B24">
      <formula1>"WR32,REMnd"</formula1>
    </dataValidation>
    <dataValidation type="list" allowBlank="1" showInputMessage="1" showErrorMessage="1" sqref="U75 U24">
      <formula1>"VFP, Specified Line, Immediate"</formula1>
    </dataValidation>
    <dataValidation type="list" allowBlank="1" showInputMessage="1" showErrorMessage="1" sqref="W75 W24">
      <formula1>"Register,Input"</formula1>
    </dataValidation>
    <dataValidation type="list" allowBlank="1" showInputMessage="1" showErrorMessage="1" sqref="O116:O117 O394:O395">
      <formula1>"LP,HS"</formula1>
    </dataValidation>
    <dataValidation type="list" allowBlank="1" showInputMessage="1" showErrorMessage="1" sqref="W61 U112 S112 Q112 O112 U61 S61 Q61 W112 O61">
      <formula1>"No Add,25% Add,50% Add"</formula1>
    </dataValidation>
    <dataValidation type="list" allowBlank="1" showInputMessage="1" showErrorMessage="1" sqref="O94 K98 O100 I98 O98 M98 T99 O49 W100 W36 W47 O43 K47 W49 I47 O47 M47 S98:S99 T48 Q97:Q99 M49 W94:W95 W43:W44 W87 U87 S87 U36 M100 W98 S94:S95 Q94:Q95 S43:S44 Q43:Q44 S47:S48 U94:U95 U97:U98 S36 U43:U44 U46:U47 J99:O99 J48:O48 Q46:Q48">
      <formula1>"Mask,No Mask"</formula1>
    </dataValidation>
    <dataValidation type="list" allowBlank="1" showInputMessage="1" showErrorMessage="1" sqref="U90 U39 W113 U113 S113 Q113 O113 W62 U62 S62 Q62 O62">
      <formula1>"0,1,2,3"</formula1>
    </dataValidation>
    <dataValidation type="list" allowBlank="1" showInputMessage="1" showErrorMessage="1" sqref="W90 W39">
      <formula1>"By Reg, By PORT"</formula1>
    </dataValidation>
    <dataValidation type="list" allowBlank="1" showInputMessage="1" showErrorMessage="1" sqref="M84 M33">
      <formula1>"Forced to STOP, Keep Operation"</formula1>
    </dataValidation>
    <dataValidation type="list" allowBlank="1" showInputMessage="1" showErrorMessage="1" sqref="W85 U85 O84 W34 Q33:Q34 Q84:Q85 S33:S34 O33 S84:S85 U34">
      <formula1>"Enable,Disable"</formula1>
    </dataValidation>
    <dataValidation type="list" allowBlank="1" showInputMessage="1" showErrorMessage="1" sqref="W74 W23">
      <formula1>"VHDELAY PRT,VHDELAY Reg"</formula1>
    </dataValidation>
    <dataValidation type="list" allowBlank="1" showInputMessage="1" showErrorMessage="1" sqref="U74 U23">
      <formula1>"IND_TO Enb,IND_TO Dis"</formula1>
    </dataValidation>
    <dataValidation type="list" allowBlank="1" showInputMessage="1" showErrorMessage="1" sqref="T74 T23">
      <formula1>"HSTX_TO Enb,HSTX_TO Dis"</formula1>
    </dataValidation>
    <dataValidation type="list" allowBlank="1" showInputMessage="1" showErrorMessage="1" sqref="S74 S23">
      <formula1>"PR_TO Enb,PR_TO Dis"</formula1>
    </dataValidation>
    <dataValidation type="list" allowBlank="1" showInputMessage="1" showErrorMessage="1" sqref="R74 R23">
      <formula1>"DSIrStat Int Enb,DSIrStat Int Dis"</formula1>
    </dataValidation>
    <dataValidation type="list" allowBlank="1" showInputMessage="1" showErrorMessage="1" sqref="Q74 Q23">
      <formula1>"DSIrTrg Int Enb,DSIrTrg Int Dis"</formula1>
    </dataValidation>
    <dataValidation type="list" allowBlank="1" showInputMessage="1" showErrorMessage="1" sqref="P74 P23">
      <formula1>"DSILPTX Int Enb,DSILPTX Int Dis"</formula1>
    </dataValidation>
    <dataValidation type="list" allowBlank="1" showInputMessage="1" showErrorMessage="1" sqref="O74 O23">
      <formula1>"DSIrErr Int Enb,DSIrErr Int Dis"</formula1>
    </dataValidation>
    <dataValidation type="list" allowBlank="1" showInputMessage="1" showErrorMessage="1" sqref="N74 N23">
      <formula1>"DSIPrto Int Enb,DSIPrto Inte Dis"</formula1>
    </dataValidation>
    <dataValidation type="list" allowBlank="1" showInputMessage="1" showErrorMessage="1" sqref="M74 M23">
      <formula1>"ApErr Int Enb, ApErrInt Dis"</formula1>
    </dataValidation>
    <dataValidation type="list" allowBlank="1" showInputMessage="1" showErrorMessage="1" sqref="L74 L23">
      <formula1>"INIT Int Enb,INIT Int Dis"</formula1>
    </dataValidation>
    <dataValidation type="list" allowBlank="1" showInputMessage="1" showErrorMessage="1" sqref="M15 O66 M66 O15">
      <formula1>"HSCK/2,HSCK/4,HSCK/8"</formula1>
    </dataValidation>
    <dataValidation type="list" allowBlank="1" showInputMessage="1" showErrorMessage="1" sqref="W66 W15">
      <formula1>"Disable,Enable"</formula1>
    </dataValidation>
  </dataValidations>
  <pageMargins left="0.75" right="0.75" top="1" bottom="1" header="0.5" footer="0.5"/>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7" tint="0.59999389629810485"/>
  </sheetPr>
  <dimension ref="B1:AN32"/>
  <sheetViews>
    <sheetView showGridLines="0" zoomScale="75" zoomScaleNormal="75" workbookViewId="0">
      <selection activeCell="I1" sqref="I1"/>
    </sheetView>
  </sheetViews>
  <sheetFormatPr defaultRowHeight="14.25"/>
  <cols>
    <col min="1" max="1" width="3.375" style="18" customWidth="1"/>
    <col min="2" max="2" width="7.875" style="18" customWidth="1"/>
    <col min="3" max="3" width="23.625" style="18" bestFit="1" customWidth="1"/>
    <col min="4" max="4" width="11" style="18" customWidth="1"/>
    <col min="5" max="5" width="12.625" style="321" customWidth="1"/>
    <col min="6" max="6" width="27.125" style="18" customWidth="1"/>
    <col min="7" max="7" width="5.25" style="18" customWidth="1"/>
    <col min="8" max="8" width="15.125" style="18" customWidth="1"/>
    <col min="9" max="9" width="15.75" style="18" customWidth="1"/>
    <col min="10" max="10" width="16.5" style="18" customWidth="1"/>
    <col min="11" max="23" width="12.625" style="18" customWidth="1"/>
    <col min="24" max="24" width="3.125" style="18" customWidth="1"/>
    <col min="25" max="31" width="3" style="18" bestFit="1" customWidth="1"/>
    <col min="32" max="32" width="5" style="18" bestFit="1" customWidth="1"/>
    <col min="33" max="38" width="3" style="18" bestFit="1" customWidth="1"/>
    <col min="39" max="39" width="5" style="18" bestFit="1" customWidth="1"/>
    <col min="40" max="40" width="3" style="18" bestFit="1" customWidth="1"/>
    <col min="41" max="256" width="9" style="18"/>
    <col min="257" max="257" width="3.375" style="18" customWidth="1"/>
    <col min="258" max="258" width="7.875" style="18" customWidth="1"/>
    <col min="259" max="259" width="23.625" style="18" bestFit="1" customWidth="1"/>
    <col min="260" max="260" width="11" style="18" customWidth="1"/>
    <col min="261" max="261" width="12.625" style="18" customWidth="1"/>
    <col min="262" max="262" width="27.125" style="18" customWidth="1"/>
    <col min="263" max="263" width="5.25" style="18" customWidth="1"/>
    <col min="264" max="264" width="15.125" style="18" customWidth="1"/>
    <col min="265" max="265" width="15.75" style="18" customWidth="1"/>
    <col min="266" max="266" width="16.5" style="18" customWidth="1"/>
    <col min="267" max="279" width="12.625" style="18" customWidth="1"/>
    <col min="280" max="280" width="3.125" style="18" customWidth="1"/>
    <col min="281" max="287" width="3" style="18" bestFit="1" customWidth="1"/>
    <col min="288" max="288" width="5" style="18" bestFit="1" customWidth="1"/>
    <col min="289" max="294" width="3" style="18" bestFit="1" customWidth="1"/>
    <col min="295" max="295" width="5" style="18" bestFit="1" customWidth="1"/>
    <col min="296" max="296" width="3" style="18" bestFit="1" customWidth="1"/>
    <col min="297" max="512" width="9" style="18"/>
    <col min="513" max="513" width="3.375" style="18" customWidth="1"/>
    <col min="514" max="514" width="7.875" style="18" customWidth="1"/>
    <col min="515" max="515" width="23.625" style="18" bestFit="1" customWidth="1"/>
    <col min="516" max="516" width="11" style="18" customWidth="1"/>
    <col min="517" max="517" width="12.625" style="18" customWidth="1"/>
    <col min="518" max="518" width="27.125" style="18" customWidth="1"/>
    <col min="519" max="519" width="5.25" style="18" customWidth="1"/>
    <col min="520" max="520" width="15.125" style="18" customWidth="1"/>
    <col min="521" max="521" width="15.75" style="18" customWidth="1"/>
    <col min="522" max="522" width="16.5" style="18" customWidth="1"/>
    <col min="523" max="535" width="12.625" style="18" customWidth="1"/>
    <col min="536" max="536" width="3.125" style="18" customWidth="1"/>
    <col min="537" max="543" width="3" style="18" bestFit="1" customWidth="1"/>
    <col min="544" max="544" width="5" style="18" bestFit="1" customWidth="1"/>
    <col min="545" max="550" width="3" style="18" bestFit="1" customWidth="1"/>
    <col min="551" max="551" width="5" style="18" bestFit="1" customWidth="1"/>
    <col min="552" max="552" width="3" style="18" bestFit="1" customWidth="1"/>
    <col min="553" max="768" width="9" style="18"/>
    <col min="769" max="769" width="3.375" style="18" customWidth="1"/>
    <col min="770" max="770" width="7.875" style="18" customWidth="1"/>
    <col min="771" max="771" width="23.625" style="18" bestFit="1" customWidth="1"/>
    <col min="772" max="772" width="11" style="18" customWidth="1"/>
    <col min="773" max="773" width="12.625" style="18" customWidth="1"/>
    <col min="774" max="774" width="27.125" style="18" customWidth="1"/>
    <col min="775" max="775" width="5.25" style="18" customWidth="1"/>
    <col min="776" max="776" width="15.125" style="18" customWidth="1"/>
    <col min="777" max="777" width="15.75" style="18" customWidth="1"/>
    <col min="778" max="778" width="16.5" style="18" customWidth="1"/>
    <col min="779" max="791" width="12.625" style="18" customWidth="1"/>
    <col min="792" max="792" width="3.125" style="18" customWidth="1"/>
    <col min="793" max="799" width="3" style="18" bestFit="1" customWidth="1"/>
    <col min="800" max="800" width="5" style="18" bestFit="1" customWidth="1"/>
    <col min="801" max="806" width="3" style="18" bestFit="1" customWidth="1"/>
    <col min="807" max="807" width="5" style="18" bestFit="1" customWidth="1"/>
    <col min="808" max="808" width="3" style="18" bestFit="1" customWidth="1"/>
    <col min="809" max="1024" width="9" style="18"/>
    <col min="1025" max="1025" width="3.375" style="18" customWidth="1"/>
    <col min="1026" max="1026" width="7.875" style="18" customWidth="1"/>
    <col min="1027" max="1027" width="23.625" style="18" bestFit="1" customWidth="1"/>
    <col min="1028" max="1028" width="11" style="18" customWidth="1"/>
    <col min="1029" max="1029" width="12.625" style="18" customWidth="1"/>
    <col min="1030" max="1030" width="27.125" style="18" customWidth="1"/>
    <col min="1031" max="1031" width="5.25" style="18" customWidth="1"/>
    <col min="1032" max="1032" width="15.125" style="18" customWidth="1"/>
    <col min="1033" max="1033" width="15.75" style="18" customWidth="1"/>
    <col min="1034" max="1034" width="16.5" style="18" customWidth="1"/>
    <col min="1035" max="1047" width="12.625" style="18" customWidth="1"/>
    <col min="1048" max="1048" width="3.125" style="18" customWidth="1"/>
    <col min="1049" max="1055" width="3" style="18" bestFit="1" customWidth="1"/>
    <col min="1056" max="1056" width="5" style="18" bestFit="1" customWidth="1"/>
    <col min="1057" max="1062" width="3" style="18" bestFit="1" customWidth="1"/>
    <col min="1063" max="1063" width="5" style="18" bestFit="1" customWidth="1"/>
    <col min="1064" max="1064" width="3" style="18" bestFit="1" customWidth="1"/>
    <col min="1065" max="1280" width="9" style="18"/>
    <col min="1281" max="1281" width="3.375" style="18" customWidth="1"/>
    <col min="1282" max="1282" width="7.875" style="18" customWidth="1"/>
    <col min="1283" max="1283" width="23.625" style="18" bestFit="1" customWidth="1"/>
    <col min="1284" max="1284" width="11" style="18" customWidth="1"/>
    <col min="1285" max="1285" width="12.625" style="18" customWidth="1"/>
    <col min="1286" max="1286" width="27.125" style="18" customWidth="1"/>
    <col min="1287" max="1287" width="5.25" style="18" customWidth="1"/>
    <col min="1288" max="1288" width="15.125" style="18" customWidth="1"/>
    <col min="1289" max="1289" width="15.75" style="18" customWidth="1"/>
    <col min="1290" max="1290" width="16.5" style="18" customWidth="1"/>
    <col min="1291" max="1303" width="12.625" style="18" customWidth="1"/>
    <col min="1304" max="1304" width="3.125" style="18" customWidth="1"/>
    <col min="1305" max="1311" width="3" style="18" bestFit="1" customWidth="1"/>
    <col min="1312" max="1312" width="5" style="18" bestFit="1" customWidth="1"/>
    <col min="1313" max="1318" width="3" style="18" bestFit="1" customWidth="1"/>
    <col min="1319" max="1319" width="5" style="18" bestFit="1" customWidth="1"/>
    <col min="1320" max="1320" width="3" style="18" bestFit="1" customWidth="1"/>
    <col min="1321" max="1536" width="9" style="18"/>
    <col min="1537" max="1537" width="3.375" style="18" customWidth="1"/>
    <col min="1538" max="1538" width="7.875" style="18" customWidth="1"/>
    <col min="1539" max="1539" width="23.625" style="18" bestFit="1" customWidth="1"/>
    <col min="1540" max="1540" width="11" style="18" customWidth="1"/>
    <col min="1541" max="1541" width="12.625" style="18" customWidth="1"/>
    <col min="1542" max="1542" width="27.125" style="18" customWidth="1"/>
    <col min="1543" max="1543" width="5.25" style="18" customWidth="1"/>
    <col min="1544" max="1544" width="15.125" style="18" customWidth="1"/>
    <col min="1545" max="1545" width="15.75" style="18" customWidth="1"/>
    <col min="1546" max="1546" width="16.5" style="18" customWidth="1"/>
    <col min="1547" max="1559" width="12.625" style="18" customWidth="1"/>
    <col min="1560" max="1560" width="3.125" style="18" customWidth="1"/>
    <col min="1561" max="1567" width="3" style="18" bestFit="1" customWidth="1"/>
    <col min="1568" max="1568" width="5" style="18" bestFit="1" customWidth="1"/>
    <col min="1569" max="1574" width="3" style="18" bestFit="1" customWidth="1"/>
    <col min="1575" max="1575" width="5" style="18" bestFit="1" customWidth="1"/>
    <col min="1576" max="1576" width="3" style="18" bestFit="1" customWidth="1"/>
    <col min="1577" max="1792" width="9" style="18"/>
    <col min="1793" max="1793" width="3.375" style="18" customWidth="1"/>
    <col min="1794" max="1794" width="7.875" style="18" customWidth="1"/>
    <col min="1795" max="1795" width="23.625" style="18" bestFit="1" customWidth="1"/>
    <col min="1796" max="1796" width="11" style="18" customWidth="1"/>
    <col min="1797" max="1797" width="12.625" style="18" customWidth="1"/>
    <col min="1798" max="1798" width="27.125" style="18" customWidth="1"/>
    <col min="1799" max="1799" width="5.25" style="18" customWidth="1"/>
    <col min="1800" max="1800" width="15.125" style="18" customWidth="1"/>
    <col min="1801" max="1801" width="15.75" style="18" customWidth="1"/>
    <col min="1802" max="1802" width="16.5" style="18" customWidth="1"/>
    <col min="1803" max="1815" width="12.625" style="18" customWidth="1"/>
    <col min="1816" max="1816" width="3.125" style="18" customWidth="1"/>
    <col min="1817" max="1823" width="3" style="18" bestFit="1" customWidth="1"/>
    <col min="1824" max="1824" width="5" style="18" bestFit="1" customWidth="1"/>
    <col min="1825" max="1830" width="3" style="18" bestFit="1" customWidth="1"/>
    <col min="1831" max="1831" width="5" style="18" bestFit="1" customWidth="1"/>
    <col min="1832" max="1832" width="3" style="18" bestFit="1" customWidth="1"/>
    <col min="1833" max="2048" width="9" style="18"/>
    <col min="2049" max="2049" width="3.375" style="18" customWidth="1"/>
    <col min="2050" max="2050" width="7.875" style="18" customWidth="1"/>
    <col min="2051" max="2051" width="23.625" style="18" bestFit="1" customWidth="1"/>
    <col min="2052" max="2052" width="11" style="18" customWidth="1"/>
    <col min="2053" max="2053" width="12.625" style="18" customWidth="1"/>
    <col min="2054" max="2054" width="27.125" style="18" customWidth="1"/>
    <col min="2055" max="2055" width="5.25" style="18" customWidth="1"/>
    <col min="2056" max="2056" width="15.125" style="18" customWidth="1"/>
    <col min="2057" max="2057" width="15.75" style="18" customWidth="1"/>
    <col min="2058" max="2058" width="16.5" style="18" customWidth="1"/>
    <col min="2059" max="2071" width="12.625" style="18" customWidth="1"/>
    <col min="2072" max="2072" width="3.125" style="18" customWidth="1"/>
    <col min="2073" max="2079" width="3" style="18" bestFit="1" customWidth="1"/>
    <col min="2080" max="2080" width="5" style="18" bestFit="1" customWidth="1"/>
    <col min="2081" max="2086" width="3" style="18" bestFit="1" customWidth="1"/>
    <col min="2087" max="2087" width="5" style="18" bestFit="1" customWidth="1"/>
    <col min="2088" max="2088" width="3" style="18" bestFit="1" customWidth="1"/>
    <col min="2089" max="2304" width="9" style="18"/>
    <col min="2305" max="2305" width="3.375" style="18" customWidth="1"/>
    <col min="2306" max="2306" width="7.875" style="18" customWidth="1"/>
    <col min="2307" max="2307" width="23.625" style="18" bestFit="1" customWidth="1"/>
    <col min="2308" max="2308" width="11" style="18" customWidth="1"/>
    <col min="2309" max="2309" width="12.625" style="18" customWidth="1"/>
    <col min="2310" max="2310" width="27.125" style="18" customWidth="1"/>
    <col min="2311" max="2311" width="5.25" style="18" customWidth="1"/>
    <col min="2312" max="2312" width="15.125" style="18" customWidth="1"/>
    <col min="2313" max="2313" width="15.75" style="18" customWidth="1"/>
    <col min="2314" max="2314" width="16.5" style="18" customWidth="1"/>
    <col min="2315" max="2327" width="12.625" style="18" customWidth="1"/>
    <col min="2328" max="2328" width="3.125" style="18" customWidth="1"/>
    <col min="2329" max="2335" width="3" style="18" bestFit="1" customWidth="1"/>
    <col min="2336" max="2336" width="5" style="18" bestFit="1" customWidth="1"/>
    <col min="2337" max="2342" width="3" style="18" bestFit="1" customWidth="1"/>
    <col min="2343" max="2343" width="5" style="18" bestFit="1" customWidth="1"/>
    <col min="2344" max="2344" width="3" style="18" bestFit="1" customWidth="1"/>
    <col min="2345" max="2560" width="9" style="18"/>
    <col min="2561" max="2561" width="3.375" style="18" customWidth="1"/>
    <col min="2562" max="2562" width="7.875" style="18" customWidth="1"/>
    <col min="2563" max="2563" width="23.625" style="18" bestFit="1" customWidth="1"/>
    <col min="2564" max="2564" width="11" style="18" customWidth="1"/>
    <col min="2565" max="2565" width="12.625" style="18" customWidth="1"/>
    <col min="2566" max="2566" width="27.125" style="18" customWidth="1"/>
    <col min="2567" max="2567" width="5.25" style="18" customWidth="1"/>
    <col min="2568" max="2568" width="15.125" style="18" customWidth="1"/>
    <col min="2569" max="2569" width="15.75" style="18" customWidth="1"/>
    <col min="2570" max="2570" width="16.5" style="18" customWidth="1"/>
    <col min="2571" max="2583" width="12.625" style="18" customWidth="1"/>
    <col min="2584" max="2584" width="3.125" style="18" customWidth="1"/>
    <col min="2585" max="2591" width="3" style="18" bestFit="1" customWidth="1"/>
    <col min="2592" max="2592" width="5" style="18" bestFit="1" customWidth="1"/>
    <col min="2593" max="2598" width="3" style="18" bestFit="1" customWidth="1"/>
    <col min="2599" max="2599" width="5" style="18" bestFit="1" customWidth="1"/>
    <col min="2600" max="2600" width="3" style="18" bestFit="1" customWidth="1"/>
    <col min="2601" max="2816" width="9" style="18"/>
    <col min="2817" max="2817" width="3.375" style="18" customWidth="1"/>
    <col min="2818" max="2818" width="7.875" style="18" customWidth="1"/>
    <col min="2819" max="2819" width="23.625" style="18" bestFit="1" customWidth="1"/>
    <col min="2820" max="2820" width="11" style="18" customWidth="1"/>
    <col min="2821" max="2821" width="12.625" style="18" customWidth="1"/>
    <col min="2822" max="2822" width="27.125" style="18" customWidth="1"/>
    <col min="2823" max="2823" width="5.25" style="18" customWidth="1"/>
    <col min="2824" max="2824" width="15.125" style="18" customWidth="1"/>
    <col min="2825" max="2825" width="15.75" style="18" customWidth="1"/>
    <col min="2826" max="2826" width="16.5" style="18" customWidth="1"/>
    <col min="2827" max="2839" width="12.625" style="18" customWidth="1"/>
    <col min="2840" max="2840" width="3.125" style="18" customWidth="1"/>
    <col min="2841" max="2847" width="3" style="18" bestFit="1" customWidth="1"/>
    <col min="2848" max="2848" width="5" style="18" bestFit="1" customWidth="1"/>
    <col min="2849" max="2854" width="3" style="18" bestFit="1" customWidth="1"/>
    <col min="2855" max="2855" width="5" style="18" bestFit="1" customWidth="1"/>
    <col min="2856" max="2856" width="3" style="18" bestFit="1" customWidth="1"/>
    <col min="2857" max="3072" width="9" style="18"/>
    <col min="3073" max="3073" width="3.375" style="18" customWidth="1"/>
    <col min="3074" max="3074" width="7.875" style="18" customWidth="1"/>
    <col min="3075" max="3075" width="23.625" style="18" bestFit="1" customWidth="1"/>
    <col min="3076" max="3076" width="11" style="18" customWidth="1"/>
    <col min="3077" max="3077" width="12.625" style="18" customWidth="1"/>
    <col min="3078" max="3078" width="27.125" style="18" customWidth="1"/>
    <col min="3079" max="3079" width="5.25" style="18" customWidth="1"/>
    <col min="3080" max="3080" width="15.125" style="18" customWidth="1"/>
    <col min="3081" max="3081" width="15.75" style="18" customWidth="1"/>
    <col min="3082" max="3082" width="16.5" style="18" customWidth="1"/>
    <col min="3083" max="3095" width="12.625" style="18" customWidth="1"/>
    <col min="3096" max="3096" width="3.125" style="18" customWidth="1"/>
    <col min="3097" max="3103" width="3" style="18" bestFit="1" customWidth="1"/>
    <col min="3104" max="3104" width="5" style="18" bestFit="1" customWidth="1"/>
    <col min="3105" max="3110" width="3" style="18" bestFit="1" customWidth="1"/>
    <col min="3111" max="3111" width="5" style="18" bestFit="1" customWidth="1"/>
    <col min="3112" max="3112" width="3" style="18" bestFit="1" customWidth="1"/>
    <col min="3113" max="3328" width="9" style="18"/>
    <col min="3329" max="3329" width="3.375" style="18" customWidth="1"/>
    <col min="3330" max="3330" width="7.875" style="18" customWidth="1"/>
    <col min="3331" max="3331" width="23.625" style="18" bestFit="1" customWidth="1"/>
    <col min="3332" max="3332" width="11" style="18" customWidth="1"/>
    <col min="3333" max="3333" width="12.625" style="18" customWidth="1"/>
    <col min="3334" max="3334" width="27.125" style="18" customWidth="1"/>
    <col min="3335" max="3335" width="5.25" style="18" customWidth="1"/>
    <col min="3336" max="3336" width="15.125" style="18" customWidth="1"/>
    <col min="3337" max="3337" width="15.75" style="18" customWidth="1"/>
    <col min="3338" max="3338" width="16.5" style="18" customWidth="1"/>
    <col min="3339" max="3351" width="12.625" style="18" customWidth="1"/>
    <col min="3352" max="3352" width="3.125" style="18" customWidth="1"/>
    <col min="3353" max="3359" width="3" style="18" bestFit="1" customWidth="1"/>
    <col min="3360" max="3360" width="5" style="18" bestFit="1" customWidth="1"/>
    <col min="3361" max="3366" width="3" style="18" bestFit="1" customWidth="1"/>
    <col min="3367" max="3367" width="5" style="18" bestFit="1" customWidth="1"/>
    <col min="3368" max="3368" width="3" style="18" bestFit="1" customWidth="1"/>
    <col min="3369" max="3584" width="9" style="18"/>
    <col min="3585" max="3585" width="3.375" style="18" customWidth="1"/>
    <col min="3586" max="3586" width="7.875" style="18" customWidth="1"/>
    <col min="3587" max="3587" width="23.625" style="18" bestFit="1" customWidth="1"/>
    <col min="3588" max="3588" width="11" style="18" customWidth="1"/>
    <col min="3589" max="3589" width="12.625" style="18" customWidth="1"/>
    <col min="3590" max="3590" width="27.125" style="18" customWidth="1"/>
    <col min="3591" max="3591" width="5.25" style="18" customWidth="1"/>
    <col min="3592" max="3592" width="15.125" style="18" customWidth="1"/>
    <col min="3593" max="3593" width="15.75" style="18" customWidth="1"/>
    <col min="3594" max="3594" width="16.5" style="18" customWidth="1"/>
    <col min="3595" max="3607" width="12.625" style="18" customWidth="1"/>
    <col min="3608" max="3608" width="3.125" style="18" customWidth="1"/>
    <col min="3609" max="3615" width="3" style="18" bestFit="1" customWidth="1"/>
    <col min="3616" max="3616" width="5" style="18" bestFit="1" customWidth="1"/>
    <col min="3617" max="3622" width="3" style="18" bestFit="1" customWidth="1"/>
    <col min="3623" max="3623" width="5" style="18" bestFit="1" customWidth="1"/>
    <col min="3624" max="3624" width="3" style="18" bestFit="1" customWidth="1"/>
    <col min="3625" max="3840" width="9" style="18"/>
    <col min="3841" max="3841" width="3.375" style="18" customWidth="1"/>
    <col min="3842" max="3842" width="7.875" style="18" customWidth="1"/>
    <col min="3843" max="3843" width="23.625" style="18" bestFit="1" customWidth="1"/>
    <col min="3844" max="3844" width="11" style="18" customWidth="1"/>
    <col min="3845" max="3845" width="12.625" style="18" customWidth="1"/>
    <col min="3846" max="3846" width="27.125" style="18" customWidth="1"/>
    <col min="3847" max="3847" width="5.25" style="18" customWidth="1"/>
    <col min="3848" max="3848" width="15.125" style="18" customWidth="1"/>
    <col min="3849" max="3849" width="15.75" style="18" customWidth="1"/>
    <col min="3850" max="3850" width="16.5" style="18" customWidth="1"/>
    <col min="3851" max="3863" width="12.625" style="18" customWidth="1"/>
    <col min="3864" max="3864" width="3.125" style="18" customWidth="1"/>
    <col min="3865" max="3871" width="3" style="18" bestFit="1" customWidth="1"/>
    <col min="3872" max="3872" width="5" style="18" bestFit="1" customWidth="1"/>
    <col min="3873" max="3878" width="3" style="18" bestFit="1" customWidth="1"/>
    <col min="3879" max="3879" width="5" style="18" bestFit="1" customWidth="1"/>
    <col min="3880" max="3880" width="3" style="18" bestFit="1" customWidth="1"/>
    <col min="3881" max="4096" width="9" style="18"/>
    <col min="4097" max="4097" width="3.375" style="18" customWidth="1"/>
    <col min="4098" max="4098" width="7.875" style="18" customWidth="1"/>
    <col min="4099" max="4099" width="23.625" style="18" bestFit="1" customWidth="1"/>
    <col min="4100" max="4100" width="11" style="18" customWidth="1"/>
    <col min="4101" max="4101" width="12.625" style="18" customWidth="1"/>
    <col min="4102" max="4102" width="27.125" style="18" customWidth="1"/>
    <col min="4103" max="4103" width="5.25" style="18" customWidth="1"/>
    <col min="4104" max="4104" width="15.125" style="18" customWidth="1"/>
    <col min="4105" max="4105" width="15.75" style="18" customWidth="1"/>
    <col min="4106" max="4106" width="16.5" style="18" customWidth="1"/>
    <col min="4107" max="4119" width="12.625" style="18" customWidth="1"/>
    <col min="4120" max="4120" width="3.125" style="18" customWidth="1"/>
    <col min="4121" max="4127" width="3" style="18" bestFit="1" customWidth="1"/>
    <col min="4128" max="4128" width="5" style="18" bestFit="1" customWidth="1"/>
    <col min="4129" max="4134" width="3" style="18" bestFit="1" customWidth="1"/>
    <col min="4135" max="4135" width="5" style="18" bestFit="1" customWidth="1"/>
    <col min="4136" max="4136" width="3" style="18" bestFit="1" customWidth="1"/>
    <col min="4137" max="4352" width="9" style="18"/>
    <col min="4353" max="4353" width="3.375" style="18" customWidth="1"/>
    <col min="4354" max="4354" width="7.875" style="18" customWidth="1"/>
    <col min="4355" max="4355" width="23.625" style="18" bestFit="1" customWidth="1"/>
    <col min="4356" max="4356" width="11" style="18" customWidth="1"/>
    <col min="4357" max="4357" width="12.625" style="18" customWidth="1"/>
    <col min="4358" max="4358" width="27.125" style="18" customWidth="1"/>
    <col min="4359" max="4359" width="5.25" style="18" customWidth="1"/>
    <col min="4360" max="4360" width="15.125" style="18" customWidth="1"/>
    <col min="4361" max="4361" width="15.75" style="18" customWidth="1"/>
    <col min="4362" max="4362" width="16.5" style="18" customWidth="1"/>
    <col min="4363" max="4375" width="12.625" style="18" customWidth="1"/>
    <col min="4376" max="4376" width="3.125" style="18" customWidth="1"/>
    <col min="4377" max="4383" width="3" style="18" bestFit="1" customWidth="1"/>
    <col min="4384" max="4384" width="5" style="18" bestFit="1" customWidth="1"/>
    <col min="4385" max="4390" width="3" style="18" bestFit="1" customWidth="1"/>
    <col min="4391" max="4391" width="5" style="18" bestFit="1" customWidth="1"/>
    <col min="4392" max="4392" width="3" style="18" bestFit="1" customWidth="1"/>
    <col min="4393" max="4608" width="9" style="18"/>
    <col min="4609" max="4609" width="3.375" style="18" customWidth="1"/>
    <col min="4610" max="4610" width="7.875" style="18" customWidth="1"/>
    <col min="4611" max="4611" width="23.625" style="18" bestFit="1" customWidth="1"/>
    <col min="4612" max="4612" width="11" style="18" customWidth="1"/>
    <col min="4613" max="4613" width="12.625" style="18" customWidth="1"/>
    <col min="4614" max="4614" width="27.125" style="18" customWidth="1"/>
    <col min="4615" max="4615" width="5.25" style="18" customWidth="1"/>
    <col min="4616" max="4616" width="15.125" style="18" customWidth="1"/>
    <col min="4617" max="4617" width="15.75" style="18" customWidth="1"/>
    <col min="4618" max="4618" width="16.5" style="18" customWidth="1"/>
    <col min="4619" max="4631" width="12.625" style="18" customWidth="1"/>
    <col min="4632" max="4632" width="3.125" style="18" customWidth="1"/>
    <col min="4633" max="4639" width="3" style="18" bestFit="1" customWidth="1"/>
    <col min="4640" max="4640" width="5" style="18" bestFit="1" customWidth="1"/>
    <col min="4641" max="4646" width="3" style="18" bestFit="1" customWidth="1"/>
    <col min="4647" max="4647" width="5" style="18" bestFit="1" customWidth="1"/>
    <col min="4648" max="4648" width="3" style="18" bestFit="1" customWidth="1"/>
    <col min="4649" max="4864" width="9" style="18"/>
    <col min="4865" max="4865" width="3.375" style="18" customWidth="1"/>
    <col min="4866" max="4866" width="7.875" style="18" customWidth="1"/>
    <col min="4867" max="4867" width="23.625" style="18" bestFit="1" customWidth="1"/>
    <col min="4868" max="4868" width="11" style="18" customWidth="1"/>
    <col min="4869" max="4869" width="12.625" style="18" customWidth="1"/>
    <col min="4870" max="4870" width="27.125" style="18" customWidth="1"/>
    <col min="4871" max="4871" width="5.25" style="18" customWidth="1"/>
    <col min="4872" max="4872" width="15.125" style="18" customWidth="1"/>
    <col min="4873" max="4873" width="15.75" style="18" customWidth="1"/>
    <col min="4874" max="4874" width="16.5" style="18" customWidth="1"/>
    <col min="4875" max="4887" width="12.625" style="18" customWidth="1"/>
    <col min="4888" max="4888" width="3.125" style="18" customWidth="1"/>
    <col min="4889" max="4895" width="3" style="18" bestFit="1" customWidth="1"/>
    <col min="4896" max="4896" width="5" style="18" bestFit="1" customWidth="1"/>
    <col min="4897" max="4902" width="3" style="18" bestFit="1" customWidth="1"/>
    <col min="4903" max="4903" width="5" style="18" bestFit="1" customWidth="1"/>
    <col min="4904" max="4904" width="3" style="18" bestFit="1" customWidth="1"/>
    <col min="4905" max="5120" width="9" style="18"/>
    <col min="5121" max="5121" width="3.375" style="18" customWidth="1"/>
    <col min="5122" max="5122" width="7.875" style="18" customWidth="1"/>
    <col min="5123" max="5123" width="23.625" style="18" bestFit="1" customWidth="1"/>
    <col min="5124" max="5124" width="11" style="18" customWidth="1"/>
    <col min="5125" max="5125" width="12.625" style="18" customWidth="1"/>
    <col min="5126" max="5126" width="27.125" style="18" customWidth="1"/>
    <col min="5127" max="5127" width="5.25" style="18" customWidth="1"/>
    <col min="5128" max="5128" width="15.125" style="18" customWidth="1"/>
    <col min="5129" max="5129" width="15.75" style="18" customWidth="1"/>
    <col min="5130" max="5130" width="16.5" style="18" customWidth="1"/>
    <col min="5131" max="5143" width="12.625" style="18" customWidth="1"/>
    <col min="5144" max="5144" width="3.125" style="18" customWidth="1"/>
    <col min="5145" max="5151" width="3" style="18" bestFit="1" customWidth="1"/>
    <col min="5152" max="5152" width="5" style="18" bestFit="1" customWidth="1"/>
    <col min="5153" max="5158" width="3" style="18" bestFit="1" customWidth="1"/>
    <col min="5159" max="5159" width="5" style="18" bestFit="1" customWidth="1"/>
    <col min="5160" max="5160" width="3" style="18" bestFit="1" customWidth="1"/>
    <col min="5161" max="5376" width="9" style="18"/>
    <col min="5377" max="5377" width="3.375" style="18" customWidth="1"/>
    <col min="5378" max="5378" width="7.875" style="18" customWidth="1"/>
    <col min="5379" max="5379" width="23.625" style="18" bestFit="1" customWidth="1"/>
    <col min="5380" max="5380" width="11" style="18" customWidth="1"/>
    <col min="5381" max="5381" width="12.625" style="18" customWidth="1"/>
    <col min="5382" max="5382" width="27.125" style="18" customWidth="1"/>
    <col min="5383" max="5383" width="5.25" style="18" customWidth="1"/>
    <col min="5384" max="5384" width="15.125" style="18" customWidth="1"/>
    <col min="5385" max="5385" width="15.75" style="18" customWidth="1"/>
    <col min="5386" max="5386" width="16.5" style="18" customWidth="1"/>
    <col min="5387" max="5399" width="12.625" style="18" customWidth="1"/>
    <col min="5400" max="5400" width="3.125" style="18" customWidth="1"/>
    <col min="5401" max="5407" width="3" style="18" bestFit="1" customWidth="1"/>
    <col min="5408" max="5408" width="5" style="18" bestFit="1" customWidth="1"/>
    <col min="5409" max="5414" width="3" style="18" bestFit="1" customWidth="1"/>
    <col min="5415" max="5415" width="5" style="18" bestFit="1" customWidth="1"/>
    <col min="5416" max="5416" width="3" style="18" bestFit="1" customWidth="1"/>
    <col min="5417" max="5632" width="9" style="18"/>
    <col min="5633" max="5633" width="3.375" style="18" customWidth="1"/>
    <col min="5634" max="5634" width="7.875" style="18" customWidth="1"/>
    <col min="5635" max="5635" width="23.625" style="18" bestFit="1" customWidth="1"/>
    <col min="5636" max="5636" width="11" style="18" customWidth="1"/>
    <col min="5637" max="5637" width="12.625" style="18" customWidth="1"/>
    <col min="5638" max="5638" width="27.125" style="18" customWidth="1"/>
    <col min="5639" max="5639" width="5.25" style="18" customWidth="1"/>
    <col min="5640" max="5640" width="15.125" style="18" customWidth="1"/>
    <col min="5641" max="5641" width="15.75" style="18" customWidth="1"/>
    <col min="5642" max="5642" width="16.5" style="18" customWidth="1"/>
    <col min="5643" max="5655" width="12.625" style="18" customWidth="1"/>
    <col min="5656" max="5656" width="3.125" style="18" customWidth="1"/>
    <col min="5657" max="5663" width="3" style="18" bestFit="1" customWidth="1"/>
    <col min="5664" max="5664" width="5" style="18" bestFit="1" customWidth="1"/>
    <col min="5665" max="5670" width="3" style="18" bestFit="1" customWidth="1"/>
    <col min="5671" max="5671" width="5" style="18" bestFit="1" customWidth="1"/>
    <col min="5672" max="5672" width="3" style="18" bestFit="1" customWidth="1"/>
    <col min="5673" max="5888" width="9" style="18"/>
    <col min="5889" max="5889" width="3.375" style="18" customWidth="1"/>
    <col min="5890" max="5890" width="7.875" style="18" customWidth="1"/>
    <col min="5891" max="5891" width="23.625" style="18" bestFit="1" customWidth="1"/>
    <col min="5892" max="5892" width="11" style="18" customWidth="1"/>
    <col min="5893" max="5893" width="12.625" style="18" customWidth="1"/>
    <col min="5894" max="5894" width="27.125" style="18" customWidth="1"/>
    <col min="5895" max="5895" width="5.25" style="18" customWidth="1"/>
    <col min="5896" max="5896" width="15.125" style="18" customWidth="1"/>
    <col min="5897" max="5897" width="15.75" style="18" customWidth="1"/>
    <col min="5898" max="5898" width="16.5" style="18" customWidth="1"/>
    <col min="5899" max="5911" width="12.625" style="18" customWidth="1"/>
    <col min="5912" max="5912" width="3.125" style="18" customWidth="1"/>
    <col min="5913" max="5919" width="3" style="18" bestFit="1" customWidth="1"/>
    <col min="5920" max="5920" width="5" style="18" bestFit="1" customWidth="1"/>
    <col min="5921" max="5926" width="3" style="18" bestFit="1" customWidth="1"/>
    <col min="5927" max="5927" width="5" style="18" bestFit="1" customWidth="1"/>
    <col min="5928" max="5928" width="3" style="18" bestFit="1" customWidth="1"/>
    <col min="5929" max="6144" width="9" style="18"/>
    <col min="6145" max="6145" width="3.375" style="18" customWidth="1"/>
    <col min="6146" max="6146" width="7.875" style="18" customWidth="1"/>
    <col min="6147" max="6147" width="23.625" style="18" bestFit="1" customWidth="1"/>
    <col min="6148" max="6148" width="11" style="18" customWidth="1"/>
    <col min="6149" max="6149" width="12.625" style="18" customWidth="1"/>
    <col min="6150" max="6150" width="27.125" style="18" customWidth="1"/>
    <col min="6151" max="6151" width="5.25" style="18" customWidth="1"/>
    <col min="6152" max="6152" width="15.125" style="18" customWidth="1"/>
    <col min="6153" max="6153" width="15.75" style="18" customWidth="1"/>
    <col min="6154" max="6154" width="16.5" style="18" customWidth="1"/>
    <col min="6155" max="6167" width="12.625" style="18" customWidth="1"/>
    <col min="6168" max="6168" width="3.125" style="18" customWidth="1"/>
    <col min="6169" max="6175" width="3" style="18" bestFit="1" customWidth="1"/>
    <col min="6176" max="6176" width="5" style="18" bestFit="1" customWidth="1"/>
    <col min="6177" max="6182" width="3" style="18" bestFit="1" customWidth="1"/>
    <col min="6183" max="6183" width="5" style="18" bestFit="1" customWidth="1"/>
    <col min="6184" max="6184" width="3" style="18" bestFit="1" customWidth="1"/>
    <col min="6185" max="6400" width="9" style="18"/>
    <col min="6401" max="6401" width="3.375" style="18" customWidth="1"/>
    <col min="6402" max="6402" width="7.875" style="18" customWidth="1"/>
    <col min="6403" max="6403" width="23.625" style="18" bestFit="1" customWidth="1"/>
    <col min="6404" max="6404" width="11" style="18" customWidth="1"/>
    <col min="6405" max="6405" width="12.625" style="18" customWidth="1"/>
    <col min="6406" max="6406" width="27.125" style="18" customWidth="1"/>
    <col min="6407" max="6407" width="5.25" style="18" customWidth="1"/>
    <col min="6408" max="6408" width="15.125" style="18" customWidth="1"/>
    <col min="6409" max="6409" width="15.75" style="18" customWidth="1"/>
    <col min="6410" max="6410" width="16.5" style="18" customWidth="1"/>
    <col min="6411" max="6423" width="12.625" style="18" customWidth="1"/>
    <col min="6424" max="6424" width="3.125" style="18" customWidth="1"/>
    <col min="6425" max="6431" width="3" style="18" bestFit="1" customWidth="1"/>
    <col min="6432" max="6432" width="5" style="18" bestFit="1" customWidth="1"/>
    <col min="6433" max="6438" width="3" style="18" bestFit="1" customWidth="1"/>
    <col min="6439" max="6439" width="5" style="18" bestFit="1" customWidth="1"/>
    <col min="6440" max="6440" width="3" style="18" bestFit="1" customWidth="1"/>
    <col min="6441" max="6656" width="9" style="18"/>
    <col min="6657" max="6657" width="3.375" style="18" customWidth="1"/>
    <col min="6658" max="6658" width="7.875" style="18" customWidth="1"/>
    <col min="6659" max="6659" width="23.625" style="18" bestFit="1" customWidth="1"/>
    <col min="6660" max="6660" width="11" style="18" customWidth="1"/>
    <col min="6661" max="6661" width="12.625" style="18" customWidth="1"/>
    <col min="6662" max="6662" width="27.125" style="18" customWidth="1"/>
    <col min="6663" max="6663" width="5.25" style="18" customWidth="1"/>
    <col min="6664" max="6664" width="15.125" style="18" customWidth="1"/>
    <col min="6665" max="6665" width="15.75" style="18" customWidth="1"/>
    <col min="6666" max="6666" width="16.5" style="18" customWidth="1"/>
    <col min="6667" max="6679" width="12.625" style="18" customWidth="1"/>
    <col min="6680" max="6680" width="3.125" style="18" customWidth="1"/>
    <col min="6681" max="6687" width="3" style="18" bestFit="1" customWidth="1"/>
    <col min="6688" max="6688" width="5" style="18" bestFit="1" customWidth="1"/>
    <col min="6689" max="6694" width="3" style="18" bestFit="1" customWidth="1"/>
    <col min="6695" max="6695" width="5" style="18" bestFit="1" customWidth="1"/>
    <col min="6696" max="6696" width="3" style="18" bestFit="1" customWidth="1"/>
    <col min="6697" max="6912" width="9" style="18"/>
    <col min="6913" max="6913" width="3.375" style="18" customWidth="1"/>
    <col min="6914" max="6914" width="7.875" style="18" customWidth="1"/>
    <col min="6915" max="6915" width="23.625" style="18" bestFit="1" customWidth="1"/>
    <col min="6916" max="6916" width="11" style="18" customWidth="1"/>
    <col min="6917" max="6917" width="12.625" style="18" customWidth="1"/>
    <col min="6918" max="6918" width="27.125" style="18" customWidth="1"/>
    <col min="6919" max="6919" width="5.25" style="18" customWidth="1"/>
    <col min="6920" max="6920" width="15.125" style="18" customWidth="1"/>
    <col min="6921" max="6921" width="15.75" style="18" customWidth="1"/>
    <col min="6922" max="6922" width="16.5" style="18" customWidth="1"/>
    <col min="6923" max="6935" width="12.625" style="18" customWidth="1"/>
    <col min="6936" max="6936" width="3.125" style="18" customWidth="1"/>
    <col min="6937" max="6943" width="3" style="18" bestFit="1" customWidth="1"/>
    <col min="6944" max="6944" width="5" style="18" bestFit="1" customWidth="1"/>
    <col min="6945" max="6950" width="3" style="18" bestFit="1" customWidth="1"/>
    <col min="6951" max="6951" width="5" style="18" bestFit="1" customWidth="1"/>
    <col min="6952" max="6952" width="3" style="18" bestFit="1" customWidth="1"/>
    <col min="6953" max="7168" width="9" style="18"/>
    <col min="7169" max="7169" width="3.375" style="18" customWidth="1"/>
    <col min="7170" max="7170" width="7.875" style="18" customWidth="1"/>
    <col min="7171" max="7171" width="23.625" style="18" bestFit="1" customWidth="1"/>
    <col min="7172" max="7172" width="11" style="18" customWidth="1"/>
    <col min="7173" max="7173" width="12.625" style="18" customWidth="1"/>
    <col min="7174" max="7174" width="27.125" style="18" customWidth="1"/>
    <col min="7175" max="7175" width="5.25" style="18" customWidth="1"/>
    <col min="7176" max="7176" width="15.125" style="18" customWidth="1"/>
    <col min="7177" max="7177" width="15.75" style="18" customWidth="1"/>
    <col min="7178" max="7178" width="16.5" style="18" customWidth="1"/>
    <col min="7179" max="7191" width="12.625" style="18" customWidth="1"/>
    <col min="7192" max="7192" width="3.125" style="18" customWidth="1"/>
    <col min="7193" max="7199" width="3" style="18" bestFit="1" customWidth="1"/>
    <col min="7200" max="7200" width="5" style="18" bestFit="1" customWidth="1"/>
    <col min="7201" max="7206" width="3" style="18" bestFit="1" customWidth="1"/>
    <col min="7207" max="7207" width="5" style="18" bestFit="1" customWidth="1"/>
    <col min="7208" max="7208" width="3" style="18" bestFit="1" customWidth="1"/>
    <col min="7209" max="7424" width="9" style="18"/>
    <col min="7425" max="7425" width="3.375" style="18" customWidth="1"/>
    <col min="7426" max="7426" width="7.875" style="18" customWidth="1"/>
    <col min="7427" max="7427" width="23.625" style="18" bestFit="1" customWidth="1"/>
    <col min="7428" max="7428" width="11" style="18" customWidth="1"/>
    <col min="7429" max="7429" width="12.625" style="18" customWidth="1"/>
    <col min="7430" max="7430" width="27.125" style="18" customWidth="1"/>
    <col min="7431" max="7431" width="5.25" style="18" customWidth="1"/>
    <col min="7432" max="7432" width="15.125" style="18" customWidth="1"/>
    <col min="7433" max="7433" width="15.75" style="18" customWidth="1"/>
    <col min="7434" max="7434" width="16.5" style="18" customWidth="1"/>
    <col min="7435" max="7447" width="12.625" style="18" customWidth="1"/>
    <col min="7448" max="7448" width="3.125" style="18" customWidth="1"/>
    <col min="7449" max="7455" width="3" style="18" bestFit="1" customWidth="1"/>
    <col min="7456" max="7456" width="5" style="18" bestFit="1" customWidth="1"/>
    <col min="7457" max="7462" width="3" style="18" bestFit="1" customWidth="1"/>
    <col min="7463" max="7463" width="5" style="18" bestFit="1" customWidth="1"/>
    <col min="7464" max="7464" width="3" style="18" bestFit="1" customWidth="1"/>
    <col min="7465" max="7680" width="9" style="18"/>
    <col min="7681" max="7681" width="3.375" style="18" customWidth="1"/>
    <col min="7682" max="7682" width="7.875" style="18" customWidth="1"/>
    <col min="7683" max="7683" width="23.625" style="18" bestFit="1" customWidth="1"/>
    <col min="7684" max="7684" width="11" style="18" customWidth="1"/>
    <col min="7685" max="7685" width="12.625" style="18" customWidth="1"/>
    <col min="7686" max="7686" width="27.125" style="18" customWidth="1"/>
    <col min="7687" max="7687" width="5.25" style="18" customWidth="1"/>
    <col min="7688" max="7688" width="15.125" style="18" customWidth="1"/>
    <col min="7689" max="7689" width="15.75" style="18" customWidth="1"/>
    <col min="7690" max="7690" width="16.5" style="18" customWidth="1"/>
    <col min="7691" max="7703" width="12.625" style="18" customWidth="1"/>
    <col min="7704" max="7704" width="3.125" style="18" customWidth="1"/>
    <col min="7705" max="7711" width="3" style="18" bestFit="1" customWidth="1"/>
    <col min="7712" max="7712" width="5" style="18" bestFit="1" customWidth="1"/>
    <col min="7713" max="7718" width="3" style="18" bestFit="1" customWidth="1"/>
    <col min="7719" max="7719" width="5" style="18" bestFit="1" customWidth="1"/>
    <col min="7720" max="7720" width="3" style="18" bestFit="1" customWidth="1"/>
    <col min="7721" max="7936" width="9" style="18"/>
    <col min="7937" max="7937" width="3.375" style="18" customWidth="1"/>
    <col min="7938" max="7938" width="7.875" style="18" customWidth="1"/>
    <col min="7939" max="7939" width="23.625" style="18" bestFit="1" customWidth="1"/>
    <col min="7940" max="7940" width="11" style="18" customWidth="1"/>
    <col min="7941" max="7941" width="12.625" style="18" customWidth="1"/>
    <col min="7942" max="7942" width="27.125" style="18" customWidth="1"/>
    <col min="7943" max="7943" width="5.25" style="18" customWidth="1"/>
    <col min="7944" max="7944" width="15.125" style="18" customWidth="1"/>
    <col min="7945" max="7945" width="15.75" style="18" customWidth="1"/>
    <col min="7946" max="7946" width="16.5" style="18" customWidth="1"/>
    <col min="7947" max="7959" width="12.625" style="18" customWidth="1"/>
    <col min="7960" max="7960" width="3.125" style="18" customWidth="1"/>
    <col min="7961" max="7967" width="3" style="18" bestFit="1" customWidth="1"/>
    <col min="7968" max="7968" width="5" style="18" bestFit="1" customWidth="1"/>
    <col min="7969" max="7974" width="3" style="18" bestFit="1" customWidth="1"/>
    <col min="7975" max="7975" width="5" style="18" bestFit="1" customWidth="1"/>
    <col min="7976" max="7976" width="3" style="18" bestFit="1" customWidth="1"/>
    <col min="7977" max="8192" width="9" style="18"/>
    <col min="8193" max="8193" width="3.375" style="18" customWidth="1"/>
    <col min="8194" max="8194" width="7.875" style="18" customWidth="1"/>
    <col min="8195" max="8195" width="23.625" style="18" bestFit="1" customWidth="1"/>
    <col min="8196" max="8196" width="11" style="18" customWidth="1"/>
    <col min="8197" max="8197" width="12.625" style="18" customWidth="1"/>
    <col min="8198" max="8198" width="27.125" style="18" customWidth="1"/>
    <col min="8199" max="8199" width="5.25" style="18" customWidth="1"/>
    <col min="8200" max="8200" width="15.125" style="18" customWidth="1"/>
    <col min="8201" max="8201" width="15.75" style="18" customWidth="1"/>
    <col min="8202" max="8202" width="16.5" style="18" customWidth="1"/>
    <col min="8203" max="8215" width="12.625" style="18" customWidth="1"/>
    <col min="8216" max="8216" width="3.125" style="18" customWidth="1"/>
    <col min="8217" max="8223" width="3" style="18" bestFit="1" customWidth="1"/>
    <col min="8224" max="8224" width="5" style="18" bestFit="1" customWidth="1"/>
    <col min="8225" max="8230" width="3" style="18" bestFit="1" customWidth="1"/>
    <col min="8231" max="8231" width="5" style="18" bestFit="1" customWidth="1"/>
    <col min="8232" max="8232" width="3" style="18" bestFit="1" customWidth="1"/>
    <col min="8233" max="8448" width="9" style="18"/>
    <col min="8449" max="8449" width="3.375" style="18" customWidth="1"/>
    <col min="8450" max="8450" width="7.875" style="18" customWidth="1"/>
    <col min="8451" max="8451" width="23.625" style="18" bestFit="1" customWidth="1"/>
    <col min="8452" max="8452" width="11" style="18" customWidth="1"/>
    <col min="8453" max="8453" width="12.625" style="18" customWidth="1"/>
    <col min="8454" max="8454" width="27.125" style="18" customWidth="1"/>
    <col min="8455" max="8455" width="5.25" style="18" customWidth="1"/>
    <col min="8456" max="8456" width="15.125" style="18" customWidth="1"/>
    <col min="8457" max="8457" width="15.75" style="18" customWidth="1"/>
    <col min="8458" max="8458" width="16.5" style="18" customWidth="1"/>
    <col min="8459" max="8471" width="12.625" style="18" customWidth="1"/>
    <col min="8472" max="8472" width="3.125" style="18" customWidth="1"/>
    <col min="8473" max="8479" width="3" style="18" bestFit="1" customWidth="1"/>
    <col min="8480" max="8480" width="5" style="18" bestFit="1" customWidth="1"/>
    <col min="8481" max="8486" width="3" style="18" bestFit="1" customWidth="1"/>
    <col min="8487" max="8487" width="5" style="18" bestFit="1" customWidth="1"/>
    <col min="8488" max="8488" width="3" style="18" bestFit="1" customWidth="1"/>
    <col min="8489" max="8704" width="9" style="18"/>
    <col min="8705" max="8705" width="3.375" style="18" customWidth="1"/>
    <col min="8706" max="8706" width="7.875" style="18" customWidth="1"/>
    <col min="8707" max="8707" width="23.625" style="18" bestFit="1" customWidth="1"/>
    <col min="8708" max="8708" width="11" style="18" customWidth="1"/>
    <col min="8709" max="8709" width="12.625" style="18" customWidth="1"/>
    <col min="8710" max="8710" width="27.125" style="18" customWidth="1"/>
    <col min="8711" max="8711" width="5.25" style="18" customWidth="1"/>
    <col min="8712" max="8712" width="15.125" style="18" customWidth="1"/>
    <col min="8713" max="8713" width="15.75" style="18" customWidth="1"/>
    <col min="8714" max="8714" width="16.5" style="18" customWidth="1"/>
    <col min="8715" max="8727" width="12.625" style="18" customWidth="1"/>
    <col min="8728" max="8728" width="3.125" style="18" customWidth="1"/>
    <col min="8729" max="8735" width="3" style="18" bestFit="1" customWidth="1"/>
    <col min="8736" max="8736" width="5" style="18" bestFit="1" customWidth="1"/>
    <col min="8737" max="8742" width="3" style="18" bestFit="1" customWidth="1"/>
    <col min="8743" max="8743" width="5" style="18" bestFit="1" customWidth="1"/>
    <col min="8744" max="8744" width="3" style="18" bestFit="1" customWidth="1"/>
    <col min="8745" max="8960" width="9" style="18"/>
    <col min="8961" max="8961" width="3.375" style="18" customWidth="1"/>
    <col min="8962" max="8962" width="7.875" style="18" customWidth="1"/>
    <col min="8963" max="8963" width="23.625" style="18" bestFit="1" customWidth="1"/>
    <col min="8964" max="8964" width="11" style="18" customWidth="1"/>
    <col min="8965" max="8965" width="12.625" style="18" customWidth="1"/>
    <col min="8966" max="8966" width="27.125" style="18" customWidth="1"/>
    <col min="8967" max="8967" width="5.25" style="18" customWidth="1"/>
    <col min="8968" max="8968" width="15.125" style="18" customWidth="1"/>
    <col min="8969" max="8969" width="15.75" style="18" customWidth="1"/>
    <col min="8970" max="8970" width="16.5" style="18" customWidth="1"/>
    <col min="8971" max="8983" width="12.625" style="18" customWidth="1"/>
    <col min="8984" max="8984" width="3.125" style="18" customWidth="1"/>
    <col min="8985" max="8991" width="3" style="18" bestFit="1" customWidth="1"/>
    <col min="8992" max="8992" width="5" style="18" bestFit="1" customWidth="1"/>
    <col min="8993" max="8998" width="3" style="18" bestFit="1" customWidth="1"/>
    <col min="8999" max="8999" width="5" style="18" bestFit="1" customWidth="1"/>
    <col min="9000" max="9000" width="3" style="18" bestFit="1" customWidth="1"/>
    <col min="9001" max="9216" width="9" style="18"/>
    <col min="9217" max="9217" width="3.375" style="18" customWidth="1"/>
    <col min="9218" max="9218" width="7.875" style="18" customWidth="1"/>
    <col min="9219" max="9219" width="23.625" style="18" bestFit="1" customWidth="1"/>
    <col min="9220" max="9220" width="11" style="18" customWidth="1"/>
    <col min="9221" max="9221" width="12.625" style="18" customWidth="1"/>
    <col min="9222" max="9222" width="27.125" style="18" customWidth="1"/>
    <col min="9223" max="9223" width="5.25" style="18" customWidth="1"/>
    <col min="9224" max="9224" width="15.125" style="18" customWidth="1"/>
    <col min="9225" max="9225" width="15.75" style="18" customWidth="1"/>
    <col min="9226" max="9226" width="16.5" style="18" customWidth="1"/>
    <col min="9227" max="9239" width="12.625" style="18" customWidth="1"/>
    <col min="9240" max="9240" width="3.125" style="18" customWidth="1"/>
    <col min="9241" max="9247" width="3" style="18" bestFit="1" customWidth="1"/>
    <col min="9248" max="9248" width="5" style="18" bestFit="1" customWidth="1"/>
    <col min="9249" max="9254" width="3" style="18" bestFit="1" customWidth="1"/>
    <col min="9255" max="9255" width="5" style="18" bestFit="1" customWidth="1"/>
    <col min="9256" max="9256" width="3" style="18" bestFit="1" customWidth="1"/>
    <col min="9257" max="9472" width="9" style="18"/>
    <col min="9473" max="9473" width="3.375" style="18" customWidth="1"/>
    <col min="9474" max="9474" width="7.875" style="18" customWidth="1"/>
    <col min="9475" max="9475" width="23.625" style="18" bestFit="1" customWidth="1"/>
    <col min="9476" max="9476" width="11" style="18" customWidth="1"/>
    <col min="9477" max="9477" width="12.625" style="18" customWidth="1"/>
    <col min="9478" max="9478" width="27.125" style="18" customWidth="1"/>
    <col min="9479" max="9479" width="5.25" style="18" customWidth="1"/>
    <col min="9480" max="9480" width="15.125" style="18" customWidth="1"/>
    <col min="9481" max="9481" width="15.75" style="18" customWidth="1"/>
    <col min="9482" max="9482" width="16.5" style="18" customWidth="1"/>
    <col min="9483" max="9495" width="12.625" style="18" customWidth="1"/>
    <col min="9496" max="9496" width="3.125" style="18" customWidth="1"/>
    <col min="9497" max="9503" width="3" style="18" bestFit="1" customWidth="1"/>
    <col min="9504" max="9504" width="5" style="18" bestFit="1" customWidth="1"/>
    <col min="9505" max="9510" width="3" style="18" bestFit="1" customWidth="1"/>
    <col min="9511" max="9511" width="5" style="18" bestFit="1" customWidth="1"/>
    <col min="9512" max="9512" width="3" style="18" bestFit="1" customWidth="1"/>
    <col min="9513" max="9728" width="9" style="18"/>
    <col min="9729" max="9729" width="3.375" style="18" customWidth="1"/>
    <col min="9730" max="9730" width="7.875" style="18" customWidth="1"/>
    <col min="9731" max="9731" width="23.625" style="18" bestFit="1" customWidth="1"/>
    <col min="9732" max="9732" width="11" style="18" customWidth="1"/>
    <col min="9733" max="9733" width="12.625" style="18" customWidth="1"/>
    <col min="9734" max="9734" width="27.125" style="18" customWidth="1"/>
    <col min="9735" max="9735" width="5.25" style="18" customWidth="1"/>
    <col min="9736" max="9736" width="15.125" style="18" customWidth="1"/>
    <col min="9737" max="9737" width="15.75" style="18" customWidth="1"/>
    <col min="9738" max="9738" width="16.5" style="18" customWidth="1"/>
    <col min="9739" max="9751" width="12.625" style="18" customWidth="1"/>
    <col min="9752" max="9752" width="3.125" style="18" customWidth="1"/>
    <col min="9753" max="9759" width="3" style="18" bestFit="1" customWidth="1"/>
    <col min="9760" max="9760" width="5" style="18" bestFit="1" customWidth="1"/>
    <col min="9761" max="9766" width="3" style="18" bestFit="1" customWidth="1"/>
    <col min="9767" max="9767" width="5" style="18" bestFit="1" customWidth="1"/>
    <col min="9768" max="9768" width="3" style="18" bestFit="1" customWidth="1"/>
    <col min="9769" max="9984" width="9" style="18"/>
    <col min="9985" max="9985" width="3.375" style="18" customWidth="1"/>
    <col min="9986" max="9986" width="7.875" style="18" customWidth="1"/>
    <col min="9987" max="9987" width="23.625" style="18" bestFit="1" customWidth="1"/>
    <col min="9988" max="9988" width="11" style="18" customWidth="1"/>
    <col min="9989" max="9989" width="12.625" style="18" customWidth="1"/>
    <col min="9990" max="9990" width="27.125" style="18" customWidth="1"/>
    <col min="9991" max="9991" width="5.25" style="18" customWidth="1"/>
    <col min="9992" max="9992" width="15.125" style="18" customWidth="1"/>
    <col min="9993" max="9993" width="15.75" style="18" customWidth="1"/>
    <col min="9994" max="9994" width="16.5" style="18" customWidth="1"/>
    <col min="9995" max="10007" width="12.625" style="18" customWidth="1"/>
    <col min="10008" max="10008" width="3.125" style="18" customWidth="1"/>
    <col min="10009" max="10015" width="3" style="18" bestFit="1" customWidth="1"/>
    <col min="10016" max="10016" width="5" style="18" bestFit="1" customWidth="1"/>
    <col min="10017" max="10022" width="3" style="18" bestFit="1" customWidth="1"/>
    <col min="10023" max="10023" width="5" style="18" bestFit="1" customWidth="1"/>
    <col min="10024" max="10024" width="3" style="18" bestFit="1" customWidth="1"/>
    <col min="10025" max="10240" width="9" style="18"/>
    <col min="10241" max="10241" width="3.375" style="18" customWidth="1"/>
    <col min="10242" max="10242" width="7.875" style="18" customWidth="1"/>
    <col min="10243" max="10243" width="23.625" style="18" bestFit="1" customWidth="1"/>
    <col min="10244" max="10244" width="11" style="18" customWidth="1"/>
    <col min="10245" max="10245" width="12.625" style="18" customWidth="1"/>
    <col min="10246" max="10246" width="27.125" style="18" customWidth="1"/>
    <col min="10247" max="10247" width="5.25" style="18" customWidth="1"/>
    <col min="10248" max="10248" width="15.125" style="18" customWidth="1"/>
    <col min="10249" max="10249" width="15.75" style="18" customWidth="1"/>
    <col min="10250" max="10250" width="16.5" style="18" customWidth="1"/>
    <col min="10251" max="10263" width="12.625" style="18" customWidth="1"/>
    <col min="10264" max="10264" width="3.125" style="18" customWidth="1"/>
    <col min="10265" max="10271" width="3" style="18" bestFit="1" customWidth="1"/>
    <col min="10272" max="10272" width="5" style="18" bestFit="1" customWidth="1"/>
    <col min="10273" max="10278" width="3" style="18" bestFit="1" customWidth="1"/>
    <col min="10279" max="10279" width="5" style="18" bestFit="1" customWidth="1"/>
    <col min="10280" max="10280" width="3" style="18" bestFit="1" customWidth="1"/>
    <col min="10281" max="10496" width="9" style="18"/>
    <col min="10497" max="10497" width="3.375" style="18" customWidth="1"/>
    <col min="10498" max="10498" width="7.875" style="18" customWidth="1"/>
    <col min="10499" max="10499" width="23.625" style="18" bestFit="1" customWidth="1"/>
    <col min="10500" max="10500" width="11" style="18" customWidth="1"/>
    <col min="10501" max="10501" width="12.625" style="18" customWidth="1"/>
    <col min="10502" max="10502" width="27.125" style="18" customWidth="1"/>
    <col min="10503" max="10503" width="5.25" style="18" customWidth="1"/>
    <col min="10504" max="10504" width="15.125" style="18" customWidth="1"/>
    <col min="10505" max="10505" width="15.75" style="18" customWidth="1"/>
    <col min="10506" max="10506" width="16.5" style="18" customWidth="1"/>
    <col min="10507" max="10519" width="12.625" style="18" customWidth="1"/>
    <col min="10520" max="10520" width="3.125" style="18" customWidth="1"/>
    <col min="10521" max="10527" width="3" style="18" bestFit="1" customWidth="1"/>
    <col min="10528" max="10528" width="5" style="18" bestFit="1" customWidth="1"/>
    <col min="10529" max="10534" width="3" style="18" bestFit="1" customWidth="1"/>
    <col min="10535" max="10535" width="5" style="18" bestFit="1" customWidth="1"/>
    <col min="10536" max="10536" width="3" style="18" bestFit="1" customWidth="1"/>
    <col min="10537" max="10752" width="9" style="18"/>
    <col min="10753" max="10753" width="3.375" style="18" customWidth="1"/>
    <col min="10754" max="10754" width="7.875" style="18" customWidth="1"/>
    <col min="10755" max="10755" width="23.625" style="18" bestFit="1" customWidth="1"/>
    <col min="10756" max="10756" width="11" style="18" customWidth="1"/>
    <col min="10757" max="10757" width="12.625" style="18" customWidth="1"/>
    <col min="10758" max="10758" width="27.125" style="18" customWidth="1"/>
    <col min="10759" max="10759" width="5.25" style="18" customWidth="1"/>
    <col min="10760" max="10760" width="15.125" style="18" customWidth="1"/>
    <col min="10761" max="10761" width="15.75" style="18" customWidth="1"/>
    <col min="10762" max="10762" width="16.5" style="18" customWidth="1"/>
    <col min="10763" max="10775" width="12.625" style="18" customWidth="1"/>
    <col min="10776" max="10776" width="3.125" style="18" customWidth="1"/>
    <col min="10777" max="10783" width="3" style="18" bestFit="1" customWidth="1"/>
    <col min="10784" max="10784" width="5" style="18" bestFit="1" customWidth="1"/>
    <col min="10785" max="10790" width="3" style="18" bestFit="1" customWidth="1"/>
    <col min="10791" max="10791" width="5" style="18" bestFit="1" customWidth="1"/>
    <col min="10792" max="10792" width="3" style="18" bestFit="1" customWidth="1"/>
    <col min="10793" max="11008" width="9" style="18"/>
    <col min="11009" max="11009" width="3.375" style="18" customWidth="1"/>
    <col min="11010" max="11010" width="7.875" style="18" customWidth="1"/>
    <col min="11011" max="11011" width="23.625" style="18" bestFit="1" customWidth="1"/>
    <col min="11012" max="11012" width="11" style="18" customWidth="1"/>
    <col min="11013" max="11013" width="12.625" style="18" customWidth="1"/>
    <col min="11014" max="11014" width="27.125" style="18" customWidth="1"/>
    <col min="11015" max="11015" width="5.25" style="18" customWidth="1"/>
    <col min="11016" max="11016" width="15.125" style="18" customWidth="1"/>
    <col min="11017" max="11017" width="15.75" style="18" customWidth="1"/>
    <col min="11018" max="11018" width="16.5" style="18" customWidth="1"/>
    <col min="11019" max="11031" width="12.625" style="18" customWidth="1"/>
    <col min="11032" max="11032" width="3.125" style="18" customWidth="1"/>
    <col min="11033" max="11039" width="3" style="18" bestFit="1" customWidth="1"/>
    <col min="11040" max="11040" width="5" style="18" bestFit="1" customWidth="1"/>
    <col min="11041" max="11046" width="3" style="18" bestFit="1" customWidth="1"/>
    <col min="11047" max="11047" width="5" style="18" bestFit="1" customWidth="1"/>
    <col min="11048" max="11048" width="3" style="18" bestFit="1" customWidth="1"/>
    <col min="11049" max="11264" width="9" style="18"/>
    <col min="11265" max="11265" width="3.375" style="18" customWidth="1"/>
    <col min="11266" max="11266" width="7.875" style="18" customWidth="1"/>
    <col min="11267" max="11267" width="23.625" style="18" bestFit="1" customWidth="1"/>
    <col min="11268" max="11268" width="11" style="18" customWidth="1"/>
    <col min="11269" max="11269" width="12.625" style="18" customWidth="1"/>
    <col min="11270" max="11270" width="27.125" style="18" customWidth="1"/>
    <col min="11271" max="11271" width="5.25" style="18" customWidth="1"/>
    <col min="11272" max="11272" width="15.125" style="18" customWidth="1"/>
    <col min="11273" max="11273" width="15.75" style="18" customWidth="1"/>
    <col min="11274" max="11274" width="16.5" style="18" customWidth="1"/>
    <col min="11275" max="11287" width="12.625" style="18" customWidth="1"/>
    <col min="11288" max="11288" width="3.125" style="18" customWidth="1"/>
    <col min="11289" max="11295" width="3" style="18" bestFit="1" customWidth="1"/>
    <col min="11296" max="11296" width="5" style="18" bestFit="1" customWidth="1"/>
    <col min="11297" max="11302" width="3" style="18" bestFit="1" customWidth="1"/>
    <col min="11303" max="11303" width="5" style="18" bestFit="1" customWidth="1"/>
    <col min="11304" max="11304" width="3" style="18" bestFit="1" customWidth="1"/>
    <col min="11305" max="11520" width="9" style="18"/>
    <col min="11521" max="11521" width="3.375" style="18" customWidth="1"/>
    <col min="11522" max="11522" width="7.875" style="18" customWidth="1"/>
    <col min="11523" max="11523" width="23.625" style="18" bestFit="1" customWidth="1"/>
    <col min="11524" max="11524" width="11" style="18" customWidth="1"/>
    <col min="11525" max="11525" width="12.625" style="18" customWidth="1"/>
    <col min="11526" max="11526" width="27.125" style="18" customWidth="1"/>
    <col min="11527" max="11527" width="5.25" style="18" customWidth="1"/>
    <col min="11528" max="11528" width="15.125" style="18" customWidth="1"/>
    <col min="11529" max="11529" width="15.75" style="18" customWidth="1"/>
    <col min="11530" max="11530" width="16.5" style="18" customWidth="1"/>
    <col min="11531" max="11543" width="12.625" style="18" customWidth="1"/>
    <col min="11544" max="11544" width="3.125" style="18" customWidth="1"/>
    <col min="11545" max="11551" width="3" style="18" bestFit="1" customWidth="1"/>
    <col min="11552" max="11552" width="5" style="18" bestFit="1" customWidth="1"/>
    <col min="11553" max="11558" width="3" style="18" bestFit="1" customWidth="1"/>
    <col min="11559" max="11559" width="5" style="18" bestFit="1" customWidth="1"/>
    <col min="11560" max="11560" width="3" style="18" bestFit="1" customWidth="1"/>
    <col min="11561" max="11776" width="9" style="18"/>
    <col min="11777" max="11777" width="3.375" style="18" customWidth="1"/>
    <col min="11778" max="11778" width="7.875" style="18" customWidth="1"/>
    <col min="11779" max="11779" width="23.625" style="18" bestFit="1" customWidth="1"/>
    <col min="11780" max="11780" width="11" style="18" customWidth="1"/>
    <col min="11781" max="11781" width="12.625" style="18" customWidth="1"/>
    <col min="11782" max="11782" width="27.125" style="18" customWidth="1"/>
    <col min="11783" max="11783" width="5.25" style="18" customWidth="1"/>
    <col min="11784" max="11784" width="15.125" style="18" customWidth="1"/>
    <col min="11785" max="11785" width="15.75" style="18" customWidth="1"/>
    <col min="11786" max="11786" width="16.5" style="18" customWidth="1"/>
    <col min="11787" max="11799" width="12.625" style="18" customWidth="1"/>
    <col min="11800" max="11800" width="3.125" style="18" customWidth="1"/>
    <col min="11801" max="11807" width="3" style="18" bestFit="1" customWidth="1"/>
    <col min="11808" max="11808" width="5" style="18" bestFit="1" customWidth="1"/>
    <col min="11809" max="11814" width="3" style="18" bestFit="1" customWidth="1"/>
    <col min="11815" max="11815" width="5" style="18" bestFit="1" customWidth="1"/>
    <col min="11816" max="11816" width="3" style="18" bestFit="1" customWidth="1"/>
    <col min="11817" max="12032" width="9" style="18"/>
    <col min="12033" max="12033" width="3.375" style="18" customWidth="1"/>
    <col min="12034" max="12034" width="7.875" style="18" customWidth="1"/>
    <col min="12035" max="12035" width="23.625" style="18" bestFit="1" customWidth="1"/>
    <col min="12036" max="12036" width="11" style="18" customWidth="1"/>
    <col min="12037" max="12037" width="12.625" style="18" customWidth="1"/>
    <col min="12038" max="12038" width="27.125" style="18" customWidth="1"/>
    <col min="12039" max="12039" width="5.25" style="18" customWidth="1"/>
    <col min="12040" max="12040" width="15.125" style="18" customWidth="1"/>
    <col min="12041" max="12041" width="15.75" style="18" customWidth="1"/>
    <col min="12042" max="12042" width="16.5" style="18" customWidth="1"/>
    <col min="12043" max="12055" width="12.625" style="18" customWidth="1"/>
    <col min="12056" max="12056" width="3.125" style="18" customWidth="1"/>
    <col min="12057" max="12063" width="3" style="18" bestFit="1" customWidth="1"/>
    <col min="12064" max="12064" width="5" style="18" bestFit="1" customWidth="1"/>
    <col min="12065" max="12070" width="3" style="18" bestFit="1" customWidth="1"/>
    <col min="12071" max="12071" width="5" style="18" bestFit="1" customWidth="1"/>
    <col min="12072" max="12072" width="3" style="18" bestFit="1" customWidth="1"/>
    <col min="12073" max="12288" width="9" style="18"/>
    <col min="12289" max="12289" width="3.375" style="18" customWidth="1"/>
    <col min="12290" max="12290" width="7.875" style="18" customWidth="1"/>
    <col min="12291" max="12291" width="23.625" style="18" bestFit="1" customWidth="1"/>
    <col min="12292" max="12292" width="11" style="18" customWidth="1"/>
    <col min="12293" max="12293" width="12.625" style="18" customWidth="1"/>
    <col min="12294" max="12294" width="27.125" style="18" customWidth="1"/>
    <col min="12295" max="12295" width="5.25" style="18" customWidth="1"/>
    <col min="12296" max="12296" width="15.125" style="18" customWidth="1"/>
    <col min="12297" max="12297" width="15.75" style="18" customWidth="1"/>
    <col min="12298" max="12298" width="16.5" style="18" customWidth="1"/>
    <col min="12299" max="12311" width="12.625" style="18" customWidth="1"/>
    <col min="12312" max="12312" width="3.125" style="18" customWidth="1"/>
    <col min="12313" max="12319" width="3" style="18" bestFit="1" customWidth="1"/>
    <col min="12320" max="12320" width="5" style="18" bestFit="1" customWidth="1"/>
    <col min="12321" max="12326" width="3" style="18" bestFit="1" customWidth="1"/>
    <col min="12327" max="12327" width="5" style="18" bestFit="1" customWidth="1"/>
    <col min="12328" max="12328" width="3" style="18" bestFit="1" customWidth="1"/>
    <col min="12329" max="12544" width="9" style="18"/>
    <col min="12545" max="12545" width="3.375" style="18" customWidth="1"/>
    <col min="12546" max="12546" width="7.875" style="18" customWidth="1"/>
    <col min="12547" max="12547" width="23.625" style="18" bestFit="1" customWidth="1"/>
    <col min="12548" max="12548" width="11" style="18" customWidth="1"/>
    <col min="12549" max="12549" width="12.625" style="18" customWidth="1"/>
    <col min="12550" max="12550" width="27.125" style="18" customWidth="1"/>
    <col min="12551" max="12551" width="5.25" style="18" customWidth="1"/>
    <col min="12552" max="12552" width="15.125" style="18" customWidth="1"/>
    <col min="12553" max="12553" width="15.75" style="18" customWidth="1"/>
    <col min="12554" max="12554" width="16.5" style="18" customWidth="1"/>
    <col min="12555" max="12567" width="12.625" style="18" customWidth="1"/>
    <col min="12568" max="12568" width="3.125" style="18" customWidth="1"/>
    <col min="12569" max="12575" width="3" style="18" bestFit="1" customWidth="1"/>
    <col min="12576" max="12576" width="5" style="18" bestFit="1" customWidth="1"/>
    <col min="12577" max="12582" width="3" style="18" bestFit="1" customWidth="1"/>
    <col min="12583" max="12583" width="5" style="18" bestFit="1" customWidth="1"/>
    <col min="12584" max="12584" width="3" style="18" bestFit="1" customWidth="1"/>
    <col min="12585" max="12800" width="9" style="18"/>
    <col min="12801" max="12801" width="3.375" style="18" customWidth="1"/>
    <col min="12802" max="12802" width="7.875" style="18" customWidth="1"/>
    <col min="12803" max="12803" width="23.625" style="18" bestFit="1" customWidth="1"/>
    <col min="12804" max="12804" width="11" style="18" customWidth="1"/>
    <col min="12805" max="12805" width="12.625" style="18" customWidth="1"/>
    <col min="12806" max="12806" width="27.125" style="18" customWidth="1"/>
    <col min="12807" max="12807" width="5.25" style="18" customWidth="1"/>
    <col min="12808" max="12808" width="15.125" style="18" customWidth="1"/>
    <col min="12809" max="12809" width="15.75" style="18" customWidth="1"/>
    <col min="12810" max="12810" width="16.5" style="18" customWidth="1"/>
    <col min="12811" max="12823" width="12.625" style="18" customWidth="1"/>
    <col min="12824" max="12824" width="3.125" style="18" customWidth="1"/>
    <col min="12825" max="12831" width="3" style="18" bestFit="1" customWidth="1"/>
    <col min="12832" max="12832" width="5" style="18" bestFit="1" customWidth="1"/>
    <col min="12833" max="12838" width="3" style="18" bestFit="1" customWidth="1"/>
    <col min="12839" max="12839" width="5" style="18" bestFit="1" customWidth="1"/>
    <col min="12840" max="12840" width="3" style="18" bestFit="1" customWidth="1"/>
    <col min="12841" max="13056" width="9" style="18"/>
    <col min="13057" max="13057" width="3.375" style="18" customWidth="1"/>
    <col min="13058" max="13058" width="7.875" style="18" customWidth="1"/>
    <col min="13059" max="13059" width="23.625" style="18" bestFit="1" customWidth="1"/>
    <col min="13060" max="13060" width="11" style="18" customWidth="1"/>
    <col min="13061" max="13061" width="12.625" style="18" customWidth="1"/>
    <col min="13062" max="13062" width="27.125" style="18" customWidth="1"/>
    <col min="13063" max="13063" width="5.25" style="18" customWidth="1"/>
    <col min="13064" max="13064" width="15.125" style="18" customWidth="1"/>
    <col min="13065" max="13065" width="15.75" style="18" customWidth="1"/>
    <col min="13066" max="13066" width="16.5" style="18" customWidth="1"/>
    <col min="13067" max="13079" width="12.625" style="18" customWidth="1"/>
    <col min="13080" max="13080" width="3.125" style="18" customWidth="1"/>
    <col min="13081" max="13087" width="3" style="18" bestFit="1" customWidth="1"/>
    <col min="13088" max="13088" width="5" style="18" bestFit="1" customWidth="1"/>
    <col min="13089" max="13094" width="3" style="18" bestFit="1" customWidth="1"/>
    <col min="13095" max="13095" width="5" style="18" bestFit="1" customWidth="1"/>
    <col min="13096" max="13096" width="3" style="18" bestFit="1" customWidth="1"/>
    <col min="13097" max="13312" width="9" style="18"/>
    <col min="13313" max="13313" width="3.375" style="18" customWidth="1"/>
    <col min="13314" max="13314" width="7.875" style="18" customWidth="1"/>
    <col min="13315" max="13315" width="23.625" style="18" bestFit="1" customWidth="1"/>
    <col min="13316" max="13316" width="11" style="18" customWidth="1"/>
    <col min="13317" max="13317" width="12.625" style="18" customWidth="1"/>
    <col min="13318" max="13318" width="27.125" style="18" customWidth="1"/>
    <col min="13319" max="13319" width="5.25" style="18" customWidth="1"/>
    <col min="13320" max="13320" width="15.125" style="18" customWidth="1"/>
    <col min="13321" max="13321" width="15.75" style="18" customWidth="1"/>
    <col min="13322" max="13322" width="16.5" style="18" customWidth="1"/>
    <col min="13323" max="13335" width="12.625" style="18" customWidth="1"/>
    <col min="13336" max="13336" width="3.125" style="18" customWidth="1"/>
    <col min="13337" max="13343" width="3" style="18" bestFit="1" customWidth="1"/>
    <col min="13344" max="13344" width="5" style="18" bestFit="1" customWidth="1"/>
    <col min="13345" max="13350" width="3" style="18" bestFit="1" customWidth="1"/>
    <col min="13351" max="13351" width="5" style="18" bestFit="1" customWidth="1"/>
    <col min="13352" max="13352" width="3" style="18" bestFit="1" customWidth="1"/>
    <col min="13353" max="13568" width="9" style="18"/>
    <col min="13569" max="13569" width="3.375" style="18" customWidth="1"/>
    <col min="13570" max="13570" width="7.875" style="18" customWidth="1"/>
    <col min="13571" max="13571" width="23.625" style="18" bestFit="1" customWidth="1"/>
    <col min="13572" max="13572" width="11" style="18" customWidth="1"/>
    <col min="13573" max="13573" width="12.625" style="18" customWidth="1"/>
    <col min="13574" max="13574" width="27.125" style="18" customWidth="1"/>
    <col min="13575" max="13575" width="5.25" style="18" customWidth="1"/>
    <col min="13576" max="13576" width="15.125" style="18" customWidth="1"/>
    <col min="13577" max="13577" width="15.75" style="18" customWidth="1"/>
    <col min="13578" max="13578" width="16.5" style="18" customWidth="1"/>
    <col min="13579" max="13591" width="12.625" style="18" customWidth="1"/>
    <col min="13592" max="13592" width="3.125" style="18" customWidth="1"/>
    <col min="13593" max="13599" width="3" style="18" bestFit="1" customWidth="1"/>
    <col min="13600" max="13600" width="5" style="18" bestFit="1" customWidth="1"/>
    <col min="13601" max="13606" width="3" style="18" bestFit="1" customWidth="1"/>
    <col min="13607" max="13607" width="5" style="18" bestFit="1" customWidth="1"/>
    <col min="13608" max="13608" width="3" style="18" bestFit="1" customWidth="1"/>
    <col min="13609" max="13824" width="9" style="18"/>
    <col min="13825" max="13825" width="3.375" style="18" customWidth="1"/>
    <col min="13826" max="13826" width="7.875" style="18" customWidth="1"/>
    <col min="13827" max="13827" width="23.625" style="18" bestFit="1" customWidth="1"/>
    <col min="13828" max="13828" width="11" style="18" customWidth="1"/>
    <col min="13829" max="13829" width="12.625" style="18" customWidth="1"/>
    <col min="13830" max="13830" width="27.125" style="18" customWidth="1"/>
    <col min="13831" max="13831" width="5.25" style="18" customWidth="1"/>
    <col min="13832" max="13832" width="15.125" style="18" customWidth="1"/>
    <col min="13833" max="13833" width="15.75" style="18" customWidth="1"/>
    <col min="13834" max="13834" width="16.5" style="18" customWidth="1"/>
    <col min="13835" max="13847" width="12.625" style="18" customWidth="1"/>
    <col min="13848" max="13848" width="3.125" style="18" customWidth="1"/>
    <col min="13849" max="13855" width="3" style="18" bestFit="1" customWidth="1"/>
    <col min="13856" max="13856" width="5" style="18" bestFit="1" customWidth="1"/>
    <col min="13857" max="13862" width="3" style="18" bestFit="1" customWidth="1"/>
    <col min="13863" max="13863" width="5" style="18" bestFit="1" customWidth="1"/>
    <col min="13864" max="13864" width="3" style="18" bestFit="1" customWidth="1"/>
    <col min="13865" max="14080" width="9" style="18"/>
    <col min="14081" max="14081" width="3.375" style="18" customWidth="1"/>
    <col min="14082" max="14082" width="7.875" style="18" customWidth="1"/>
    <col min="14083" max="14083" width="23.625" style="18" bestFit="1" customWidth="1"/>
    <col min="14084" max="14084" width="11" style="18" customWidth="1"/>
    <col min="14085" max="14085" width="12.625" style="18" customWidth="1"/>
    <col min="14086" max="14086" width="27.125" style="18" customWidth="1"/>
    <col min="14087" max="14087" width="5.25" style="18" customWidth="1"/>
    <col min="14088" max="14088" width="15.125" style="18" customWidth="1"/>
    <col min="14089" max="14089" width="15.75" style="18" customWidth="1"/>
    <col min="14090" max="14090" width="16.5" style="18" customWidth="1"/>
    <col min="14091" max="14103" width="12.625" style="18" customWidth="1"/>
    <col min="14104" max="14104" width="3.125" style="18" customWidth="1"/>
    <col min="14105" max="14111" width="3" style="18" bestFit="1" customWidth="1"/>
    <col min="14112" max="14112" width="5" style="18" bestFit="1" customWidth="1"/>
    <col min="14113" max="14118" width="3" style="18" bestFit="1" customWidth="1"/>
    <col min="14119" max="14119" width="5" style="18" bestFit="1" customWidth="1"/>
    <col min="14120" max="14120" width="3" style="18" bestFit="1" customWidth="1"/>
    <col min="14121" max="14336" width="9" style="18"/>
    <col min="14337" max="14337" width="3.375" style="18" customWidth="1"/>
    <col min="14338" max="14338" width="7.875" style="18" customWidth="1"/>
    <col min="14339" max="14339" width="23.625" style="18" bestFit="1" customWidth="1"/>
    <col min="14340" max="14340" width="11" style="18" customWidth="1"/>
    <col min="14341" max="14341" width="12.625" style="18" customWidth="1"/>
    <col min="14342" max="14342" width="27.125" style="18" customWidth="1"/>
    <col min="14343" max="14343" width="5.25" style="18" customWidth="1"/>
    <col min="14344" max="14344" width="15.125" style="18" customWidth="1"/>
    <col min="14345" max="14345" width="15.75" style="18" customWidth="1"/>
    <col min="14346" max="14346" width="16.5" style="18" customWidth="1"/>
    <col min="14347" max="14359" width="12.625" style="18" customWidth="1"/>
    <col min="14360" max="14360" width="3.125" style="18" customWidth="1"/>
    <col min="14361" max="14367" width="3" style="18" bestFit="1" customWidth="1"/>
    <col min="14368" max="14368" width="5" style="18" bestFit="1" customWidth="1"/>
    <col min="14369" max="14374" width="3" style="18" bestFit="1" customWidth="1"/>
    <col min="14375" max="14375" width="5" style="18" bestFit="1" customWidth="1"/>
    <col min="14376" max="14376" width="3" style="18" bestFit="1" customWidth="1"/>
    <col min="14377" max="14592" width="9" style="18"/>
    <col min="14593" max="14593" width="3.375" style="18" customWidth="1"/>
    <col min="14594" max="14594" width="7.875" style="18" customWidth="1"/>
    <col min="14595" max="14595" width="23.625" style="18" bestFit="1" customWidth="1"/>
    <col min="14596" max="14596" width="11" style="18" customWidth="1"/>
    <col min="14597" max="14597" width="12.625" style="18" customWidth="1"/>
    <col min="14598" max="14598" width="27.125" style="18" customWidth="1"/>
    <col min="14599" max="14599" width="5.25" style="18" customWidth="1"/>
    <col min="14600" max="14600" width="15.125" style="18" customWidth="1"/>
    <col min="14601" max="14601" width="15.75" style="18" customWidth="1"/>
    <col min="14602" max="14602" width="16.5" style="18" customWidth="1"/>
    <col min="14603" max="14615" width="12.625" style="18" customWidth="1"/>
    <col min="14616" max="14616" width="3.125" style="18" customWidth="1"/>
    <col min="14617" max="14623" width="3" style="18" bestFit="1" customWidth="1"/>
    <col min="14624" max="14624" width="5" style="18" bestFit="1" customWidth="1"/>
    <col min="14625" max="14630" width="3" style="18" bestFit="1" customWidth="1"/>
    <col min="14631" max="14631" width="5" style="18" bestFit="1" customWidth="1"/>
    <col min="14632" max="14632" width="3" style="18" bestFit="1" customWidth="1"/>
    <col min="14633" max="14848" width="9" style="18"/>
    <col min="14849" max="14849" width="3.375" style="18" customWidth="1"/>
    <col min="14850" max="14850" width="7.875" style="18" customWidth="1"/>
    <col min="14851" max="14851" width="23.625" style="18" bestFit="1" customWidth="1"/>
    <col min="14852" max="14852" width="11" style="18" customWidth="1"/>
    <col min="14853" max="14853" width="12.625" style="18" customWidth="1"/>
    <col min="14854" max="14854" width="27.125" style="18" customWidth="1"/>
    <col min="14855" max="14855" width="5.25" style="18" customWidth="1"/>
    <col min="14856" max="14856" width="15.125" style="18" customWidth="1"/>
    <col min="14857" max="14857" width="15.75" style="18" customWidth="1"/>
    <col min="14858" max="14858" width="16.5" style="18" customWidth="1"/>
    <col min="14859" max="14871" width="12.625" style="18" customWidth="1"/>
    <col min="14872" max="14872" width="3.125" style="18" customWidth="1"/>
    <col min="14873" max="14879" width="3" style="18" bestFit="1" customWidth="1"/>
    <col min="14880" max="14880" width="5" style="18" bestFit="1" customWidth="1"/>
    <col min="14881" max="14886" width="3" style="18" bestFit="1" customWidth="1"/>
    <col min="14887" max="14887" width="5" style="18" bestFit="1" customWidth="1"/>
    <col min="14888" max="14888" width="3" style="18" bestFit="1" customWidth="1"/>
    <col min="14889" max="15104" width="9" style="18"/>
    <col min="15105" max="15105" width="3.375" style="18" customWidth="1"/>
    <col min="15106" max="15106" width="7.875" style="18" customWidth="1"/>
    <col min="15107" max="15107" width="23.625" style="18" bestFit="1" customWidth="1"/>
    <col min="15108" max="15108" width="11" style="18" customWidth="1"/>
    <col min="15109" max="15109" width="12.625" style="18" customWidth="1"/>
    <col min="15110" max="15110" width="27.125" style="18" customWidth="1"/>
    <col min="15111" max="15111" width="5.25" style="18" customWidth="1"/>
    <col min="15112" max="15112" width="15.125" style="18" customWidth="1"/>
    <col min="15113" max="15113" width="15.75" style="18" customWidth="1"/>
    <col min="15114" max="15114" width="16.5" style="18" customWidth="1"/>
    <col min="15115" max="15127" width="12.625" style="18" customWidth="1"/>
    <col min="15128" max="15128" width="3.125" style="18" customWidth="1"/>
    <col min="15129" max="15135" width="3" style="18" bestFit="1" customWidth="1"/>
    <col min="15136" max="15136" width="5" style="18" bestFit="1" customWidth="1"/>
    <col min="15137" max="15142" width="3" style="18" bestFit="1" customWidth="1"/>
    <col min="15143" max="15143" width="5" style="18" bestFit="1" customWidth="1"/>
    <col min="15144" max="15144" width="3" style="18" bestFit="1" customWidth="1"/>
    <col min="15145" max="15360" width="9" style="18"/>
    <col min="15361" max="15361" width="3.375" style="18" customWidth="1"/>
    <col min="15362" max="15362" width="7.875" style="18" customWidth="1"/>
    <col min="15363" max="15363" width="23.625" style="18" bestFit="1" customWidth="1"/>
    <col min="15364" max="15364" width="11" style="18" customWidth="1"/>
    <col min="15365" max="15365" width="12.625" style="18" customWidth="1"/>
    <col min="15366" max="15366" width="27.125" style="18" customWidth="1"/>
    <col min="15367" max="15367" width="5.25" style="18" customWidth="1"/>
    <col min="15368" max="15368" width="15.125" style="18" customWidth="1"/>
    <col min="15369" max="15369" width="15.75" style="18" customWidth="1"/>
    <col min="15370" max="15370" width="16.5" style="18" customWidth="1"/>
    <col min="15371" max="15383" width="12.625" style="18" customWidth="1"/>
    <col min="15384" max="15384" width="3.125" style="18" customWidth="1"/>
    <col min="15385" max="15391" width="3" style="18" bestFit="1" customWidth="1"/>
    <col min="15392" max="15392" width="5" style="18" bestFit="1" customWidth="1"/>
    <col min="15393" max="15398" width="3" style="18" bestFit="1" customWidth="1"/>
    <col min="15399" max="15399" width="5" style="18" bestFit="1" customWidth="1"/>
    <col min="15400" max="15400" width="3" style="18" bestFit="1" customWidth="1"/>
    <col min="15401" max="15616" width="9" style="18"/>
    <col min="15617" max="15617" width="3.375" style="18" customWidth="1"/>
    <col min="15618" max="15618" width="7.875" style="18" customWidth="1"/>
    <col min="15619" max="15619" width="23.625" style="18" bestFit="1" customWidth="1"/>
    <col min="15620" max="15620" width="11" style="18" customWidth="1"/>
    <col min="15621" max="15621" width="12.625" style="18" customWidth="1"/>
    <col min="15622" max="15622" width="27.125" style="18" customWidth="1"/>
    <col min="15623" max="15623" width="5.25" style="18" customWidth="1"/>
    <col min="15624" max="15624" width="15.125" style="18" customWidth="1"/>
    <col min="15625" max="15625" width="15.75" style="18" customWidth="1"/>
    <col min="15626" max="15626" width="16.5" style="18" customWidth="1"/>
    <col min="15627" max="15639" width="12.625" style="18" customWidth="1"/>
    <col min="15640" max="15640" width="3.125" style="18" customWidth="1"/>
    <col min="15641" max="15647" width="3" style="18" bestFit="1" customWidth="1"/>
    <col min="15648" max="15648" width="5" style="18" bestFit="1" customWidth="1"/>
    <col min="15649" max="15654" width="3" style="18" bestFit="1" customWidth="1"/>
    <col min="15655" max="15655" width="5" style="18" bestFit="1" customWidth="1"/>
    <col min="15656" max="15656" width="3" style="18" bestFit="1" customWidth="1"/>
    <col min="15657" max="15872" width="9" style="18"/>
    <col min="15873" max="15873" width="3.375" style="18" customWidth="1"/>
    <col min="15874" max="15874" width="7.875" style="18" customWidth="1"/>
    <col min="15875" max="15875" width="23.625" style="18" bestFit="1" customWidth="1"/>
    <col min="15876" max="15876" width="11" style="18" customWidth="1"/>
    <col min="15877" max="15877" width="12.625" style="18" customWidth="1"/>
    <col min="15878" max="15878" width="27.125" style="18" customWidth="1"/>
    <col min="15879" max="15879" width="5.25" style="18" customWidth="1"/>
    <col min="15880" max="15880" width="15.125" style="18" customWidth="1"/>
    <col min="15881" max="15881" width="15.75" style="18" customWidth="1"/>
    <col min="15882" max="15882" width="16.5" style="18" customWidth="1"/>
    <col min="15883" max="15895" width="12.625" style="18" customWidth="1"/>
    <col min="15896" max="15896" width="3.125" style="18" customWidth="1"/>
    <col min="15897" max="15903" width="3" style="18" bestFit="1" customWidth="1"/>
    <col min="15904" max="15904" width="5" style="18" bestFit="1" customWidth="1"/>
    <col min="15905" max="15910" width="3" style="18" bestFit="1" customWidth="1"/>
    <col min="15911" max="15911" width="5" style="18" bestFit="1" customWidth="1"/>
    <col min="15912" max="15912" width="3" style="18" bestFit="1" customWidth="1"/>
    <col min="15913" max="16128" width="9" style="18"/>
    <col min="16129" max="16129" width="3.375" style="18" customWidth="1"/>
    <col min="16130" max="16130" width="7.875" style="18" customWidth="1"/>
    <col min="16131" max="16131" width="23.625" style="18" bestFit="1" customWidth="1"/>
    <col min="16132" max="16132" width="11" style="18" customWidth="1"/>
    <col min="16133" max="16133" width="12.625" style="18" customWidth="1"/>
    <col min="16134" max="16134" width="27.125" style="18" customWidth="1"/>
    <col min="16135" max="16135" width="5.25" style="18" customWidth="1"/>
    <col min="16136" max="16136" width="15.125" style="18" customWidth="1"/>
    <col min="16137" max="16137" width="15.75" style="18" customWidth="1"/>
    <col min="16138" max="16138" width="16.5" style="18" customWidth="1"/>
    <col min="16139" max="16151" width="12.625" style="18" customWidth="1"/>
    <col min="16152" max="16152" width="3.125" style="18" customWidth="1"/>
    <col min="16153" max="16159" width="3" style="18" bestFit="1" customWidth="1"/>
    <col min="16160" max="16160" width="5" style="18" bestFit="1" customWidth="1"/>
    <col min="16161" max="16166" width="3" style="18" bestFit="1" customWidth="1"/>
    <col min="16167" max="16167" width="5" style="18" bestFit="1" customWidth="1"/>
    <col min="16168" max="16168" width="3" style="18" bestFit="1" customWidth="1"/>
    <col min="16169" max="16384" width="9" style="18"/>
  </cols>
  <sheetData>
    <row r="1" spans="2:34" ht="18">
      <c r="B1" s="320" t="s">
        <v>1580</v>
      </c>
      <c r="C1" s="320"/>
      <c r="F1" s="322"/>
      <c r="G1" s="408" t="s">
        <v>1619</v>
      </c>
      <c r="H1" s="323" t="s">
        <v>1409</v>
      </c>
      <c r="I1" s="21"/>
      <c r="J1" s="324"/>
      <c r="K1" s="256"/>
    </row>
    <row r="2" spans="2:34" ht="18">
      <c r="B2" s="18" t="s">
        <v>1410</v>
      </c>
      <c r="H2" s="322" t="s">
        <v>1408</v>
      </c>
      <c r="I2" s="256"/>
      <c r="J2" s="256"/>
      <c r="K2" s="256"/>
      <c r="L2" s="256"/>
      <c r="M2" s="256"/>
      <c r="N2" s="256"/>
      <c r="O2" s="256"/>
      <c r="P2" s="256"/>
    </row>
    <row r="3" spans="2:34">
      <c r="C3" s="325"/>
      <c r="D3" s="326"/>
      <c r="E3" s="327"/>
      <c r="F3" s="326"/>
      <c r="G3" s="326"/>
      <c r="H3" s="326"/>
      <c r="I3" s="256"/>
      <c r="J3" s="256"/>
      <c r="K3" s="256"/>
      <c r="L3" s="256"/>
      <c r="M3" s="256"/>
      <c r="N3" s="256"/>
      <c r="O3" s="256"/>
      <c r="P3" s="256"/>
      <c r="Q3" s="256"/>
      <c r="R3" s="256"/>
      <c r="S3" s="256"/>
      <c r="T3" s="256"/>
      <c r="U3" s="256"/>
      <c r="V3" s="256"/>
      <c r="W3" s="256"/>
      <c r="X3" s="256"/>
      <c r="Y3" s="328"/>
      <c r="Z3" s="328"/>
      <c r="AA3" s="328"/>
      <c r="AB3" s="328"/>
      <c r="AC3" s="328"/>
      <c r="AD3" s="328"/>
      <c r="AE3" s="328"/>
      <c r="AF3" s="328"/>
      <c r="AG3" s="328"/>
      <c r="AH3" s="256"/>
    </row>
    <row r="4" spans="2:34" ht="15">
      <c r="B4" s="329"/>
      <c r="C4" s="325"/>
      <c r="D4" s="326"/>
      <c r="E4" s="327"/>
      <c r="F4" s="326"/>
      <c r="G4" s="326"/>
      <c r="H4" s="330"/>
      <c r="I4" s="256"/>
      <c r="J4" s="256"/>
      <c r="K4" s="256"/>
      <c r="L4" s="256"/>
      <c r="M4" s="256"/>
      <c r="N4" s="256"/>
      <c r="O4" s="256"/>
      <c r="P4" s="256"/>
      <c r="Q4" s="256"/>
      <c r="R4" s="256"/>
      <c r="S4" s="256"/>
      <c r="T4" s="256"/>
      <c r="U4" s="256"/>
      <c r="V4" s="256"/>
      <c r="W4" s="256"/>
      <c r="X4" s="256"/>
      <c r="Y4" s="328"/>
      <c r="Z4" s="328"/>
      <c r="AA4" s="328"/>
      <c r="AB4" s="328"/>
      <c r="AC4" s="328"/>
      <c r="AD4" s="328"/>
      <c r="AE4" s="328"/>
      <c r="AF4" s="328"/>
      <c r="AG4" s="328"/>
      <c r="AH4" s="256"/>
    </row>
    <row r="5" spans="2:34" ht="18.75">
      <c r="B5" s="331" t="s">
        <v>1411</v>
      </c>
      <c r="C5" s="332"/>
      <c r="D5" s="332"/>
      <c r="E5" s="333"/>
      <c r="F5" s="334"/>
      <c r="I5" s="256"/>
      <c r="J5" s="256"/>
      <c r="K5" s="256"/>
      <c r="L5" s="256"/>
      <c r="M5" s="256"/>
      <c r="N5" s="256"/>
      <c r="O5" s="256"/>
      <c r="P5" s="256"/>
      <c r="Q5" s="256"/>
      <c r="R5" s="256"/>
      <c r="S5" s="256"/>
      <c r="T5" s="256"/>
      <c r="U5" s="256"/>
      <c r="V5" s="256"/>
      <c r="W5" s="256"/>
      <c r="X5" s="256"/>
      <c r="Y5" s="328"/>
      <c r="Z5" s="328"/>
      <c r="AA5" s="328"/>
      <c r="AB5" s="328"/>
      <c r="AC5" s="328"/>
      <c r="AD5" s="328"/>
      <c r="AE5" s="328"/>
      <c r="AF5" s="328"/>
      <c r="AG5" s="328"/>
      <c r="AH5" s="256"/>
    </row>
    <row r="6" spans="2:34" ht="15">
      <c r="B6" s="335" t="s">
        <v>1412</v>
      </c>
      <c r="C6" s="335" t="s">
        <v>0</v>
      </c>
      <c r="D6" s="335" t="s">
        <v>1</v>
      </c>
      <c r="E6" s="336" t="s">
        <v>1413</v>
      </c>
      <c r="F6" s="337" t="s">
        <v>1414</v>
      </c>
      <c r="G6" s="338"/>
      <c r="H6" s="256"/>
      <c r="I6" s="256"/>
      <c r="J6" s="256"/>
      <c r="K6" s="256"/>
      <c r="L6" s="256"/>
      <c r="M6" s="256"/>
      <c r="N6" s="256"/>
      <c r="O6" s="256"/>
      <c r="P6" s="256"/>
      <c r="Q6" s="256"/>
      <c r="R6" s="256"/>
      <c r="S6" s="256"/>
      <c r="T6" s="256"/>
      <c r="U6" s="256"/>
      <c r="V6" s="256"/>
      <c r="W6" s="256"/>
      <c r="X6" s="256"/>
      <c r="Y6" s="328"/>
      <c r="Z6" s="328"/>
      <c r="AA6" s="328"/>
      <c r="AB6" s="328"/>
      <c r="AC6" s="328"/>
      <c r="AD6" s="328"/>
      <c r="AE6" s="328"/>
      <c r="AF6" s="328"/>
      <c r="AG6" s="328"/>
      <c r="AH6" s="256"/>
    </row>
    <row r="7" spans="2:34">
      <c r="B7" s="353" t="s">
        <v>1467</v>
      </c>
      <c r="C7" s="354" t="s">
        <v>1470</v>
      </c>
      <c r="D7" s="358" t="s">
        <v>1468</v>
      </c>
      <c r="E7" s="356" t="str">
        <f>MID(DEC2HEX(INT(G7),4),3,2)</f>
        <v>C0</v>
      </c>
      <c r="F7" s="355"/>
      <c r="G7" s="359">
        <f>Main_Parameters!$C$72*10^6/10^4</f>
        <v>4800</v>
      </c>
      <c r="H7" s="256"/>
      <c r="I7" s="256"/>
      <c r="J7" s="256"/>
      <c r="K7" s="256"/>
      <c r="L7" s="256"/>
      <c r="M7" s="256"/>
      <c r="N7" s="256"/>
      <c r="O7" s="256"/>
      <c r="P7" s="256"/>
      <c r="Q7" s="256"/>
      <c r="R7" s="256"/>
      <c r="S7" s="256"/>
      <c r="T7" s="256"/>
      <c r="U7" s="256"/>
      <c r="V7" s="256"/>
      <c r="W7" s="256"/>
      <c r="X7" s="256"/>
      <c r="Y7" s="328"/>
      <c r="Z7" s="328"/>
      <c r="AA7" s="328"/>
      <c r="AB7" s="328"/>
      <c r="AC7" s="328"/>
      <c r="AD7" s="328"/>
      <c r="AE7" s="328"/>
      <c r="AF7" s="328"/>
      <c r="AG7" s="328"/>
      <c r="AH7" s="256"/>
    </row>
    <row r="8" spans="2:34">
      <c r="B8" s="353" t="s">
        <v>1467</v>
      </c>
      <c r="C8" s="354" t="s">
        <v>1471</v>
      </c>
      <c r="D8" s="358" t="s">
        <v>1472</v>
      </c>
      <c r="E8" s="356" t="str">
        <f>MID(DEC2HEX(INT(G8),4),1,2)</f>
        <v>12</v>
      </c>
      <c r="F8" s="355"/>
      <c r="G8" s="359">
        <f>Main_Parameters!$C$72*10^6/10^4</f>
        <v>4800</v>
      </c>
      <c r="H8" s="256"/>
      <c r="I8" s="256"/>
      <c r="J8" s="256"/>
      <c r="K8" s="256"/>
      <c r="L8" s="256"/>
      <c r="M8" s="256"/>
      <c r="N8" s="256"/>
      <c r="O8" s="256"/>
      <c r="P8" s="256"/>
      <c r="Q8" s="256"/>
      <c r="R8" s="256"/>
      <c r="S8" s="256"/>
      <c r="T8" s="256"/>
      <c r="U8" s="256"/>
      <c r="V8" s="256"/>
      <c r="W8" s="256"/>
      <c r="X8" s="256"/>
      <c r="Y8" s="328"/>
      <c r="Z8" s="328"/>
      <c r="AA8" s="328"/>
      <c r="AB8" s="328"/>
      <c r="AC8" s="328"/>
      <c r="AD8" s="328"/>
      <c r="AE8" s="328"/>
      <c r="AF8" s="328"/>
      <c r="AG8" s="328"/>
      <c r="AH8" s="256"/>
    </row>
    <row r="9" spans="2:34">
      <c r="B9" s="353" t="s">
        <v>1467</v>
      </c>
      <c r="C9" s="354" t="s">
        <v>1474</v>
      </c>
      <c r="D9" s="358" t="s">
        <v>1469</v>
      </c>
      <c r="E9" s="356" t="str">
        <f>MID(DEC2HEX(INT(G9),4),3,2)</f>
        <v>C0</v>
      </c>
      <c r="F9" s="355"/>
      <c r="G9" s="359">
        <f>Main_Parameters!$C$72*10^6/10^4</f>
        <v>4800</v>
      </c>
      <c r="H9" s="256"/>
      <c r="I9" s="256"/>
      <c r="J9" s="256"/>
      <c r="K9" s="256"/>
      <c r="L9" s="256"/>
      <c r="M9" s="256"/>
      <c r="N9" s="256"/>
      <c r="O9" s="256"/>
      <c r="P9" s="256"/>
      <c r="Q9" s="256"/>
      <c r="R9" s="256"/>
      <c r="S9" s="256"/>
      <c r="T9" s="256"/>
      <c r="U9" s="256"/>
      <c r="V9" s="256"/>
      <c r="W9" s="256"/>
      <c r="X9" s="256"/>
      <c r="Y9" s="328"/>
      <c r="Z9" s="328"/>
      <c r="AA9" s="328"/>
      <c r="AB9" s="328"/>
      <c r="AC9" s="328"/>
      <c r="AD9" s="328"/>
      <c r="AE9" s="328"/>
      <c r="AF9" s="328"/>
      <c r="AG9" s="328"/>
      <c r="AH9" s="256"/>
    </row>
    <row r="10" spans="2:34">
      <c r="B10" s="353" t="s">
        <v>1467</v>
      </c>
      <c r="C10" s="354" t="s">
        <v>1475</v>
      </c>
      <c r="D10" s="358" t="s">
        <v>1473</v>
      </c>
      <c r="E10" s="356" t="str">
        <f>MID(DEC2HEX(INT(G10),4),1,2)</f>
        <v>12</v>
      </c>
      <c r="F10" s="355"/>
      <c r="G10" s="359">
        <f>Main_Parameters!$C$72*10^6/10^4</f>
        <v>4800</v>
      </c>
      <c r="H10" s="256"/>
      <c r="I10" s="256"/>
      <c r="J10" s="256"/>
      <c r="K10" s="256"/>
      <c r="L10" s="256"/>
      <c r="M10" s="256"/>
      <c r="N10" s="256"/>
      <c r="O10" s="256"/>
      <c r="P10" s="256"/>
      <c r="Q10" s="256"/>
      <c r="R10" s="256"/>
      <c r="S10" s="256"/>
      <c r="T10" s="256"/>
      <c r="U10" s="256"/>
      <c r="V10" s="256"/>
      <c r="W10" s="256"/>
      <c r="X10" s="256"/>
      <c r="Y10" s="328"/>
      <c r="Z10" s="328"/>
      <c r="AA10" s="328"/>
      <c r="AB10" s="328"/>
      <c r="AC10" s="328"/>
      <c r="AD10" s="328"/>
      <c r="AE10" s="328"/>
      <c r="AF10" s="328"/>
      <c r="AG10" s="328"/>
      <c r="AH10" s="256"/>
    </row>
    <row r="11" spans="2:34">
      <c r="B11" s="339" t="s">
        <v>1416</v>
      </c>
      <c r="C11" s="340" t="s">
        <v>1417</v>
      </c>
      <c r="D11" s="341"/>
      <c r="E11" s="341"/>
      <c r="F11" s="342"/>
      <c r="G11" s="256"/>
      <c r="H11" s="343" t="s">
        <v>1418</v>
      </c>
      <c r="I11" s="256"/>
      <c r="J11" s="256"/>
      <c r="K11" s="256"/>
      <c r="L11" s="256"/>
      <c r="M11" s="256"/>
      <c r="N11" s="256"/>
      <c r="O11" s="256"/>
      <c r="P11" s="256"/>
      <c r="Q11" s="256"/>
      <c r="R11" s="256"/>
      <c r="S11" s="256"/>
      <c r="T11" s="256"/>
      <c r="U11" s="256"/>
      <c r="V11" s="256"/>
      <c r="W11" s="256"/>
      <c r="X11" s="256"/>
      <c r="Y11" s="328"/>
      <c r="Z11" s="328"/>
      <c r="AA11" s="328"/>
      <c r="AB11" s="328"/>
      <c r="AC11" s="328"/>
      <c r="AD11" s="328"/>
      <c r="AE11" s="328"/>
      <c r="AF11" s="328"/>
      <c r="AG11" s="328"/>
      <c r="AH11" s="256"/>
    </row>
    <row r="12" spans="2:34">
      <c r="B12" s="344" t="s">
        <v>1419</v>
      </c>
      <c r="C12" s="345" t="s">
        <v>1420</v>
      </c>
      <c r="D12" s="357" t="s">
        <v>1476</v>
      </c>
      <c r="E12" s="347" t="s">
        <v>1677</v>
      </c>
      <c r="F12" s="348" t="s">
        <v>1421</v>
      </c>
      <c r="G12" s="256"/>
      <c r="H12" s="349" t="s">
        <v>1422</v>
      </c>
      <c r="I12" s="256"/>
      <c r="J12" s="256"/>
      <c r="K12" s="256"/>
      <c r="L12" s="256"/>
      <c r="M12" s="256"/>
      <c r="N12" s="256"/>
      <c r="O12" s="256"/>
      <c r="P12" s="256"/>
      <c r="Q12" s="256"/>
      <c r="R12" s="256"/>
      <c r="S12" s="256"/>
      <c r="T12" s="256"/>
      <c r="U12" s="256"/>
      <c r="V12" s="256"/>
      <c r="W12" s="256"/>
      <c r="X12" s="256"/>
      <c r="Y12" s="328"/>
      <c r="Z12" s="328"/>
      <c r="AA12" s="328"/>
      <c r="AB12" s="328"/>
      <c r="AC12" s="328"/>
      <c r="AD12" s="328"/>
      <c r="AE12" s="328"/>
      <c r="AF12" s="328"/>
      <c r="AG12" s="328"/>
      <c r="AH12" s="256"/>
    </row>
    <row r="13" spans="2:34">
      <c r="B13" s="344" t="s">
        <v>1419</v>
      </c>
      <c r="C13" s="345" t="s">
        <v>1423</v>
      </c>
      <c r="D13" s="357" t="s">
        <v>1477</v>
      </c>
      <c r="E13" s="347" t="s">
        <v>1678</v>
      </c>
      <c r="F13" s="348" t="s">
        <v>1424</v>
      </c>
      <c r="G13" s="256"/>
      <c r="H13" s="350">
        <f>(HEX2DEC(E13)*2^8+HEX2DEC(E12))*80000/10^6</f>
        <v>148.47999999999999</v>
      </c>
      <c r="I13" s="256"/>
      <c r="J13" s="256"/>
      <c r="K13" s="256"/>
      <c r="L13" s="256"/>
      <c r="M13" s="256"/>
      <c r="N13" s="256"/>
      <c r="O13" s="256"/>
      <c r="P13" s="256"/>
      <c r="Q13" s="256"/>
      <c r="R13" s="256"/>
      <c r="S13" s="256"/>
      <c r="T13" s="256"/>
      <c r="U13" s="256"/>
      <c r="V13" s="256"/>
      <c r="W13" s="256"/>
      <c r="X13" s="256"/>
      <c r="Y13" s="328"/>
      <c r="Z13" s="328"/>
      <c r="AA13" s="328"/>
      <c r="AB13" s="328"/>
      <c r="AC13" s="328"/>
      <c r="AD13" s="328"/>
      <c r="AE13" s="328"/>
      <c r="AF13" s="328"/>
      <c r="AG13" s="328"/>
      <c r="AH13" s="256"/>
    </row>
    <row r="14" spans="2:34">
      <c r="B14" s="339" t="s">
        <v>1415</v>
      </c>
      <c r="C14" s="340" t="s">
        <v>1425</v>
      </c>
      <c r="D14" s="341"/>
      <c r="E14" s="341"/>
      <c r="F14" s="342"/>
      <c r="G14" s="256"/>
      <c r="H14" s="349" t="s">
        <v>1426</v>
      </c>
      <c r="I14" s="256"/>
      <c r="J14" s="256"/>
      <c r="K14" s="256"/>
      <c r="L14" s="256"/>
      <c r="M14" s="256"/>
      <c r="N14" s="256"/>
      <c r="O14" s="256"/>
      <c r="P14" s="256"/>
      <c r="Q14" s="256"/>
      <c r="R14" s="256"/>
      <c r="S14" s="256"/>
      <c r="T14" s="256"/>
      <c r="U14" s="256"/>
      <c r="V14" s="256"/>
      <c r="W14" s="256"/>
      <c r="X14" s="256"/>
      <c r="Y14" s="328"/>
      <c r="Z14" s="328"/>
      <c r="AA14" s="328"/>
      <c r="AB14" s="328"/>
      <c r="AC14" s="328"/>
      <c r="AD14" s="328"/>
      <c r="AE14" s="328"/>
      <c r="AF14" s="328"/>
      <c r="AG14" s="328"/>
      <c r="AH14" s="256"/>
    </row>
    <row r="15" spans="2:34">
      <c r="B15" s="344" t="s">
        <v>1427</v>
      </c>
      <c r="C15" s="345" t="s">
        <v>1428</v>
      </c>
      <c r="D15" s="357" t="s">
        <v>1478</v>
      </c>
      <c r="E15" s="347" t="s">
        <v>1679</v>
      </c>
      <c r="F15" s="348" t="s">
        <v>1429</v>
      </c>
      <c r="G15" s="256"/>
      <c r="H15" s="350">
        <f>HEX2DEC(E16)*2^8+HEX2DEC(E15)</f>
        <v>2200</v>
      </c>
      <c r="I15" s="256"/>
      <c r="J15" s="256"/>
      <c r="K15" s="256"/>
      <c r="L15" s="256"/>
      <c r="M15" s="256"/>
      <c r="N15" s="256"/>
      <c r="O15" s="256"/>
      <c r="P15" s="256"/>
      <c r="Q15" s="256"/>
      <c r="R15" s="256"/>
      <c r="S15" s="256"/>
      <c r="T15" s="256"/>
      <c r="U15" s="256"/>
      <c r="V15" s="256"/>
      <c r="W15" s="256"/>
      <c r="X15" s="256"/>
      <c r="Y15" s="328"/>
      <c r="Z15" s="328"/>
      <c r="AA15" s="328"/>
      <c r="AB15" s="328"/>
      <c r="AC15" s="328"/>
      <c r="AD15" s="328"/>
      <c r="AE15" s="328"/>
      <c r="AF15" s="328"/>
      <c r="AG15" s="328"/>
      <c r="AH15" s="256"/>
    </row>
    <row r="16" spans="2:34">
      <c r="B16" s="344" t="s">
        <v>1427</v>
      </c>
      <c r="C16" s="345" t="s">
        <v>1430</v>
      </c>
      <c r="D16" s="357" t="s">
        <v>1479</v>
      </c>
      <c r="E16" s="347" t="s">
        <v>1680</v>
      </c>
      <c r="F16" s="348" t="s">
        <v>1431</v>
      </c>
      <c r="G16" s="256"/>
      <c r="H16" s="343" t="s">
        <v>1432</v>
      </c>
      <c r="I16" s="256"/>
      <c r="J16" s="256"/>
      <c r="K16" s="256"/>
      <c r="L16" s="256"/>
      <c r="M16" s="256"/>
      <c r="N16" s="256"/>
      <c r="O16" s="256"/>
      <c r="P16" s="256"/>
      <c r="Q16" s="256"/>
      <c r="R16" s="256"/>
      <c r="S16" s="256"/>
      <c r="T16" s="256"/>
      <c r="U16" s="256"/>
      <c r="V16" s="256"/>
      <c r="W16" s="256"/>
      <c r="X16" s="256"/>
      <c r="Y16" s="328"/>
      <c r="Z16" s="328"/>
      <c r="AA16" s="328"/>
      <c r="AB16" s="328"/>
      <c r="AC16" s="328"/>
      <c r="AD16" s="328"/>
      <c r="AE16" s="328"/>
      <c r="AF16" s="328"/>
      <c r="AG16" s="328"/>
      <c r="AH16" s="256"/>
    </row>
    <row r="17" spans="2:40">
      <c r="B17" s="344" t="s">
        <v>1427</v>
      </c>
      <c r="C17" s="345" t="s">
        <v>1486</v>
      </c>
      <c r="D17" s="357" t="s">
        <v>1433</v>
      </c>
      <c r="E17" s="347" t="s">
        <v>1681</v>
      </c>
      <c r="F17" s="348" t="s">
        <v>1434</v>
      </c>
      <c r="G17" s="256"/>
      <c r="H17" s="350">
        <f>HEX2DEC(E18)*2^8+HEX2DEC(E17)-1</f>
        <v>192</v>
      </c>
      <c r="I17" s="256"/>
      <c r="J17" s="256"/>
      <c r="K17" s="256"/>
      <c r="L17" s="256"/>
      <c r="M17" s="256"/>
      <c r="N17" s="256"/>
      <c r="O17" s="256"/>
      <c r="P17" s="256"/>
      <c r="Q17" s="256"/>
      <c r="R17" s="256"/>
      <c r="S17" s="256"/>
      <c r="T17" s="256"/>
      <c r="U17" s="256"/>
      <c r="V17" s="256"/>
      <c r="W17" s="256"/>
      <c r="X17" s="256"/>
      <c r="Y17" s="328"/>
      <c r="Z17" s="328"/>
      <c r="AA17" s="328"/>
      <c r="AB17" s="328"/>
      <c r="AC17" s="328"/>
      <c r="AD17" s="328"/>
      <c r="AE17" s="328"/>
      <c r="AF17" s="328"/>
      <c r="AG17" s="328"/>
      <c r="AH17" s="256"/>
    </row>
    <row r="18" spans="2:40">
      <c r="B18" s="344" t="s">
        <v>1427</v>
      </c>
      <c r="C18" s="345" t="s">
        <v>1487</v>
      </c>
      <c r="D18" s="357" t="s">
        <v>1435</v>
      </c>
      <c r="E18" s="347" t="s">
        <v>1436</v>
      </c>
      <c r="F18" s="348" t="s">
        <v>1437</v>
      </c>
      <c r="G18" s="256"/>
      <c r="H18" s="349" t="s">
        <v>1438</v>
      </c>
      <c r="I18" s="256"/>
      <c r="J18" s="256"/>
      <c r="K18" s="256"/>
      <c r="L18" s="256"/>
      <c r="M18" s="256"/>
      <c r="N18" s="256"/>
      <c r="O18" s="256"/>
      <c r="P18" s="256"/>
      <c r="Q18" s="256"/>
      <c r="R18" s="256"/>
      <c r="S18" s="256"/>
      <c r="T18" s="256"/>
      <c r="U18" s="256"/>
      <c r="V18" s="256"/>
      <c r="W18" s="256"/>
      <c r="X18" s="256"/>
      <c r="Y18" s="328"/>
      <c r="Z18" s="328"/>
      <c r="AA18" s="328"/>
      <c r="AB18" s="328"/>
      <c r="AC18" s="328"/>
      <c r="AD18" s="328"/>
      <c r="AE18" s="328"/>
      <c r="AF18" s="328"/>
      <c r="AG18" s="328"/>
      <c r="AH18" s="256"/>
    </row>
    <row r="19" spans="2:40">
      <c r="B19" s="344" t="s">
        <v>1427</v>
      </c>
      <c r="C19" s="345" t="s">
        <v>1484</v>
      </c>
      <c r="D19" s="357" t="s">
        <v>1439</v>
      </c>
      <c r="E19" s="347" t="s">
        <v>1682</v>
      </c>
      <c r="F19" s="348" t="s">
        <v>1440</v>
      </c>
      <c r="G19" s="256"/>
      <c r="H19" s="350">
        <f>HEX2DEC(E20)*2^8+HEX2DEC(E19)</f>
        <v>1920</v>
      </c>
      <c r="I19" s="256"/>
      <c r="J19" s="328"/>
      <c r="K19" s="256"/>
      <c r="L19" s="256"/>
      <c r="M19" s="256"/>
      <c r="N19" s="256"/>
      <c r="O19" s="256"/>
      <c r="P19" s="256"/>
      <c r="Q19" s="256"/>
      <c r="R19" s="256"/>
      <c r="S19" s="256"/>
      <c r="T19" s="256"/>
      <c r="U19" s="256"/>
      <c r="V19" s="256"/>
      <c r="W19" s="256"/>
      <c r="X19" s="256"/>
      <c r="Y19" s="328"/>
      <c r="Z19" s="328"/>
      <c r="AA19" s="328"/>
      <c r="AB19" s="328"/>
      <c r="AC19" s="328"/>
      <c r="AD19" s="328"/>
      <c r="AE19" s="328"/>
      <c r="AF19" s="328"/>
      <c r="AG19" s="328"/>
      <c r="AH19" s="256"/>
    </row>
    <row r="20" spans="2:40">
      <c r="B20" s="344" t="s">
        <v>1427</v>
      </c>
      <c r="C20" s="345" t="s">
        <v>1485</v>
      </c>
      <c r="D20" s="357" t="s">
        <v>1441</v>
      </c>
      <c r="E20" s="347" t="s">
        <v>1683</v>
      </c>
      <c r="F20" s="348" t="s">
        <v>1442</v>
      </c>
      <c r="G20" s="256"/>
      <c r="H20" s="349" t="s">
        <v>1443</v>
      </c>
      <c r="I20" s="256"/>
      <c r="J20" s="328"/>
      <c r="K20" s="256"/>
      <c r="L20" s="256"/>
      <c r="M20" s="256"/>
      <c r="N20" s="256"/>
      <c r="O20" s="256"/>
      <c r="P20" s="256"/>
      <c r="Q20" s="256"/>
      <c r="R20" s="256"/>
      <c r="S20" s="256"/>
      <c r="T20" s="256"/>
      <c r="U20" s="256"/>
      <c r="V20" s="256"/>
      <c r="W20" s="256"/>
      <c r="X20" s="256"/>
      <c r="Y20" s="328"/>
      <c r="Z20" s="328"/>
      <c r="AA20" s="328"/>
      <c r="AB20" s="328"/>
      <c r="AC20" s="328"/>
      <c r="AD20" s="328"/>
      <c r="AE20" s="328"/>
      <c r="AF20" s="328"/>
      <c r="AG20" s="328"/>
      <c r="AH20" s="256"/>
    </row>
    <row r="21" spans="2:40">
      <c r="B21" s="339" t="s">
        <v>1444</v>
      </c>
      <c r="C21" s="340" t="s">
        <v>1445</v>
      </c>
      <c r="D21" s="341"/>
      <c r="E21" s="341"/>
      <c r="F21" s="342"/>
      <c r="G21" s="256"/>
      <c r="H21" s="350">
        <f>H15-H17-H19</f>
        <v>88</v>
      </c>
      <c r="I21" s="256"/>
      <c r="K21" s="256"/>
      <c r="L21" s="256"/>
      <c r="M21" s="256"/>
      <c r="N21" s="256"/>
      <c r="O21" s="256"/>
      <c r="P21" s="256"/>
      <c r="Q21" s="256"/>
      <c r="R21" s="256"/>
      <c r="S21" s="256"/>
      <c r="T21" s="256"/>
      <c r="U21" s="256"/>
      <c r="V21" s="256"/>
      <c r="W21" s="256"/>
      <c r="X21" s="256"/>
      <c r="Y21" s="328"/>
      <c r="Z21" s="328"/>
      <c r="AA21" s="328"/>
      <c r="AB21" s="328"/>
      <c r="AC21" s="328"/>
      <c r="AD21" s="328"/>
      <c r="AE21" s="328"/>
      <c r="AF21" s="328"/>
      <c r="AG21" s="328"/>
      <c r="AH21" s="256"/>
    </row>
    <row r="22" spans="2:40">
      <c r="B22" s="344" t="s">
        <v>1427</v>
      </c>
      <c r="C22" s="345" t="s">
        <v>1446</v>
      </c>
      <c r="D22" s="357" t="s">
        <v>1480</v>
      </c>
      <c r="E22" s="347" t="s">
        <v>1684</v>
      </c>
      <c r="F22" s="348" t="s">
        <v>1448</v>
      </c>
      <c r="G22" s="256"/>
      <c r="H22" s="349" t="s">
        <v>1449</v>
      </c>
      <c r="I22" s="256"/>
      <c r="K22" s="256"/>
      <c r="L22" s="256"/>
      <c r="M22" s="256"/>
      <c r="N22" s="256"/>
      <c r="O22" s="256"/>
      <c r="P22" s="256"/>
      <c r="Q22" s="256"/>
      <c r="R22" s="256"/>
      <c r="S22" s="256"/>
      <c r="T22" s="256"/>
      <c r="U22" s="256"/>
      <c r="V22" s="256"/>
      <c r="W22" s="256"/>
      <c r="X22" s="256"/>
      <c r="Y22" s="328"/>
      <c r="Z22" s="328"/>
      <c r="AA22" s="328"/>
      <c r="AB22" s="328"/>
      <c r="AC22" s="328"/>
      <c r="AD22" s="328"/>
      <c r="AE22" s="328"/>
      <c r="AF22" s="328"/>
      <c r="AG22" s="328"/>
      <c r="AH22" s="256"/>
    </row>
    <row r="23" spans="2:40">
      <c r="B23" s="344" t="s">
        <v>1427</v>
      </c>
      <c r="C23" s="345" t="s">
        <v>1450</v>
      </c>
      <c r="D23" s="357" t="s">
        <v>1481</v>
      </c>
      <c r="E23" s="347" t="s">
        <v>1680</v>
      </c>
      <c r="F23" s="348" t="s">
        <v>1452</v>
      </c>
      <c r="G23" s="256"/>
      <c r="H23" s="350">
        <f>(HEX2DEC(E23)*2^8+HEX2DEC(E22))/2</f>
        <v>1125</v>
      </c>
      <c r="I23" s="256"/>
      <c r="K23" s="256"/>
      <c r="L23" s="256"/>
      <c r="M23" s="256"/>
      <c r="N23" s="256"/>
      <c r="O23" s="256"/>
      <c r="P23" s="256"/>
      <c r="Q23" s="256"/>
      <c r="R23" s="256"/>
      <c r="S23" s="256"/>
      <c r="T23" s="256"/>
      <c r="U23" s="256"/>
      <c r="V23" s="256"/>
      <c r="W23" s="256"/>
      <c r="X23" s="256"/>
      <c r="Y23" s="328"/>
      <c r="Z23" s="328"/>
      <c r="AA23" s="328"/>
      <c r="AB23" s="328"/>
      <c r="AC23" s="328"/>
      <c r="AD23" s="328"/>
      <c r="AE23" s="328"/>
      <c r="AF23" s="328"/>
      <c r="AG23" s="328"/>
      <c r="AH23" s="256"/>
    </row>
    <row r="24" spans="2:40">
      <c r="B24" s="344" t="s">
        <v>1427</v>
      </c>
      <c r="C24" s="345" t="s">
        <v>1488</v>
      </c>
      <c r="D24" s="357" t="s">
        <v>1453</v>
      </c>
      <c r="E24" s="347" t="s">
        <v>1685</v>
      </c>
      <c r="F24" s="348" t="s">
        <v>1454</v>
      </c>
      <c r="G24" s="256"/>
      <c r="H24" s="343" t="s">
        <v>1455</v>
      </c>
      <c r="I24" s="256"/>
      <c r="K24" s="256"/>
      <c r="L24" s="256"/>
      <c r="M24" s="256"/>
      <c r="N24" s="256"/>
      <c r="O24" s="256"/>
      <c r="P24" s="256"/>
      <c r="Q24" s="256"/>
      <c r="R24" s="256"/>
      <c r="S24" s="256"/>
      <c r="T24" s="256"/>
      <c r="U24" s="256"/>
      <c r="V24" s="256"/>
      <c r="W24" s="256"/>
      <c r="X24" s="256"/>
      <c r="Y24" s="328"/>
      <c r="Z24" s="328"/>
      <c r="AA24" s="328"/>
      <c r="AB24" s="328"/>
      <c r="AC24" s="328"/>
      <c r="AD24" s="328"/>
      <c r="AE24" s="328"/>
      <c r="AF24" s="328"/>
      <c r="AG24" s="328"/>
      <c r="AH24" s="256"/>
    </row>
    <row r="25" spans="2:40">
      <c r="B25" s="344" t="s">
        <v>1427</v>
      </c>
      <c r="C25" s="345" t="s">
        <v>1489</v>
      </c>
      <c r="D25" s="357" t="s">
        <v>1456</v>
      </c>
      <c r="E25" s="347" t="s">
        <v>1492</v>
      </c>
      <c r="F25" s="348" t="s">
        <v>1457</v>
      </c>
      <c r="G25" s="256"/>
      <c r="H25" s="350">
        <f>(HEX2DEC(E25)*2^8+HEX2DEC(E24)+HEX2DEC(E27)*2^8+HEX2DEC(E26))/2-1</f>
        <v>41</v>
      </c>
      <c r="I25" s="256"/>
      <c r="K25" s="256"/>
      <c r="L25" s="256"/>
      <c r="M25" s="256"/>
      <c r="N25" s="256"/>
      <c r="O25" s="256"/>
      <c r="P25" s="256"/>
      <c r="Q25" s="256"/>
      <c r="R25" s="256"/>
      <c r="S25" s="256"/>
      <c r="T25" s="256"/>
      <c r="U25" s="256"/>
      <c r="V25" s="256"/>
      <c r="W25" s="256"/>
      <c r="X25" s="256"/>
      <c r="Y25" s="328"/>
      <c r="Z25" s="328"/>
      <c r="AA25" s="328"/>
      <c r="AB25" s="328"/>
      <c r="AC25" s="328"/>
      <c r="AD25" s="328"/>
      <c r="AE25" s="328"/>
      <c r="AF25" s="328"/>
      <c r="AG25" s="328"/>
      <c r="AH25" s="256"/>
    </row>
    <row r="26" spans="2:40">
      <c r="B26" s="344" t="s">
        <v>1427</v>
      </c>
      <c r="C26" s="345" t="s">
        <v>1490</v>
      </c>
      <c r="D26" s="357" t="s">
        <v>1458</v>
      </c>
      <c r="E26" s="347" t="s">
        <v>1685</v>
      </c>
      <c r="F26" s="348" t="s">
        <v>1459</v>
      </c>
      <c r="G26" s="256"/>
      <c r="H26" s="349" t="s">
        <v>1460</v>
      </c>
      <c r="I26" s="256"/>
      <c r="K26" s="256"/>
      <c r="L26" s="256"/>
      <c r="M26" s="256"/>
      <c r="N26" s="256"/>
      <c r="O26" s="256"/>
      <c r="P26" s="256"/>
      <c r="Q26" s="256"/>
      <c r="R26" s="256"/>
      <c r="S26" s="256"/>
      <c r="T26" s="256"/>
      <c r="U26" s="256"/>
      <c r="V26" s="256"/>
      <c r="W26" s="256"/>
      <c r="X26" s="256"/>
      <c r="Y26" s="328"/>
      <c r="Z26" s="328"/>
      <c r="AA26" s="328"/>
      <c r="AB26" s="328"/>
      <c r="AC26" s="328"/>
      <c r="AD26" s="328"/>
      <c r="AE26" s="328"/>
      <c r="AF26" s="328"/>
      <c r="AG26" s="328"/>
      <c r="AH26" s="256"/>
    </row>
    <row r="27" spans="2:40">
      <c r="B27" s="344" t="s">
        <v>1427</v>
      </c>
      <c r="C27" s="345" t="s">
        <v>1491</v>
      </c>
      <c r="D27" s="357" t="s">
        <v>1461</v>
      </c>
      <c r="E27" s="347" t="s">
        <v>1436</v>
      </c>
      <c r="F27" s="348" t="s">
        <v>1462</v>
      </c>
      <c r="G27" s="256"/>
      <c r="H27" s="350">
        <f>HEX2DEC(E29)*2^8+HEX2DEC(E28)</f>
        <v>1080</v>
      </c>
      <c r="I27" s="256"/>
      <c r="K27" s="256"/>
      <c r="L27" s="256"/>
      <c r="M27" s="256"/>
      <c r="N27" s="256"/>
      <c r="O27" s="256"/>
      <c r="P27" s="256"/>
      <c r="Q27" s="256"/>
      <c r="R27" s="256"/>
      <c r="S27" s="256"/>
      <c r="T27" s="256"/>
      <c r="U27" s="256"/>
      <c r="V27" s="256"/>
      <c r="W27" s="256"/>
      <c r="X27" s="256"/>
      <c r="Y27" s="328"/>
      <c r="Z27" s="328"/>
      <c r="AA27" s="328"/>
      <c r="AB27" s="328"/>
      <c r="AC27" s="328"/>
      <c r="AD27" s="328"/>
      <c r="AE27" s="328"/>
      <c r="AF27" s="328"/>
      <c r="AG27" s="328"/>
      <c r="AH27" s="256"/>
    </row>
    <row r="28" spans="2:40">
      <c r="B28" s="344" t="s">
        <v>1427</v>
      </c>
      <c r="C28" s="345" t="s">
        <v>1482</v>
      </c>
      <c r="D28" s="357" t="s">
        <v>1447</v>
      </c>
      <c r="E28" s="347" t="s">
        <v>1686</v>
      </c>
      <c r="F28" s="348" t="s">
        <v>1463</v>
      </c>
      <c r="G28" s="256"/>
      <c r="H28" s="349" t="s">
        <v>1464</v>
      </c>
      <c r="I28" s="256"/>
      <c r="K28" s="256"/>
      <c r="L28" s="256"/>
      <c r="M28" s="256"/>
      <c r="N28" s="256"/>
      <c r="O28" s="256"/>
      <c r="P28" s="256"/>
      <c r="Q28" s="256"/>
      <c r="R28" s="256"/>
      <c r="S28" s="256"/>
      <c r="T28" s="256"/>
      <c r="U28" s="256"/>
      <c r="V28" s="256"/>
      <c r="W28" s="256"/>
      <c r="X28" s="256"/>
      <c r="Y28" s="328"/>
      <c r="Z28" s="328"/>
      <c r="AA28" s="328"/>
      <c r="AB28" s="328"/>
      <c r="AC28" s="328"/>
      <c r="AD28" s="328"/>
      <c r="AE28" s="328"/>
      <c r="AF28" s="328"/>
      <c r="AG28" s="328"/>
      <c r="AH28" s="256"/>
    </row>
    <row r="29" spans="2:40">
      <c r="B29" s="344" t="s">
        <v>1427</v>
      </c>
      <c r="C29" s="345" t="s">
        <v>1483</v>
      </c>
      <c r="D29" s="357" t="s">
        <v>1451</v>
      </c>
      <c r="E29" s="347" t="s">
        <v>1687</v>
      </c>
      <c r="F29" s="348" t="s">
        <v>1465</v>
      </c>
      <c r="G29" s="256"/>
      <c r="H29" s="350">
        <f>H23-H25-H27</f>
        <v>4</v>
      </c>
      <c r="I29" s="256"/>
      <c r="K29" s="256"/>
      <c r="L29" s="256"/>
      <c r="M29" s="256"/>
      <c r="N29" s="256"/>
      <c r="O29" s="256"/>
      <c r="P29" s="256"/>
      <c r="Q29" s="256"/>
      <c r="R29" s="256"/>
      <c r="S29" s="256"/>
      <c r="T29" s="256"/>
      <c r="U29" s="256"/>
      <c r="V29" s="256"/>
      <c r="W29" s="256"/>
      <c r="X29" s="256"/>
      <c r="Y29" s="328"/>
      <c r="Z29" s="328"/>
      <c r="AA29" s="328"/>
      <c r="AB29" s="328"/>
      <c r="AC29" s="328"/>
      <c r="AD29" s="328"/>
      <c r="AE29" s="328"/>
      <c r="AF29" s="328"/>
      <c r="AG29" s="328"/>
      <c r="AH29" s="256"/>
    </row>
    <row r="30" spans="2:40">
      <c r="B30" s="339" t="s">
        <v>1621</v>
      </c>
      <c r="C30" s="340" t="s">
        <v>1622</v>
      </c>
      <c r="D30" s="340"/>
      <c r="E30" s="341"/>
      <c r="F30" s="342"/>
      <c r="G30" s="256"/>
      <c r="H30" s="349" t="s">
        <v>1617</v>
      </c>
      <c r="I30" s="349" t="s">
        <v>1618</v>
      </c>
      <c r="K30" s="256"/>
      <c r="L30" s="256"/>
      <c r="M30" s="256"/>
      <c r="N30" s="256"/>
      <c r="O30" s="256"/>
      <c r="P30" s="256"/>
      <c r="Q30" s="256"/>
      <c r="R30" s="256"/>
      <c r="S30" s="256"/>
      <c r="T30" s="256"/>
      <c r="U30" s="256"/>
      <c r="V30" s="256"/>
      <c r="W30" s="256"/>
      <c r="X30" s="256"/>
      <c r="Y30" s="328"/>
      <c r="Z30" s="328"/>
      <c r="AA30" s="328"/>
      <c r="AB30" s="328"/>
      <c r="AC30" s="328"/>
      <c r="AD30" s="328"/>
      <c r="AE30" s="328"/>
      <c r="AF30" s="328"/>
      <c r="AG30" s="328"/>
      <c r="AH30" s="256"/>
    </row>
    <row r="31" spans="2:40">
      <c r="B31" s="344" t="s">
        <v>1427</v>
      </c>
      <c r="C31" s="345" t="s">
        <v>1616</v>
      </c>
      <c r="D31" s="357" t="s">
        <v>1688</v>
      </c>
      <c r="E31" s="347" t="s">
        <v>1689</v>
      </c>
      <c r="F31" s="348" t="s">
        <v>1620</v>
      </c>
      <c r="G31" s="256"/>
      <c r="H31" s="410" t="str">
        <f>IF(MID(HEX2BIN(E31,8),6,1)="0","Low Active","High Active")</f>
        <v>Low Active</v>
      </c>
      <c r="I31" s="410" t="str">
        <f>IF(MID(HEX2BIN(E31,8),5,1)="0","Low Active","High Active")</f>
        <v>High Active</v>
      </c>
      <c r="J31" s="328"/>
      <c r="K31" s="256"/>
      <c r="L31" s="256"/>
      <c r="M31" s="256"/>
      <c r="N31" s="256"/>
      <c r="O31" s="256"/>
      <c r="P31" s="256"/>
      <c r="Q31" s="256"/>
      <c r="R31" s="256"/>
      <c r="S31" s="256"/>
      <c r="T31" s="256"/>
      <c r="U31" s="256"/>
      <c r="V31" s="256"/>
      <c r="W31" s="256"/>
      <c r="Y31" s="316"/>
      <c r="Z31" s="240"/>
      <c r="AA31" s="240"/>
      <c r="AB31" s="240"/>
      <c r="AC31" s="240"/>
      <c r="AD31" s="240"/>
      <c r="AE31" s="240"/>
      <c r="AF31" s="240"/>
      <c r="AG31" s="240"/>
      <c r="AH31" s="240"/>
      <c r="AI31" s="240"/>
      <c r="AJ31" s="240"/>
      <c r="AK31" s="240"/>
      <c r="AL31" s="240"/>
      <c r="AM31" s="240"/>
      <c r="AN31" s="240"/>
    </row>
    <row r="32" spans="2:40">
      <c r="B32" s="344" t="s">
        <v>1466</v>
      </c>
      <c r="C32" s="345"/>
      <c r="D32" s="346"/>
      <c r="E32" s="352"/>
      <c r="F32" s="351"/>
    </row>
  </sheetData>
  <sheetProtection password="EE8F" sheet="1" objects="1" scenarios="1" selectLockedCells="1"/>
  <phoneticPr fontId="53"/>
  <pageMargins left="0.7" right="0.7" top="0.75" bottom="0.75" header="0.3" footer="0.3"/>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12"/>
  </sheetPr>
  <dimension ref="A1:E486"/>
  <sheetViews>
    <sheetView showGridLines="0" workbookViewId="0">
      <selection activeCell="D15" sqref="D15"/>
    </sheetView>
  </sheetViews>
  <sheetFormatPr defaultRowHeight="14.25"/>
  <cols>
    <col min="1" max="1" width="74.25" style="3" bestFit="1" customWidth="1"/>
    <col min="2" max="16384" width="9" style="3"/>
  </cols>
  <sheetData>
    <row r="1" spans="1:5" ht="15">
      <c r="A1" s="3" t="s">
        <v>1691</v>
      </c>
      <c r="E1" s="4"/>
    </row>
    <row r="2" spans="1:5">
      <c r="A2" s="3" t="s">
        <v>1692</v>
      </c>
    </row>
    <row r="3" spans="1:5">
      <c r="A3" s="3" t="s">
        <v>1693</v>
      </c>
    </row>
    <row r="4" spans="1:5">
      <c r="A4" s="3" t="s">
        <v>1694</v>
      </c>
    </row>
    <row r="5" spans="1:5">
      <c r="A5" s="3" t="s">
        <v>1695</v>
      </c>
    </row>
    <row r="6" spans="1:5">
      <c r="A6" s="3" t="s">
        <v>1696</v>
      </c>
    </row>
    <row r="7" spans="1:5">
      <c r="A7" s="3" t="s">
        <v>1697</v>
      </c>
    </row>
    <row r="8" spans="1:5">
      <c r="A8" s="3" t="s">
        <v>1698</v>
      </c>
    </row>
    <row r="9" spans="1:5">
      <c r="A9" s="3" t="s">
        <v>1699</v>
      </c>
    </row>
    <row r="10" spans="1:5">
      <c r="A10" s="3" t="s">
        <v>1700</v>
      </c>
    </row>
    <row r="11" spans="1:5">
      <c r="A11" s="3" t="s">
        <v>1701</v>
      </c>
    </row>
    <row r="12" spans="1:5">
      <c r="A12" s="3" t="s">
        <v>1702</v>
      </c>
    </row>
    <row r="13" spans="1:5">
      <c r="A13" s="3" t="s">
        <v>1703</v>
      </c>
    </row>
    <row r="14" spans="1:5">
      <c r="A14" s="3" t="s">
        <v>1704</v>
      </c>
    </row>
    <row r="15" spans="1:5">
      <c r="A15" s="3" t="s">
        <v>1705</v>
      </c>
    </row>
    <row r="16" spans="1:5">
      <c r="A16" s="3" t="s">
        <v>1706</v>
      </c>
    </row>
    <row r="17" spans="1:1">
      <c r="A17" s="3" t="s">
        <v>1707</v>
      </c>
    </row>
    <row r="18" spans="1:1">
      <c r="A18" s="3" t="s">
        <v>1708</v>
      </c>
    </row>
    <row r="19" spans="1:1">
      <c r="A19" s="3" t="s">
        <v>1709</v>
      </c>
    </row>
    <row r="20" spans="1:1">
      <c r="A20" s="3" t="s">
        <v>1710</v>
      </c>
    </row>
    <row r="21" spans="1:1">
      <c r="A21" s="3" t="s">
        <v>1711</v>
      </c>
    </row>
    <row r="22" spans="1:1">
      <c r="A22" s="3" t="s">
        <v>1712</v>
      </c>
    </row>
    <row r="23" spans="1:1">
      <c r="A23" s="3" t="s">
        <v>1713</v>
      </c>
    </row>
    <row r="24" spans="1:1">
      <c r="A24" s="3" t="s">
        <v>1714</v>
      </c>
    </row>
    <row r="25" spans="1:1">
      <c r="A25" s="3" t="s">
        <v>1715</v>
      </c>
    </row>
    <row r="26" spans="1:1">
      <c r="A26" s="3" t="s">
        <v>1716</v>
      </c>
    </row>
    <row r="27" spans="1:1">
      <c r="A27" s="3" t="s">
        <v>1717</v>
      </c>
    </row>
    <row r="28" spans="1:1">
      <c r="A28" s="3" t="s">
        <v>1718</v>
      </c>
    </row>
    <row r="29" spans="1:1">
      <c r="A29" s="3" t="s">
        <v>1719</v>
      </c>
    </row>
    <row r="30" spans="1:1">
      <c r="A30" s="3" t="s">
        <v>1720</v>
      </c>
    </row>
    <row r="31" spans="1:1">
      <c r="A31" s="3" t="s">
        <v>1721</v>
      </c>
    </row>
    <row r="32" spans="1:1">
      <c r="A32" s="3" t="s">
        <v>1722</v>
      </c>
    </row>
    <row r="33" spans="1:1">
      <c r="A33" s="3" t="s">
        <v>1723</v>
      </c>
    </row>
    <row r="34" spans="1:1">
      <c r="A34" s="3" t="s">
        <v>1724</v>
      </c>
    </row>
    <row r="35" spans="1:1">
      <c r="A35" s="3" t="s">
        <v>1725</v>
      </c>
    </row>
    <row r="36" spans="1:1">
      <c r="A36" s="3" t="s">
        <v>1726</v>
      </c>
    </row>
    <row r="37" spans="1:1">
      <c r="A37" s="3" t="s">
        <v>1727</v>
      </c>
    </row>
    <row r="38" spans="1:1">
      <c r="A38" s="3" t="s">
        <v>1728</v>
      </c>
    </row>
    <row r="39" spans="1:1">
      <c r="A39" s="3" t="s">
        <v>1729</v>
      </c>
    </row>
    <row r="40" spans="1:1">
      <c r="A40" s="3" t="s">
        <v>1730</v>
      </c>
    </row>
    <row r="41" spans="1:1">
      <c r="A41" s="3" t="s">
        <v>1731</v>
      </c>
    </row>
    <row r="42" spans="1:1">
      <c r="A42" s="3" t="s">
        <v>1732</v>
      </c>
    </row>
    <row r="43" spans="1:1">
      <c r="A43" s="3" t="s">
        <v>1733</v>
      </c>
    </row>
    <row r="44" spans="1:1">
      <c r="A44" s="3" t="s">
        <v>1734</v>
      </c>
    </row>
    <row r="45" spans="1:1">
      <c r="A45" s="3" t="s">
        <v>1735</v>
      </c>
    </row>
    <row r="46" spans="1:1">
      <c r="A46" s="3" t="s">
        <v>1736</v>
      </c>
    </row>
    <row r="47" spans="1:1">
      <c r="A47" s="3" t="s">
        <v>1737</v>
      </c>
    </row>
    <row r="48" spans="1:1">
      <c r="A48" s="3" t="s">
        <v>1738</v>
      </c>
    </row>
    <row r="49" spans="1:1">
      <c r="A49" s="3" t="s">
        <v>1739</v>
      </c>
    </row>
    <row r="50" spans="1:1">
      <c r="A50" s="3" t="s">
        <v>1740</v>
      </c>
    </row>
    <row r="51" spans="1:1">
      <c r="A51" s="3" t="s">
        <v>1741</v>
      </c>
    </row>
    <row r="52" spans="1:1">
      <c r="A52" s="3" t="s">
        <v>1742</v>
      </c>
    </row>
    <row r="53" spans="1:1">
      <c r="A53" s="3" t="s">
        <v>1743</v>
      </c>
    </row>
    <row r="54" spans="1:1">
      <c r="A54" s="3" t="s">
        <v>1744</v>
      </c>
    </row>
    <row r="55" spans="1:1">
      <c r="A55" s="3" t="s">
        <v>1701</v>
      </c>
    </row>
    <row r="56" spans="1:1">
      <c r="A56" s="3" t="s">
        <v>1745</v>
      </c>
    </row>
    <row r="57" spans="1:1">
      <c r="A57" s="3" t="s">
        <v>1746</v>
      </c>
    </row>
    <row r="58" spans="1:1">
      <c r="A58" s="3" t="s">
        <v>1747</v>
      </c>
    </row>
    <row r="59" spans="1:1">
      <c r="A59" s="3" t="s">
        <v>1748</v>
      </c>
    </row>
    <row r="60" spans="1:1">
      <c r="A60" s="3" t="s">
        <v>1749</v>
      </c>
    </row>
    <row r="61" spans="1:1">
      <c r="A61" s="3" t="s">
        <v>1750</v>
      </c>
    </row>
    <row r="62" spans="1:1">
      <c r="A62" s="3" t="s">
        <v>1751</v>
      </c>
    </row>
    <row r="63" spans="1:1">
      <c r="A63" s="3" t="s">
        <v>1752</v>
      </c>
    </row>
    <row r="64" spans="1:1">
      <c r="A64" s="3" t="s">
        <v>1753</v>
      </c>
    </row>
    <row r="65" spans="1:1">
      <c r="A65" s="3" t="s">
        <v>1754</v>
      </c>
    </row>
    <row r="66" spans="1:1">
      <c r="A66" s="3" t="s">
        <v>1755</v>
      </c>
    </row>
    <row r="67" spans="1:1">
      <c r="A67" s="3" t="s">
        <v>1756</v>
      </c>
    </row>
    <row r="68" spans="1:1">
      <c r="A68" s="3" t="s">
        <v>1757</v>
      </c>
    </row>
    <row r="69" spans="1:1">
      <c r="A69" s="3" t="s">
        <v>1758</v>
      </c>
    </row>
    <row r="70" spans="1:1">
      <c r="A70" s="3" t="s">
        <v>1759</v>
      </c>
    </row>
    <row r="71" spans="1:1">
      <c r="A71" s="3" t="s">
        <v>1760</v>
      </c>
    </row>
    <row r="72" spans="1:1">
      <c r="A72" s="3" t="s">
        <v>1761</v>
      </c>
    </row>
    <row r="73" spans="1:1">
      <c r="A73" s="3" t="s">
        <v>1762</v>
      </c>
    </row>
    <row r="74" spans="1:1">
      <c r="A74" s="3" t="s">
        <v>1763</v>
      </c>
    </row>
    <row r="75" spans="1:1">
      <c r="A75" s="3" t="s">
        <v>1764</v>
      </c>
    </row>
    <row r="76" spans="1:1">
      <c r="A76" s="3" t="s">
        <v>1765</v>
      </c>
    </row>
    <row r="77" spans="1:1">
      <c r="A77" s="3" t="s">
        <v>1766</v>
      </c>
    </row>
    <row r="78" spans="1:1">
      <c r="A78" s="3" t="s">
        <v>1767</v>
      </c>
    </row>
    <row r="79" spans="1:1">
      <c r="A79" s="3" t="s">
        <v>1768</v>
      </c>
    </row>
    <row r="80" spans="1:1">
      <c r="A80" s="3" t="s">
        <v>1769</v>
      </c>
    </row>
    <row r="81" spans="1:1">
      <c r="A81" s="3" t="s">
        <v>1770</v>
      </c>
    </row>
    <row r="82" spans="1:1">
      <c r="A82" s="3" t="s">
        <v>1771</v>
      </c>
    </row>
    <row r="83" spans="1:1">
      <c r="A83" s="3" t="s">
        <v>1772</v>
      </c>
    </row>
    <row r="84" spans="1:1">
      <c r="A84" s="3" t="s">
        <v>1773</v>
      </c>
    </row>
    <row r="85" spans="1:1">
      <c r="A85" s="3" t="s">
        <v>1774</v>
      </c>
    </row>
    <row r="86" spans="1:1">
      <c r="A86" s="3" t="s">
        <v>1775</v>
      </c>
    </row>
    <row r="87" spans="1:1">
      <c r="A87" s="3" t="s">
        <v>1776</v>
      </c>
    </row>
    <row r="88" spans="1:1">
      <c r="A88" s="3" t="s">
        <v>1777</v>
      </c>
    </row>
    <row r="89" spans="1:1">
      <c r="A89" s="3" t="s">
        <v>1778</v>
      </c>
    </row>
    <row r="90" spans="1:1">
      <c r="A90" s="3" t="s">
        <v>1779</v>
      </c>
    </row>
    <row r="91" spans="1:1">
      <c r="A91" s="3" t="s">
        <v>1780</v>
      </c>
    </row>
    <row r="92" spans="1:1">
      <c r="A92" s="3" t="s">
        <v>1781</v>
      </c>
    </row>
    <row r="93" spans="1:1">
      <c r="A93" s="3" t="s">
        <v>1782</v>
      </c>
    </row>
    <row r="94" spans="1:1">
      <c r="A94" s="3" t="s">
        <v>1783</v>
      </c>
    </row>
    <row r="95" spans="1:1">
      <c r="A95" s="3" t="s">
        <v>1784</v>
      </c>
    </row>
    <row r="96" spans="1:1">
      <c r="A96" s="3" t="s">
        <v>1785</v>
      </c>
    </row>
    <row r="97" spans="1:1">
      <c r="A97" s="3" t="s">
        <v>1786</v>
      </c>
    </row>
    <row r="98" spans="1:1">
      <c r="A98" s="3" t="s">
        <v>1787</v>
      </c>
    </row>
    <row r="99" spans="1:1">
      <c r="A99" s="3" t="s">
        <v>1788</v>
      </c>
    </row>
    <row r="100" spans="1:1">
      <c r="A100" s="3" t="s">
        <v>1789</v>
      </c>
    </row>
    <row r="101" spans="1:1">
      <c r="A101" s="3" t="s">
        <v>1790</v>
      </c>
    </row>
    <row r="102" spans="1:1">
      <c r="A102" s="3" t="s">
        <v>1701</v>
      </c>
    </row>
    <row r="103" spans="1:1">
      <c r="A103" s="3" t="s">
        <v>1791</v>
      </c>
    </row>
    <row r="104" spans="1:1">
      <c r="A104" s="3" t="s">
        <v>1792</v>
      </c>
    </row>
    <row r="105" spans="1:1">
      <c r="A105" s="3" t="s">
        <v>1793</v>
      </c>
    </row>
    <row r="106" spans="1:1">
      <c r="A106" s="3" t="s">
        <v>1701</v>
      </c>
    </row>
    <row r="107" spans="1:1">
      <c r="A107" s="3" t="s">
        <v>1794</v>
      </c>
    </row>
    <row r="108" spans="1:1">
      <c r="A108" s="3" t="s">
        <v>1795</v>
      </c>
    </row>
    <row r="109" spans="1:1">
      <c r="A109" s="3" t="s">
        <v>1789</v>
      </c>
    </row>
    <row r="110" spans="1:1">
      <c r="A110" s="3" t="s">
        <v>1796</v>
      </c>
    </row>
    <row r="111" spans="1:1">
      <c r="A111" s="3" t="s">
        <v>1797</v>
      </c>
    </row>
    <row r="112" spans="1:1">
      <c r="A112" s="3" t="s">
        <v>1798</v>
      </c>
    </row>
    <row r="113" spans="1:1">
      <c r="A113" s="3" t="s">
        <v>1701</v>
      </c>
    </row>
    <row r="114" spans="1:1">
      <c r="A114" s="3" t="s">
        <v>1799</v>
      </c>
    </row>
    <row r="115" spans="1:1">
      <c r="A115" s="3" t="s">
        <v>1795</v>
      </c>
    </row>
    <row r="116" spans="1:1">
      <c r="A116" s="3" t="s">
        <v>1789</v>
      </c>
    </row>
    <row r="117" spans="1:1">
      <c r="A117" s="3" t="s">
        <v>1800</v>
      </c>
    </row>
    <row r="118" spans="1:1">
      <c r="A118" s="3" t="s">
        <v>1801</v>
      </c>
    </row>
    <row r="119" spans="1:1">
      <c r="A119" s="3" t="s">
        <v>1802</v>
      </c>
    </row>
    <row r="120" spans="1:1">
      <c r="A120" s="3" t="s">
        <v>1701</v>
      </c>
    </row>
    <row r="121" spans="1:1">
      <c r="A121" s="3" t="s">
        <v>1803</v>
      </c>
    </row>
    <row r="122" spans="1:1">
      <c r="A122" s="3" t="s">
        <v>1792</v>
      </c>
    </row>
    <row r="123" spans="1:1">
      <c r="A123" s="3" t="s">
        <v>1804</v>
      </c>
    </row>
    <row r="124" spans="1:1">
      <c r="A124" s="3" t="s">
        <v>1701</v>
      </c>
    </row>
    <row r="125" spans="1:1">
      <c r="A125" s="3" t="s">
        <v>1805</v>
      </c>
    </row>
    <row r="126" spans="1:1">
      <c r="A126" s="3" t="s">
        <v>1795</v>
      </c>
    </row>
    <row r="127" spans="1:1">
      <c r="A127" s="3" t="s">
        <v>1806</v>
      </c>
    </row>
    <row r="128" spans="1:1">
      <c r="A128" s="3" t="s">
        <v>1807</v>
      </c>
    </row>
    <row r="129" spans="1:1">
      <c r="A129" s="3" t="s">
        <v>1808</v>
      </c>
    </row>
    <row r="130" spans="1:1">
      <c r="A130" s="3" t="s">
        <v>1701</v>
      </c>
    </row>
    <row r="131" spans="1:1">
      <c r="A131" s="3" t="s">
        <v>1809</v>
      </c>
    </row>
    <row r="132" spans="1:1">
      <c r="A132" s="3" t="s">
        <v>1792</v>
      </c>
    </row>
    <row r="133" spans="1:1">
      <c r="A133" s="3" t="s">
        <v>1810</v>
      </c>
    </row>
    <row r="134" spans="1:1">
      <c r="A134" s="3" t="s">
        <v>1701</v>
      </c>
    </row>
    <row r="135" spans="1:1">
      <c r="A135" s="3" t="s">
        <v>1811</v>
      </c>
    </row>
    <row r="136" spans="1:1">
      <c r="A136" s="3" t="s">
        <v>1792</v>
      </c>
    </row>
    <row r="137" spans="1:1">
      <c r="A137" s="3" t="s">
        <v>1812</v>
      </c>
    </row>
    <row r="138" spans="1:1">
      <c r="A138" s="3" t="s">
        <v>1701</v>
      </c>
    </row>
    <row r="139" spans="1:1">
      <c r="A139" s="3" t="s">
        <v>1813</v>
      </c>
    </row>
    <row r="140" spans="1:1">
      <c r="A140" s="3" t="s">
        <v>1792</v>
      </c>
    </row>
    <row r="141" spans="1:1">
      <c r="A141" s="3" t="s">
        <v>1814</v>
      </c>
    </row>
    <row r="142" spans="1:1">
      <c r="A142" s="3" t="s">
        <v>1701</v>
      </c>
    </row>
    <row r="143" spans="1:1">
      <c r="A143" s="3" t="s">
        <v>1815</v>
      </c>
    </row>
    <row r="144" spans="1:1">
      <c r="A144" s="3" t="s">
        <v>1789</v>
      </c>
    </row>
    <row r="145" spans="1:1" ht="15" customHeight="1">
      <c r="A145" s="3" t="s">
        <v>1816</v>
      </c>
    </row>
    <row r="146" spans="1:1">
      <c r="A146" s="3" t="s">
        <v>1701</v>
      </c>
    </row>
    <row r="147" spans="1:1">
      <c r="A147" s="3" t="s">
        <v>1817</v>
      </c>
    </row>
    <row r="148" spans="1:1">
      <c r="A148" s="3" t="s">
        <v>1818</v>
      </c>
    </row>
    <row r="149" spans="1:1">
      <c r="A149" s="3" t="s">
        <v>1819</v>
      </c>
    </row>
    <row r="150" spans="1:1">
      <c r="A150" s="3" t="s">
        <v>1701</v>
      </c>
    </row>
    <row r="151" spans="1:1">
      <c r="A151" s="3" t="s">
        <v>1820</v>
      </c>
    </row>
    <row r="152" spans="1:1">
      <c r="A152" s="3" t="s">
        <v>1821</v>
      </c>
    </row>
    <row r="153" spans="1:1">
      <c r="A153" s="3" t="s">
        <v>1822</v>
      </c>
    </row>
    <row r="154" spans="1:1">
      <c r="A154" s="3" t="s">
        <v>1823</v>
      </c>
    </row>
    <row r="155" spans="1:1">
      <c r="A155" s="3" t="s">
        <v>1824</v>
      </c>
    </row>
    <row r="156" spans="1:1">
      <c r="A156" s="3" t="s">
        <v>1825</v>
      </c>
    </row>
    <row r="157" spans="1:1">
      <c r="A157" s="3" t="s">
        <v>1826</v>
      </c>
    </row>
    <row r="158" spans="1:1">
      <c r="A158" s="3" t="s">
        <v>1827</v>
      </c>
    </row>
    <row r="159" spans="1:1">
      <c r="A159" s="3" t="s">
        <v>1828</v>
      </c>
    </row>
    <row r="160" spans="1:1">
      <c r="A160" s="3" t="s">
        <v>1829</v>
      </c>
    </row>
    <row r="161" spans="1:1">
      <c r="A161" s="3" t="s">
        <v>1830</v>
      </c>
    </row>
    <row r="162" spans="1:1">
      <c r="A162" s="3" t="s">
        <v>1831</v>
      </c>
    </row>
    <row r="163" spans="1:1">
      <c r="A163" s="3" t="s">
        <v>1832</v>
      </c>
    </row>
    <row r="164" spans="1:1">
      <c r="A164" s="3" t="s">
        <v>1833</v>
      </c>
    </row>
    <row r="165" spans="1:1">
      <c r="A165" s="3" t="s">
        <v>1834</v>
      </c>
    </row>
    <row r="166" spans="1:1">
      <c r="A166" s="3" t="s">
        <v>1835</v>
      </c>
    </row>
    <row r="167" spans="1:1">
      <c r="A167" s="3" t="s">
        <v>1836</v>
      </c>
    </row>
    <row r="168" spans="1:1">
      <c r="A168" s="3" t="s">
        <v>1837</v>
      </c>
    </row>
    <row r="169" spans="1:1">
      <c r="A169" s="3" t="s">
        <v>1838</v>
      </c>
    </row>
    <row r="170" spans="1:1">
      <c r="A170" s="3" t="s">
        <v>1839</v>
      </c>
    </row>
    <row r="171" spans="1:1">
      <c r="A171" s="3" t="s">
        <v>1840</v>
      </c>
    </row>
    <row r="172" spans="1:1">
      <c r="A172" s="3" t="s">
        <v>1841</v>
      </c>
    </row>
    <row r="173" spans="1:1">
      <c r="A173" s="3" t="s">
        <v>1842</v>
      </c>
    </row>
    <row r="174" spans="1:1">
      <c r="A174" s="3" t="s">
        <v>1843</v>
      </c>
    </row>
    <row r="175" spans="1:1">
      <c r="A175" s="3" t="s">
        <v>1844</v>
      </c>
    </row>
    <row r="176" spans="1:1">
      <c r="A176" s="3" t="s">
        <v>1845</v>
      </c>
    </row>
    <row r="177" spans="1:1">
      <c r="A177" s="3" t="s">
        <v>1846</v>
      </c>
    </row>
    <row r="178" spans="1:1">
      <c r="A178" s="3" t="s">
        <v>1847</v>
      </c>
    </row>
    <row r="179" spans="1:1">
      <c r="A179" s="3" t="s">
        <v>1848</v>
      </c>
    </row>
    <row r="180" spans="1:1">
      <c r="A180" s="3" t="s">
        <v>1849</v>
      </c>
    </row>
    <row r="181" spans="1:1">
      <c r="A181" s="3" t="s">
        <v>1850</v>
      </c>
    </row>
    <row r="182" spans="1:1">
      <c r="A182" s="3" t="s">
        <v>1851</v>
      </c>
    </row>
    <row r="183" spans="1:1">
      <c r="A183" s="3" t="s">
        <v>1852</v>
      </c>
    </row>
    <row r="184" spans="1:1">
      <c r="A184" s="3" t="s">
        <v>1853</v>
      </c>
    </row>
    <row r="185" spans="1:1">
      <c r="A185" s="3" t="s">
        <v>1854</v>
      </c>
    </row>
    <row r="186" spans="1:1">
      <c r="A186" s="3" t="s">
        <v>1855</v>
      </c>
    </row>
    <row r="187" spans="1:1">
      <c r="A187" s="3" t="s">
        <v>1856</v>
      </c>
    </row>
    <row r="188" spans="1:1">
      <c r="A188" s="3" t="s">
        <v>1857</v>
      </c>
    </row>
    <row r="189" spans="1:1">
      <c r="A189" s="3" t="s">
        <v>1858</v>
      </c>
    </row>
    <row r="190" spans="1:1">
      <c r="A190" s="3" t="s">
        <v>1859</v>
      </c>
    </row>
    <row r="191" spans="1:1">
      <c r="A191" s="3" t="s">
        <v>1860</v>
      </c>
    </row>
    <row r="192" spans="1:1">
      <c r="A192" s="3" t="s">
        <v>1861</v>
      </c>
    </row>
    <row r="193" spans="1:1">
      <c r="A193" s="3" t="s">
        <v>1862</v>
      </c>
    </row>
    <row r="194" spans="1:1">
      <c r="A194" s="3" t="s">
        <v>1863</v>
      </c>
    </row>
    <row r="195" spans="1:1">
      <c r="A195" s="3" t="s">
        <v>1864</v>
      </c>
    </row>
    <row r="196" spans="1:1">
      <c r="A196" s="3" t="s">
        <v>1865</v>
      </c>
    </row>
    <row r="197" spans="1:1">
      <c r="A197" s="3" t="s">
        <v>1866</v>
      </c>
    </row>
    <row r="198" spans="1:1">
      <c r="A198" s="3" t="s">
        <v>1867</v>
      </c>
    </row>
    <row r="199" spans="1:1">
      <c r="A199" s="3" t="s">
        <v>1868</v>
      </c>
    </row>
    <row r="200" spans="1:1">
      <c r="A200" s="3" t="s">
        <v>1869</v>
      </c>
    </row>
    <row r="201" spans="1:1">
      <c r="A201" s="3" t="s">
        <v>1870</v>
      </c>
    </row>
    <row r="202" spans="1:1">
      <c r="A202" s="3" t="s">
        <v>1871</v>
      </c>
    </row>
    <row r="203" spans="1:1">
      <c r="A203" s="3" t="s">
        <v>1872</v>
      </c>
    </row>
    <row r="204" spans="1:1">
      <c r="A204" s="3" t="s">
        <v>1873</v>
      </c>
    </row>
    <row r="205" spans="1:1">
      <c r="A205" s="3" t="s">
        <v>1874</v>
      </c>
    </row>
    <row r="206" spans="1:1">
      <c r="A206" s="3" t="s">
        <v>1875</v>
      </c>
    </row>
    <row r="207" spans="1:1">
      <c r="A207" s="3" t="s">
        <v>1876</v>
      </c>
    </row>
    <row r="208" spans="1:1">
      <c r="A208" s="3" t="s">
        <v>1877</v>
      </c>
    </row>
    <row r="209" spans="1:1">
      <c r="A209" s="3" t="s">
        <v>1878</v>
      </c>
    </row>
    <row r="210" spans="1:1">
      <c r="A210" s="3" t="s">
        <v>1879</v>
      </c>
    </row>
    <row r="211" spans="1:1">
      <c r="A211" s="3" t="s">
        <v>1880</v>
      </c>
    </row>
    <row r="212" spans="1:1">
      <c r="A212" s="3" t="s">
        <v>1881</v>
      </c>
    </row>
    <row r="213" spans="1:1">
      <c r="A213" s="3" t="s">
        <v>1882</v>
      </c>
    </row>
    <row r="214" spans="1:1">
      <c r="A214" s="3" t="s">
        <v>1883</v>
      </c>
    </row>
    <row r="215" spans="1:1">
      <c r="A215" s="3" t="s">
        <v>1884</v>
      </c>
    </row>
    <row r="216" spans="1:1">
      <c r="A216" s="3" t="s">
        <v>1885</v>
      </c>
    </row>
    <row r="217" spans="1:1">
      <c r="A217" s="3" t="s">
        <v>1886</v>
      </c>
    </row>
    <row r="218" spans="1:1">
      <c r="A218" s="3" t="s">
        <v>1887</v>
      </c>
    </row>
    <row r="219" spans="1:1">
      <c r="A219" s="3" t="s">
        <v>1888</v>
      </c>
    </row>
    <row r="220" spans="1:1">
      <c r="A220" s="3" t="s">
        <v>1889</v>
      </c>
    </row>
    <row r="221" spans="1:1">
      <c r="A221" s="3" t="s">
        <v>1890</v>
      </c>
    </row>
    <row r="222" spans="1:1">
      <c r="A222" s="3" t="s">
        <v>1891</v>
      </c>
    </row>
    <row r="223" spans="1:1">
      <c r="A223" s="3" t="s">
        <v>1892</v>
      </c>
    </row>
    <row r="224" spans="1:1">
      <c r="A224" s="3" t="s">
        <v>1893</v>
      </c>
    </row>
    <row r="225" spans="1:1">
      <c r="A225" s="3" t="s">
        <v>1894</v>
      </c>
    </row>
    <row r="226" spans="1:1">
      <c r="A226" s="3" t="s">
        <v>1895</v>
      </c>
    </row>
    <row r="227" spans="1:1">
      <c r="A227" s="3" t="s">
        <v>1896</v>
      </c>
    </row>
    <row r="228" spans="1:1">
      <c r="A228" s="3" t="s">
        <v>1897</v>
      </c>
    </row>
    <row r="229" spans="1:1">
      <c r="A229" s="3" t="s">
        <v>1898</v>
      </c>
    </row>
    <row r="230" spans="1:1">
      <c r="A230" s="3" t="s">
        <v>1899</v>
      </c>
    </row>
    <row r="231" spans="1:1">
      <c r="A231" s="3" t="s">
        <v>1900</v>
      </c>
    </row>
    <row r="232" spans="1:1">
      <c r="A232" s="3" t="s">
        <v>1901</v>
      </c>
    </row>
    <row r="233" spans="1:1">
      <c r="A233" s="3" t="s">
        <v>1902</v>
      </c>
    </row>
    <row r="234" spans="1:1">
      <c r="A234" s="3" t="s">
        <v>1903</v>
      </c>
    </row>
    <row r="235" spans="1:1">
      <c r="A235" s="3" t="s">
        <v>1904</v>
      </c>
    </row>
    <row r="236" spans="1:1">
      <c r="A236" s="3" t="s">
        <v>1905</v>
      </c>
    </row>
    <row r="237" spans="1:1">
      <c r="A237" s="3" t="s">
        <v>1906</v>
      </c>
    </row>
    <row r="238" spans="1:1">
      <c r="A238" s="3" t="s">
        <v>1907</v>
      </c>
    </row>
    <row r="239" spans="1:1">
      <c r="A239" s="3" t="s">
        <v>1908</v>
      </c>
    </row>
    <row r="240" spans="1:1">
      <c r="A240" s="3" t="s">
        <v>1909</v>
      </c>
    </row>
    <row r="241" spans="1:1">
      <c r="A241" s="3" t="s">
        <v>1910</v>
      </c>
    </row>
    <row r="242" spans="1:1">
      <c r="A242" s="3" t="s">
        <v>1911</v>
      </c>
    </row>
    <row r="243" spans="1:1">
      <c r="A243" s="3" t="s">
        <v>1912</v>
      </c>
    </row>
    <row r="244" spans="1:1">
      <c r="A244" s="3" t="s">
        <v>1913</v>
      </c>
    </row>
    <row r="245" spans="1:1">
      <c r="A245" s="3" t="s">
        <v>1914</v>
      </c>
    </row>
    <row r="246" spans="1:1">
      <c r="A246" s="3" t="s">
        <v>1915</v>
      </c>
    </row>
    <row r="247" spans="1:1">
      <c r="A247" s="3" t="s">
        <v>1916</v>
      </c>
    </row>
    <row r="248" spans="1:1">
      <c r="A248" s="3" t="s">
        <v>1917</v>
      </c>
    </row>
    <row r="249" spans="1:1">
      <c r="A249" s="3" t="s">
        <v>1918</v>
      </c>
    </row>
    <row r="250" spans="1:1">
      <c r="A250" s="3" t="s">
        <v>1919</v>
      </c>
    </row>
    <row r="251" spans="1:1">
      <c r="A251" s="3" t="s">
        <v>1920</v>
      </c>
    </row>
    <row r="252" spans="1:1">
      <c r="A252" s="3" t="s">
        <v>1921</v>
      </c>
    </row>
    <row r="253" spans="1:1">
      <c r="A253" s="3" t="s">
        <v>1922</v>
      </c>
    </row>
    <row r="254" spans="1:1">
      <c r="A254" s="3" t="s">
        <v>1923</v>
      </c>
    </row>
    <row r="255" spans="1:1">
      <c r="A255" s="3" t="s">
        <v>1924</v>
      </c>
    </row>
    <row r="256" spans="1:1">
      <c r="A256" s="3" t="s">
        <v>1925</v>
      </c>
    </row>
    <row r="257" spans="1:1">
      <c r="A257" s="3" t="s">
        <v>1926</v>
      </c>
    </row>
    <row r="258" spans="1:1">
      <c r="A258" s="3" t="s">
        <v>1927</v>
      </c>
    </row>
    <row r="259" spans="1:1">
      <c r="A259" s="3" t="s">
        <v>1928</v>
      </c>
    </row>
    <row r="260" spans="1:1">
      <c r="A260" s="3" t="s">
        <v>1929</v>
      </c>
    </row>
    <row r="261" spans="1:1">
      <c r="A261" s="3" t="s">
        <v>1930</v>
      </c>
    </row>
    <row r="262" spans="1:1">
      <c r="A262" s="3" t="s">
        <v>1931</v>
      </c>
    </row>
    <row r="263" spans="1:1">
      <c r="A263" s="3" t="s">
        <v>1932</v>
      </c>
    </row>
    <row r="264" spans="1:1">
      <c r="A264" s="3" t="s">
        <v>1933</v>
      </c>
    </row>
    <row r="265" spans="1:1">
      <c r="A265" s="3" t="s">
        <v>1934</v>
      </c>
    </row>
    <row r="266" spans="1:1">
      <c r="A266" s="3" t="s">
        <v>1935</v>
      </c>
    </row>
    <row r="267" spans="1:1">
      <c r="A267" s="3" t="s">
        <v>1936</v>
      </c>
    </row>
    <row r="268" spans="1:1">
      <c r="A268" s="3" t="s">
        <v>1937</v>
      </c>
    </row>
    <row r="269" spans="1:1">
      <c r="A269" s="3" t="s">
        <v>1938</v>
      </c>
    </row>
    <row r="270" spans="1:1">
      <c r="A270" s="3" t="s">
        <v>1939</v>
      </c>
    </row>
    <row r="271" spans="1:1">
      <c r="A271" s="3" t="s">
        <v>1940</v>
      </c>
    </row>
    <row r="272" spans="1:1">
      <c r="A272" s="3" t="s">
        <v>1941</v>
      </c>
    </row>
    <row r="273" spans="1:1">
      <c r="A273" s="3" t="s">
        <v>1942</v>
      </c>
    </row>
    <row r="274" spans="1:1">
      <c r="A274" s="3" t="s">
        <v>1943</v>
      </c>
    </row>
    <row r="275" spans="1:1">
      <c r="A275" s="3" t="s">
        <v>1944</v>
      </c>
    </row>
    <row r="276" spans="1:1">
      <c r="A276" s="3" t="s">
        <v>1945</v>
      </c>
    </row>
    <row r="277" spans="1:1">
      <c r="A277" s="3" t="s">
        <v>1946</v>
      </c>
    </row>
    <row r="278" spans="1:1">
      <c r="A278" s="3" t="s">
        <v>1947</v>
      </c>
    </row>
    <row r="279" spans="1:1">
      <c r="A279" s="3" t="s">
        <v>1948</v>
      </c>
    </row>
    <row r="280" spans="1:1">
      <c r="A280" s="3" t="s">
        <v>1949</v>
      </c>
    </row>
    <row r="281" spans="1:1">
      <c r="A281" s="3" t="s">
        <v>1950</v>
      </c>
    </row>
    <row r="282" spans="1:1">
      <c r="A282" s="3" t="s">
        <v>1951</v>
      </c>
    </row>
    <row r="283" spans="1:1">
      <c r="A283" s="3" t="s">
        <v>1952</v>
      </c>
    </row>
    <row r="284" spans="1:1">
      <c r="A284" s="3" t="s">
        <v>1953</v>
      </c>
    </row>
    <row r="285" spans="1:1">
      <c r="A285" s="3" t="s">
        <v>1954</v>
      </c>
    </row>
    <row r="286" spans="1:1">
      <c r="A286" s="3" t="s">
        <v>1955</v>
      </c>
    </row>
    <row r="287" spans="1:1">
      <c r="A287" s="3" t="s">
        <v>1956</v>
      </c>
    </row>
    <row r="288" spans="1:1">
      <c r="A288" s="3" t="s">
        <v>1957</v>
      </c>
    </row>
    <row r="289" spans="1:1">
      <c r="A289" s="3" t="s">
        <v>1958</v>
      </c>
    </row>
    <row r="290" spans="1:1">
      <c r="A290" s="3" t="s">
        <v>1959</v>
      </c>
    </row>
    <row r="291" spans="1:1">
      <c r="A291" s="3" t="s">
        <v>1960</v>
      </c>
    </row>
    <row r="292" spans="1:1">
      <c r="A292" s="3" t="s">
        <v>1961</v>
      </c>
    </row>
    <row r="293" spans="1:1">
      <c r="A293" s="3" t="s">
        <v>1962</v>
      </c>
    </row>
    <row r="294" spans="1:1">
      <c r="A294" s="3" t="s">
        <v>1963</v>
      </c>
    </row>
    <row r="295" spans="1:1">
      <c r="A295" s="3" t="s">
        <v>1964</v>
      </c>
    </row>
    <row r="296" spans="1:1">
      <c r="A296" s="3" t="s">
        <v>1965</v>
      </c>
    </row>
    <row r="297" spans="1:1">
      <c r="A297" s="3" t="s">
        <v>1966</v>
      </c>
    </row>
    <row r="298" spans="1:1">
      <c r="A298" s="3" t="s">
        <v>1967</v>
      </c>
    </row>
    <row r="299" spans="1:1">
      <c r="A299" s="3" t="s">
        <v>1968</v>
      </c>
    </row>
    <row r="300" spans="1:1">
      <c r="A300" s="3" t="s">
        <v>1969</v>
      </c>
    </row>
    <row r="301" spans="1:1">
      <c r="A301" s="3" t="s">
        <v>1970</v>
      </c>
    </row>
    <row r="302" spans="1:1">
      <c r="A302" s="3" t="s">
        <v>1971</v>
      </c>
    </row>
    <row r="303" spans="1:1">
      <c r="A303" s="3" t="s">
        <v>1972</v>
      </c>
    </row>
    <row r="304" spans="1:1">
      <c r="A304" s="3" t="s">
        <v>1973</v>
      </c>
    </row>
    <row r="305" spans="1:1">
      <c r="A305" s="3" t="s">
        <v>1974</v>
      </c>
    </row>
    <row r="306" spans="1:1">
      <c r="A306" s="3" t="s">
        <v>1975</v>
      </c>
    </row>
    <row r="307" spans="1:1">
      <c r="A307" s="3" t="s">
        <v>1976</v>
      </c>
    </row>
    <row r="308" spans="1:1">
      <c r="A308" s="3" t="s">
        <v>1977</v>
      </c>
    </row>
    <row r="309" spans="1:1">
      <c r="A309" s="3" t="s">
        <v>1978</v>
      </c>
    </row>
    <row r="310" spans="1:1">
      <c r="A310" s="3" t="s">
        <v>1979</v>
      </c>
    </row>
    <row r="311" spans="1:1">
      <c r="A311" s="3" t="s">
        <v>1980</v>
      </c>
    </row>
    <row r="312" spans="1:1">
      <c r="A312" s="3" t="s">
        <v>1981</v>
      </c>
    </row>
    <row r="313" spans="1:1">
      <c r="A313" s="3" t="s">
        <v>1982</v>
      </c>
    </row>
    <row r="314" spans="1:1">
      <c r="A314" s="3" t="s">
        <v>1983</v>
      </c>
    </row>
    <row r="315" spans="1:1">
      <c r="A315" s="3" t="s">
        <v>1984</v>
      </c>
    </row>
    <row r="316" spans="1:1">
      <c r="A316" s="3" t="s">
        <v>1985</v>
      </c>
    </row>
    <row r="317" spans="1:1">
      <c r="A317" s="3" t="s">
        <v>1986</v>
      </c>
    </row>
    <row r="318" spans="1:1">
      <c r="A318" s="3" t="s">
        <v>1987</v>
      </c>
    </row>
    <row r="319" spans="1:1">
      <c r="A319" s="3" t="s">
        <v>1988</v>
      </c>
    </row>
    <row r="320" spans="1:1">
      <c r="A320" s="3" t="s">
        <v>1989</v>
      </c>
    </row>
    <row r="321" spans="1:1">
      <c r="A321" s="3" t="s">
        <v>1990</v>
      </c>
    </row>
    <row r="322" spans="1:1">
      <c r="A322" s="3" t="s">
        <v>1991</v>
      </c>
    </row>
    <row r="323" spans="1:1">
      <c r="A323" s="3" t="s">
        <v>1992</v>
      </c>
    </row>
    <row r="324" spans="1:1">
      <c r="A324" s="3" t="s">
        <v>1993</v>
      </c>
    </row>
    <row r="325" spans="1:1">
      <c r="A325" s="3" t="s">
        <v>1994</v>
      </c>
    </row>
    <row r="326" spans="1:1">
      <c r="A326" s="3" t="s">
        <v>1995</v>
      </c>
    </row>
    <row r="327" spans="1:1">
      <c r="A327" s="3" t="s">
        <v>1996</v>
      </c>
    </row>
    <row r="328" spans="1:1">
      <c r="A328" s="3" t="s">
        <v>1997</v>
      </c>
    </row>
    <row r="329" spans="1:1">
      <c r="A329" s="3" t="s">
        <v>1998</v>
      </c>
    </row>
    <row r="330" spans="1:1">
      <c r="A330" s="3" t="s">
        <v>1999</v>
      </c>
    </row>
    <row r="331" spans="1:1">
      <c r="A331" s="3" t="s">
        <v>2000</v>
      </c>
    </row>
    <row r="332" spans="1:1">
      <c r="A332" s="3" t="s">
        <v>2001</v>
      </c>
    </row>
    <row r="333" spans="1:1">
      <c r="A333" s="3" t="s">
        <v>2002</v>
      </c>
    </row>
    <row r="334" spans="1:1">
      <c r="A334" s="3" t="s">
        <v>2003</v>
      </c>
    </row>
    <row r="335" spans="1:1">
      <c r="A335" s="3" t="s">
        <v>2004</v>
      </c>
    </row>
    <row r="336" spans="1:1">
      <c r="A336" s="3" t="s">
        <v>2005</v>
      </c>
    </row>
    <row r="337" spans="1:1">
      <c r="A337" s="3" t="s">
        <v>2006</v>
      </c>
    </row>
    <row r="338" spans="1:1">
      <c r="A338" s="3" t="s">
        <v>2007</v>
      </c>
    </row>
    <row r="339" spans="1:1">
      <c r="A339" s="3" t="s">
        <v>2008</v>
      </c>
    </row>
    <row r="340" spans="1:1">
      <c r="A340" s="3" t="s">
        <v>2009</v>
      </c>
    </row>
    <row r="341" spans="1:1">
      <c r="A341" s="3" t="s">
        <v>2010</v>
      </c>
    </row>
    <row r="342" spans="1:1">
      <c r="A342" s="3" t="s">
        <v>2011</v>
      </c>
    </row>
    <row r="343" spans="1:1">
      <c r="A343" s="3" t="s">
        <v>2012</v>
      </c>
    </row>
    <row r="344" spans="1:1">
      <c r="A344" s="3" t="s">
        <v>2013</v>
      </c>
    </row>
    <row r="345" spans="1:1">
      <c r="A345" s="3" t="s">
        <v>2014</v>
      </c>
    </row>
    <row r="346" spans="1:1">
      <c r="A346" s="3" t="s">
        <v>2015</v>
      </c>
    </row>
    <row r="347" spans="1:1">
      <c r="A347" s="3" t="s">
        <v>2016</v>
      </c>
    </row>
    <row r="348" spans="1:1">
      <c r="A348" s="3" t="s">
        <v>2017</v>
      </c>
    </row>
    <row r="349" spans="1:1">
      <c r="A349" s="3" t="s">
        <v>2018</v>
      </c>
    </row>
    <row r="350" spans="1:1">
      <c r="A350" s="3" t="s">
        <v>2019</v>
      </c>
    </row>
    <row r="351" spans="1:1">
      <c r="A351" s="3" t="s">
        <v>2020</v>
      </c>
    </row>
    <row r="352" spans="1:1">
      <c r="A352" s="3" t="s">
        <v>2021</v>
      </c>
    </row>
    <row r="353" spans="1:1">
      <c r="A353" s="3" t="s">
        <v>2022</v>
      </c>
    </row>
    <row r="354" spans="1:1">
      <c r="A354" s="3" t="s">
        <v>2023</v>
      </c>
    </row>
    <row r="355" spans="1:1">
      <c r="A355" s="3" t="s">
        <v>2024</v>
      </c>
    </row>
    <row r="356" spans="1:1">
      <c r="A356" s="3" t="s">
        <v>2025</v>
      </c>
    </row>
    <row r="357" spans="1:1">
      <c r="A357" s="3" t="s">
        <v>2026</v>
      </c>
    </row>
    <row r="358" spans="1:1">
      <c r="A358" s="3" t="s">
        <v>2027</v>
      </c>
    </row>
    <row r="359" spans="1:1">
      <c r="A359" s="3" t="s">
        <v>2028</v>
      </c>
    </row>
    <row r="360" spans="1:1">
      <c r="A360" s="3" t="s">
        <v>2029</v>
      </c>
    </row>
    <row r="361" spans="1:1">
      <c r="A361" s="3" t="s">
        <v>2030</v>
      </c>
    </row>
    <row r="362" spans="1:1">
      <c r="A362" s="3" t="s">
        <v>2031</v>
      </c>
    </row>
    <row r="363" spans="1:1">
      <c r="A363" s="3" t="s">
        <v>2032</v>
      </c>
    </row>
    <row r="364" spans="1:1">
      <c r="A364" s="3" t="s">
        <v>2033</v>
      </c>
    </row>
    <row r="365" spans="1:1">
      <c r="A365" s="3" t="s">
        <v>2034</v>
      </c>
    </row>
    <row r="366" spans="1:1">
      <c r="A366" s="3" t="s">
        <v>2035</v>
      </c>
    </row>
    <row r="367" spans="1:1">
      <c r="A367" s="3" t="s">
        <v>2036</v>
      </c>
    </row>
    <row r="368" spans="1:1">
      <c r="A368" s="3" t="s">
        <v>2037</v>
      </c>
    </row>
    <row r="369" spans="1:1">
      <c r="A369" s="3" t="s">
        <v>2038</v>
      </c>
    </row>
    <row r="370" spans="1:1">
      <c r="A370" s="3" t="s">
        <v>2039</v>
      </c>
    </row>
    <row r="371" spans="1:1">
      <c r="A371" s="3" t="s">
        <v>2040</v>
      </c>
    </row>
    <row r="372" spans="1:1">
      <c r="A372" s="3" t="s">
        <v>2041</v>
      </c>
    </row>
    <row r="373" spans="1:1">
      <c r="A373" s="3" t="s">
        <v>2042</v>
      </c>
    </row>
    <row r="374" spans="1:1">
      <c r="A374" s="3" t="s">
        <v>2043</v>
      </c>
    </row>
    <row r="375" spans="1:1">
      <c r="A375" s="3" t="s">
        <v>2044</v>
      </c>
    </row>
    <row r="376" spans="1:1">
      <c r="A376" s="3" t="s">
        <v>2045</v>
      </c>
    </row>
    <row r="377" spans="1:1">
      <c r="A377" s="3" t="s">
        <v>2046</v>
      </c>
    </row>
    <row r="378" spans="1:1">
      <c r="A378" s="3" t="s">
        <v>2047</v>
      </c>
    </row>
    <row r="379" spans="1:1">
      <c r="A379" s="3" t="s">
        <v>2048</v>
      </c>
    </row>
    <row r="380" spans="1:1">
      <c r="A380" s="3" t="s">
        <v>2049</v>
      </c>
    </row>
    <row r="381" spans="1:1">
      <c r="A381" s="3" t="s">
        <v>2050</v>
      </c>
    </row>
    <row r="382" spans="1:1">
      <c r="A382" s="3" t="s">
        <v>2051</v>
      </c>
    </row>
    <row r="383" spans="1:1">
      <c r="A383" s="3" t="s">
        <v>2052</v>
      </c>
    </row>
    <row r="384" spans="1:1">
      <c r="A384" s="3" t="s">
        <v>2053</v>
      </c>
    </row>
    <row r="385" spans="1:1">
      <c r="A385" s="3" t="s">
        <v>2054</v>
      </c>
    </row>
    <row r="386" spans="1:1">
      <c r="A386" s="3" t="s">
        <v>2055</v>
      </c>
    </row>
    <row r="387" spans="1:1">
      <c r="A387" s="3" t="s">
        <v>2056</v>
      </c>
    </row>
    <row r="388" spans="1:1">
      <c r="A388" s="3" t="s">
        <v>2057</v>
      </c>
    </row>
    <row r="389" spans="1:1">
      <c r="A389" s="3" t="s">
        <v>2058</v>
      </c>
    </row>
    <row r="390" spans="1:1">
      <c r="A390" s="3" t="s">
        <v>2059</v>
      </c>
    </row>
    <row r="391" spans="1:1">
      <c r="A391" s="3" t="s">
        <v>2060</v>
      </c>
    </row>
    <row r="392" spans="1:1">
      <c r="A392" s="3" t="s">
        <v>2061</v>
      </c>
    </row>
    <row r="393" spans="1:1">
      <c r="A393" s="3" t="s">
        <v>2062</v>
      </c>
    </row>
    <row r="394" spans="1:1">
      <c r="A394" s="3" t="s">
        <v>2063</v>
      </c>
    </row>
    <row r="395" spans="1:1">
      <c r="A395" s="3" t="s">
        <v>2064</v>
      </c>
    </row>
    <row r="396" spans="1:1">
      <c r="A396" s="3" t="s">
        <v>2065</v>
      </c>
    </row>
    <row r="397" spans="1:1">
      <c r="A397" s="3" t="s">
        <v>2066</v>
      </c>
    </row>
    <row r="398" spans="1:1">
      <c r="A398" s="3" t="s">
        <v>2067</v>
      </c>
    </row>
    <row r="399" spans="1:1">
      <c r="A399" s="3" t="s">
        <v>2068</v>
      </c>
    </row>
    <row r="400" spans="1:1">
      <c r="A400" s="3" t="s">
        <v>2069</v>
      </c>
    </row>
    <row r="401" spans="1:1">
      <c r="A401" s="3" t="s">
        <v>2070</v>
      </c>
    </row>
    <row r="402" spans="1:1">
      <c r="A402" s="3" t="s">
        <v>2071</v>
      </c>
    </row>
    <row r="403" spans="1:1">
      <c r="A403" s="3" t="s">
        <v>2072</v>
      </c>
    </row>
    <row r="404" spans="1:1">
      <c r="A404" s="3" t="s">
        <v>2073</v>
      </c>
    </row>
    <row r="405" spans="1:1">
      <c r="A405" s="3" t="s">
        <v>2074</v>
      </c>
    </row>
    <row r="406" spans="1:1">
      <c r="A406" s="3" t="s">
        <v>2075</v>
      </c>
    </row>
    <row r="407" spans="1:1">
      <c r="A407" s="3" t="s">
        <v>2076</v>
      </c>
    </row>
    <row r="408" spans="1:1">
      <c r="A408" s="3" t="s">
        <v>2077</v>
      </c>
    </row>
    <row r="409" spans="1:1">
      <c r="A409" s="3" t="s">
        <v>2078</v>
      </c>
    </row>
    <row r="410" spans="1:1">
      <c r="A410" s="3" t="s">
        <v>2079</v>
      </c>
    </row>
    <row r="411" spans="1:1">
      <c r="A411" s="3" t="s">
        <v>2080</v>
      </c>
    </row>
    <row r="412" spans="1:1">
      <c r="A412" s="3" t="s">
        <v>2081</v>
      </c>
    </row>
    <row r="413" spans="1:1">
      <c r="A413" s="3" t="s">
        <v>2082</v>
      </c>
    </row>
    <row r="414" spans="1:1">
      <c r="A414" s="3" t="s">
        <v>2083</v>
      </c>
    </row>
    <row r="415" spans="1:1">
      <c r="A415" s="3" t="s">
        <v>2084</v>
      </c>
    </row>
    <row r="416" spans="1:1">
      <c r="A416" s="3" t="s">
        <v>2085</v>
      </c>
    </row>
    <row r="417" spans="1:1">
      <c r="A417" s="3" t="s">
        <v>2086</v>
      </c>
    </row>
    <row r="418" spans="1:1">
      <c r="A418" s="3" t="s">
        <v>2087</v>
      </c>
    </row>
    <row r="419" spans="1:1">
      <c r="A419" s="3" t="s">
        <v>2088</v>
      </c>
    </row>
    <row r="420" spans="1:1">
      <c r="A420" s="3" t="s">
        <v>2089</v>
      </c>
    </row>
    <row r="421" spans="1:1">
      <c r="A421" s="3" t="s">
        <v>2090</v>
      </c>
    </row>
    <row r="422" spans="1:1">
      <c r="A422" s="3" t="s">
        <v>2091</v>
      </c>
    </row>
    <row r="423" spans="1:1">
      <c r="A423" s="3" t="s">
        <v>2092</v>
      </c>
    </row>
    <row r="424" spans="1:1">
      <c r="A424" s="3" t="s">
        <v>2093</v>
      </c>
    </row>
    <row r="425" spans="1:1">
      <c r="A425" s="3" t="s">
        <v>2094</v>
      </c>
    </row>
    <row r="426" spans="1:1">
      <c r="A426" s="3" t="s">
        <v>2095</v>
      </c>
    </row>
    <row r="427" spans="1:1">
      <c r="A427" s="3" t="s">
        <v>2096</v>
      </c>
    </row>
    <row r="428" spans="1:1">
      <c r="A428" s="3" t="s">
        <v>2097</v>
      </c>
    </row>
    <row r="429" spans="1:1">
      <c r="A429" s="3" t="s">
        <v>2098</v>
      </c>
    </row>
    <row r="430" spans="1:1">
      <c r="A430" s="3" t="s">
        <v>2099</v>
      </c>
    </row>
    <row r="431" spans="1:1">
      <c r="A431" s="3" t="s">
        <v>2100</v>
      </c>
    </row>
    <row r="432" spans="1:1">
      <c r="A432" s="3" t="s">
        <v>2101</v>
      </c>
    </row>
    <row r="433" spans="1:1">
      <c r="A433" s="3" t="s">
        <v>2102</v>
      </c>
    </row>
    <row r="434" spans="1:1">
      <c r="A434" s="3" t="s">
        <v>2103</v>
      </c>
    </row>
    <row r="435" spans="1:1">
      <c r="A435" s="3" t="s">
        <v>2104</v>
      </c>
    </row>
    <row r="436" spans="1:1">
      <c r="A436" s="3" t="s">
        <v>2105</v>
      </c>
    </row>
    <row r="437" spans="1:1">
      <c r="A437" s="3" t="s">
        <v>2106</v>
      </c>
    </row>
    <row r="438" spans="1:1">
      <c r="A438" s="3" t="s">
        <v>2107</v>
      </c>
    </row>
    <row r="439" spans="1:1">
      <c r="A439" s="3" t="s">
        <v>2108</v>
      </c>
    </row>
    <row r="440" spans="1:1">
      <c r="A440" s="3" t="s">
        <v>2109</v>
      </c>
    </row>
    <row r="441" spans="1:1">
      <c r="A441" s="3" t="s">
        <v>2110</v>
      </c>
    </row>
    <row r="442" spans="1:1">
      <c r="A442" s="3" t="s">
        <v>2111</v>
      </c>
    </row>
    <row r="443" spans="1:1">
      <c r="A443" s="3" t="s">
        <v>2112</v>
      </c>
    </row>
    <row r="444" spans="1:1">
      <c r="A444" s="3" t="s">
        <v>2113</v>
      </c>
    </row>
    <row r="445" spans="1:1">
      <c r="A445" s="3" t="s">
        <v>2114</v>
      </c>
    </row>
    <row r="446" spans="1:1">
      <c r="A446" s="3" t="s">
        <v>2115</v>
      </c>
    </row>
    <row r="447" spans="1:1">
      <c r="A447" s="3" t="s">
        <v>2116</v>
      </c>
    </row>
    <row r="448" spans="1:1">
      <c r="A448" s="3" t="s">
        <v>2117</v>
      </c>
    </row>
    <row r="449" spans="1:1">
      <c r="A449" s="3" t="s">
        <v>2118</v>
      </c>
    </row>
    <row r="450" spans="1:1">
      <c r="A450" s="3" t="s">
        <v>2119</v>
      </c>
    </row>
    <row r="451" spans="1:1">
      <c r="A451" s="3" t="s">
        <v>2120</v>
      </c>
    </row>
    <row r="452" spans="1:1">
      <c r="A452" s="3" t="s">
        <v>2121</v>
      </c>
    </row>
    <row r="453" spans="1:1">
      <c r="A453" s="3" t="s">
        <v>2122</v>
      </c>
    </row>
    <row r="454" spans="1:1">
      <c r="A454" s="3" t="s">
        <v>2123</v>
      </c>
    </row>
    <row r="455" spans="1:1">
      <c r="A455" s="3" t="s">
        <v>2124</v>
      </c>
    </row>
    <row r="456" spans="1:1">
      <c r="A456" s="3" t="s">
        <v>2125</v>
      </c>
    </row>
    <row r="457" spans="1:1">
      <c r="A457" s="3" t="s">
        <v>2126</v>
      </c>
    </row>
    <row r="458" spans="1:1">
      <c r="A458" s="3" t="s">
        <v>2127</v>
      </c>
    </row>
    <row r="459" spans="1:1">
      <c r="A459" s="3" t="s">
        <v>2128</v>
      </c>
    </row>
    <row r="460" spans="1:1">
      <c r="A460" s="3" t="s">
        <v>2129</v>
      </c>
    </row>
    <row r="461" spans="1:1">
      <c r="A461" s="3" t="s">
        <v>2130</v>
      </c>
    </row>
    <row r="462" spans="1:1">
      <c r="A462" s="3" t="s">
        <v>2131</v>
      </c>
    </row>
    <row r="463" spans="1:1">
      <c r="A463" s="3" t="s">
        <v>2132</v>
      </c>
    </row>
    <row r="464" spans="1:1">
      <c r="A464" s="3" t="s">
        <v>2133</v>
      </c>
    </row>
    <row r="465" spans="1:1">
      <c r="A465" s="3" t="s">
        <v>2134</v>
      </c>
    </row>
    <row r="466" spans="1:1">
      <c r="A466" s="3" t="s">
        <v>2135</v>
      </c>
    </row>
    <row r="467" spans="1:1">
      <c r="A467" s="3" t="s">
        <v>2136</v>
      </c>
    </row>
    <row r="468" spans="1:1">
      <c r="A468" s="3" t="s">
        <v>2137</v>
      </c>
    </row>
    <row r="469" spans="1:1">
      <c r="A469" s="3" t="s">
        <v>2138</v>
      </c>
    </row>
    <row r="470" spans="1:1">
      <c r="A470" s="3" t="s">
        <v>2139</v>
      </c>
    </row>
    <row r="471" spans="1:1">
      <c r="A471" s="3" t="s">
        <v>1817</v>
      </c>
    </row>
    <row r="472" spans="1:1">
      <c r="A472" s="3" t="s">
        <v>1818</v>
      </c>
    </row>
    <row r="473" spans="1:1">
      <c r="A473" s="3" t="s">
        <v>1819</v>
      </c>
    </row>
    <row r="474" spans="1:1">
      <c r="A474" s="3" t="s">
        <v>1701</v>
      </c>
    </row>
    <row r="475" spans="1:1">
      <c r="A475" s="3" t="s">
        <v>2140</v>
      </c>
    </row>
    <row r="476" spans="1:1">
      <c r="A476" s="3" t="s">
        <v>1818</v>
      </c>
    </row>
    <row r="477" spans="1:1">
      <c r="A477" s="3" t="s">
        <v>2141</v>
      </c>
    </row>
    <row r="478" spans="1:1">
      <c r="A478" s="3" t="s">
        <v>1701</v>
      </c>
    </row>
    <row r="479" spans="1:1">
      <c r="A479" s="3" t="s">
        <v>1817</v>
      </c>
    </row>
    <row r="480" spans="1:1">
      <c r="A480" s="3" t="s">
        <v>1818</v>
      </c>
    </row>
    <row r="481" spans="1:1">
      <c r="A481" s="3" t="s">
        <v>2142</v>
      </c>
    </row>
    <row r="482" spans="1:1">
      <c r="A482" s="3" t="s">
        <v>1701</v>
      </c>
    </row>
    <row r="483" spans="1:1">
      <c r="A483" s="3" t="s">
        <v>2143</v>
      </c>
    </row>
    <row r="484" spans="1:1">
      <c r="A484" s="3" t="s">
        <v>1789</v>
      </c>
    </row>
    <row r="485" spans="1:1">
      <c r="A485" s="3" t="s">
        <v>2144</v>
      </c>
    </row>
    <row r="486" spans="1:1">
      <c r="A486" s="3" t="s">
        <v>1701</v>
      </c>
    </row>
  </sheetData>
  <phoneticPr fontId="7"/>
  <pageMargins left="0.75" right="0.75" top="1" bottom="1" header="0.5" footer="0.5"/>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Fill="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Revison</vt:lpstr>
      <vt:lpstr>HowToUse</vt:lpstr>
      <vt:lpstr>Main_Parameters</vt:lpstr>
      <vt:lpstr>Source_Startup</vt:lpstr>
      <vt:lpstr>EDID</vt:lpstr>
      <vt:lpstr>Source_CabCnct</vt:lpstr>
      <vt:lpstr>Source_ColorBar</vt:lpstr>
      <vt:lpstr>Source_HDMITimChk</vt:lpstr>
      <vt:lpstr>Code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MOST</cp:lastModifiedBy>
  <dcterms:created xsi:type="dcterms:W3CDTF">2006-09-16T00:00:00Z</dcterms:created>
  <dcterms:modified xsi:type="dcterms:W3CDTF">2014-09-01T09:23:18Z</dcterms:modified>
</cp:coreProperties>
</file>